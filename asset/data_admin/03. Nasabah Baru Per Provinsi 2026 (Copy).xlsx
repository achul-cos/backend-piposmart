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NASABAH BARU" sheetId="1" r:id="rId4"/>
    <sheet state="visible" name="Aceh" sheetId="2" r:id="rId5"/>
    <sheet state="visible" name="Bali" sheetId="3" r:id="rId6"/>
    <sheet state="visible" name="Bangka Belitung" sheetId="4" r:id="rId7"/>
    <sheet state="visible" name="Banten" sheetId="5" r:id="rId8"/>
    <sheet state="visible" name="Bengkulu" sheetId="6" r:id="rId9"/>
    <sheet state="visible" name="DI Yogyakarta" sheetId="7" r:id="rId10"/>
    <sheet state="visible" name="DKI Jakarta" sheetId="8" r:id="rId11"/>
    <sheet state="visible" name="Gorontalo " sheetId="9" r:id="rId12"/>
    <sheet state="visible" name="Jambi" sheetId="10" r:id="rId13"/>
    <sheet state="visible" name="Jawa Barat" sheetId="11" r:id="rId14"/>
    <sheet state="visible" name="Jawa Tengah" sheetId="12" r:id="rId15"/>
    <sheet state="visible" name="Jawa Timur" sheetId="13" r:id="rId16"/>
    <sheet state="visible" name="Kalimantan Barat " sheetId="14" r:id="rId17"/>
    <sheet state="visible" name="Kalimantan Selatan" sheetId="15" r:id="rId18"/>
    <sheet state="visible" name="Kalimantan Tengah " sheetId="16" r:id="rId19"/>
    <sheet state="visible" name="Kalimantan Timur" sheetId="17" r:id="rId20"/>
    <sheet state="visible" name="Kalimantan Utara" sheetId="18" r:id="rId21"/>
    <sheet state="visible" name="Kepulauan Riau " sheetId="19" r:id="rId22"/>
    <sheet state="visible" name="Lampung" sheetId="20" r:id="rId23"/>
    <sheet state="visible" name="Maluku " sheetId="21" r:id="rId24"/>
    <sheet state="visible" name="Maluku Utara" sheetId="22" r:id="rId25"/>
    <sheet state="visible" name="Nusa Tenggara Barat" sheetId="23" r:id="rId26"/>
    <sheet state="visible" name="Nusa Tenggara Timur" sheetId="24" r:id="rId27"/>
    <sheet state="visible" name="Papua " sheetId="25" r:id="rId28"/>
    <sheet state="visible" name="Papua Barat" sheetId="26" r:id="rId29"/>
    <sheet state="visible" name="Papua Barat Daya" sheetId="27" r:id="rId30"/>
    <sheet state="visible" name="Papua Pegunungan" sheetId="28" r:id="rId31"/>
    <sheet state="visible" name="Papua Selatan" sheetId="29" r:id="rId32"/>
    <sheet state="visible" name="Papua Tengah" sheetId="30" r:id="rId33"/>
    <sheet state="visible" name="Riau" sheetId="31" r:id="rId34"/>
    <sheet state="visible" name="Sulawesi Barat" sheetId="32" r:id="rId35"/>
    <sheet state="visible" name="Sulawesi Selatan" sheetId="33" r:id="rId36"/>
    <sheet state="visible" name="Sulawesi Tengah " sheetId="34" r:id="rId37"/>
    <sheet state="visible" name="Sulawesi Utara" sheetId="35" r:id="rId38"/>
    <sheet state="visible" name="Sulawesi Tenggara" sheetId="36" r:id="rId39"/>
    <sheet state="visible" name="Sumatera Barat" sheetId="37" r:id="rId40"/>
    <sheet state="visible" name="Sumatera Selatan" sheetId="38" r:id="rId41"/>
    <sheet state="visible" name="Sumatera Utara" sheetId="39" r:id="rId42"/>
    <sheet state="hidden" name="Kode Wilayah" sheetId="40" r:id="rId43"/>
  </sheets>
  <definedNames>
    <definedName hidden="1" localSheetId="0" name="_xlnm._FilterDatabase">'TOTAL NASABAH BARU'!$A$5:$BY$44</definedName>
  </definedNames>
  <calcPr/>
  <extLst>
    <ext uri="GoogleSheetsCustomDataVersion2">
      <go:sheetsCustomData xmlns:go="http://customooxmlschemas.google.com/" r:id="rId44" roundtripDataChecksum="L/XYYlqbeNEpzYpMABmfcGj0QnwemBx5dGjaduHcBe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96">
      <text>
        <t xml:space="preserve">Nasabah Baru
======</t>
      </text>
    </comment>
    <comment authorId="0" ref="H295">
      <text>
        <t xml:space="preserve">Nasabah Baru
======</t>
      </text>
    </comment>
    <comment authorId="0" ref="H294">
      <text>
        <t xml:space="preserve">Nasabah Baru
======</t>
      </text>
    </comment>
    <comment authorId="0" ref="H293">
      <text>
        <t xml:space="preserve">Nasabah Baru
======</t>
      </text>
    </comment>
    <comment authorId="0" ref="H292">
      <text>
        <t xml:space="preserve">Nasabah Baru
======</t>
      </text>
    </comment>
    <comment authorId="0" ref="H300">
      <text>
        <t xml:space="preserve">Nasabah Baru
======</t>
      </text>
    </comment>
    <comment authorId="0" ref="H299">
      <text>
        <t xml:space="preserve">Nasabah Baru
======</t>
      </text>
    </comment>
    <comment authorId="0" ref="H298">
      <text>
        <t xml:space="preserve">Nasabah Baru
======</t>
      </text>
    </comment>
    <comment authorId="0" ref="H297">
      <text>
        <t xml:space="preserve">Nasabah Baru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velyusufi Laundry
======</t>
      </text>
    </comment>
  </commentList>
</comments>
</file>

<file path=xl/sharedStrings.xml><?xml version="1.0" encoding="utf-8"?>
<sst xmlns="http://schemas.openxmlformats.org/spreadsheetml/2006/main" count="16783" uniqueCount="9367">
  <si>
    <t>PT PIPOSMART DIGITAL INDONESIA</t>
  </si>
  <si>
    <t>Laporan Nasabah Baru</t>
  </si>
  <si>
    <t>Tahun 2026</t>
  </si>
  <si>
    <t>No</t>
  </si>
  <si>
    <t>Provinsi</t>
  </si>
  <si>
    <t>Total 2021</t>
  </si>
  <si>
    <t>Total 2022</t>
  </si>
  <si>
    <t>Total 2023</t>
  </si>
  <si>
    <t>Total 2024</t>
  </si>
  <si>
    <t>Total 2025</t>
  </si>
  <si>
    <t>Total User 
2021-2025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</si>
  <si>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</si>
  <si>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</si>
  <si>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</si>
  <si>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</si>
  <si>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</si>
  <si>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</si>
  <si>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</si>
  <si>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</si>
  <si>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</si>
  <si>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</si>
  <si>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</si>
  <si>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</si>
  <si>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Januari </t>
  </si>
  <si>
    <t>1</t>
  </si>
  <si>
    <t>Nanggroe Aceh Darussalam</t>
  </si>
  <si>
    <t>Sumatera Utara</t>
  </si>
  <si>
    <t>Sumatera Selatan</t>
  </si>
  <si>
    <t>Sumatera Barat</t>
  </si>
  <si>
    <t xml:space="preserve">Bengkulu </t>
  </si>
  <si>
    <t xml:space="preserve">Riau </t>
  </si>
  <si>
    <t>Kepulauan Riau</t>
  </si>
  <si>
    <t xml:space="preserve">Jambi </t>
  </si>
  <si>
    <t xml:space="preserve">Lampung </t>
  </si>
  <si>
    <t>Bangka Belitung</t>
  </si>
  <si>
    <t>Kalimantan Barat</t>
  </si>
  <si>
    <t>Kalimantan Timur</t>
  </si>
  <si>
    <t>Kalimantan Selatan</t>
  </si>
  <si>
    <t>Kalimantan Tengah</t>
  </si>
  <si>
    <t>Kalimantan Utara</t>
  </si>
  <si>
    <t xml:space="preserve">Banten </t>
  </si>
  <si>
    <t>DKI Jakarta</t>
  </si>
  <si>
    <t>Jawa Barat</t>
  </si>
  <si>
    <t>Jawa Tengah</t>
  </si>
  <si>
    <t>DI Yogyakarta</t>
  </si>
  <si>
    <t xml:space="preserve">Jawa Timur </t>
  </si>
  <si>
    <t xml:space="preserve">Bali </t>
  </si>
  <si>
    <t>Nusa Tenggara Timur</t>
  </si>
  <si>
    <t xml:space="preserve">Nusa Tenggara Barat </t>
  </si>
  <si>
    <t xml:space="preserve">Gorontalo </t>
  </si>
  <si>
    <t>Sulawesi Barat</t>
  </si>
  <si>
    <t>Sulawesi Tengah</t>
  </si>
  <si>
    <t>Sulawesi Utara</t>
  </si>
  <si>
    <t>Sulawesi Tenggara</t>
  </si>
  <si>
    <t>Sulawesi Selatan</t>
  </si>
  <si>
    <t>Maluku Utara</t>
  </si>
  <si>
    <t xml:space="preserve">Maluku </t>
  </si>
  <si>
    <t>Papua Barat</t>
  </si>
  <si>
    <t>Papua</t>
  </si>
  <si>
    <t>Papua Tengah</t>
  </si>
  <si>
    <t>Papua Pegunungan</t>
  </si>
  <si>
    <t>Papua Selatan</t>
  </si>
  <si>
    <t>Papua Barat Daya</t>
  </si>
  <si>
    <t xml:space="preserve">JUMLAH NASABAH BARU </t>
  </si>
  <si>
    <t>Nomor</t>
  </si>
  <si>
    <t>Tahun Member</t>
  </si>
  <si>
    <t>Bulan</t>
  </si>
  <si>
    <t>Kode Owner</t>
  </si>
  <si>
    <t>Nama Owner</t>
  </si>
  <si>
    <t>No. Hp Owner</t>
  </si>
  <si>
    <t>Email</t>
  </si>
  <si>
    <t>Project/Outlet</t>
  </si>
  <si>
    <t>Kota</t>
  </si>
  <si>
    <t>Alamat</t>
  </si>
  <si>
    <t>Nur Anita dewi</t>
  </si>
  <si>
    <t>0822 7718 8487</t>
  </si>
  <si>
    <t>nuranita642@gmail.com</t>
  </si>
  <si>
    <t>sahabat laundry/SAHABAT LAUNDRY KILOAN GRATIS ANTAR JEMPUT.praktis-mudah-aman-bersih dan suci.</t>
  </si>
  <si>
    <t>Kab. Aceh Tamiang</t>
  </si>
  <si>
    <t>dusun bahagia perumahan mutiara residen 2 blok k nmr 9 tanah terban</t>
  </si>
  <si>
    <t>2</t>
  </si>
  <si>
    <t>SURIATI</t>
  </si>
  <si>
    <t>0813 60608515</t>
  </si>
  <si>
    <t>isur.bna@gmail.com</t>
  </si>
  <si>
    <t>A&amp;Z LAUNDRY/AZ LAUNDRY</t>
  </si>
  <si>
    <t>Kab. Aceh Besar</t>
  </si>
  <si>
    <t>jln. limpo Desa Meunasah papeun</t>
  </si>
  <si>
    <t>3</t>
  </si>
  <si>
    <t>rafka</t>
  </si>
  <si>
    <t>0813 60283975</t>
  </si>
  <si>
    <t>46laundryexpress@gmail.com</t>
  </si>
  <si>
    <t>46laundry express</t>
  </si>
  <si>
    <t>Kota Banda Aceh</t>
  </si>
  <si>
    <t>jln. Taman siswa no 27 samping Adi kupi</t>
  </si>
  <si>
    <t>4</t>
  </si>
  <si>
    <t>Nayla</t>
  </si>
  <si>
    <t>0813 60455014</t>
  </si>
  <si>
    <t>Cutmini1988@gmail.com</t>
  </si>
  <si>
    <t xml:space="preserve">mini laundry/Mini Laundry Syariah	</t>
  </si>
  <si>
    <t>Kab. Aceh Barat Daya</t>
  </si>
  <si>
    <t>komplek terminal blangpidie aceh barat daya</t>
  </si>
  <si>
    <t>5</t>
  </si>
  <si>
    <t>muhammad Riza</t>
  </si>
  <si>
    <t>0813 17879281</t>
  </si>
  <si>
    <t>mina_Laundry@gmail.com</t>
  </si>
  <si>
    <t>MINA LAUNDRY</t>
  </si>
  <si>
    <t>Kab. Pidie</t>
  </si>
  <si>
    <t>jalan Medan-Banda aceh KM 125samping Polsek Mutiara Timur. Beureunuen. Kab Pidie</t>
  </si>
  <si>
    <t>6</t>
  </si>
  <si>
    <t>Laundry Kiloan Lueng Bata</t>
  </si>
  <si>
    <t>0812 75988253</t>
  </si>
  <si>
    <t>luengbatalaundrykiloan@gmail.com</t>
  </si>
  <si>
    <t>Jln.  Tgk. Imuem Lueng Bata no.  25Samping Bank BSIBanda Aceh</t>
  </si>
  <si>
    <t>7</t>
  </si>
  <si>
    <t>Annisa loundry</t>
  </si>
  <si>
    <t>0823 6386 4228</t>
  </si>
  <si>
    <t>syibral28@gmail.com</t>
  </si>
  <si>
    <t>annisa</t>
  </si>
  <si>
    <t>Kota Lhokseumawe</t>
  </si>
  <si>
    <t>jln.medan Banda Aceh depan kampus IAIN samping cultur coffee</t>
  </si>
  <si>
    <t>8</t>
  </si>
  <si>
    <t xml:space="preserve">Admin </t>
  </si>
  <si>
    <t>08116812501</t>
  </si>
  <si>
    <t>laundryjamboo@gmail.com</t>
  </si>
  <si>
    <t>Jamboo Laundry</t>
  </si>
  <si>
    <t>Jalan Chik Dipineung Raya</t>
  </si>
  <si>
    <t>9</t>
  </si>
  <si>
    <t>Agustianto Rusdi</t>
  </si>
  <si>
    <t>0811 688 0989</t>
  </si>
  <si>
    <t>agustiantorusdi26@gmail.com</t>
  </si>
  <si>
    <t>ym laundry</t>
  </si>
  <si>
    <t>Teuku umar no 253</t>
  </si>
  <si>
    <t>10</t>
  </si>
  <si>
    <t>Rais Fahrizal</t>
  </si>
  <si>
    <t>082360612025</t>
  </si>
  <si>
    <t>laundrycoin124@gmail.com</t>
  </si>
  <si>
    <t>124 Laundry</t>
  </si>
  <si>
    <t>jln.laksamana Malahayati Gampong ba'et kecamatan Baitussalam Aceh besar</t>
  </si>
  <si>
    <t>11</t>
  </si>
  <si>
    <t xml:space="preserve">Agustian Saputra </t>
  </si>
  <si>
    <t>0853 7989 4486</t>
  </si>
  <si>
    <t>rafkacoinlaundry@gmail.com</t>
  </si>
  <si>
    <t>rafkacoinlaundry/rafkacoinlaundry</t>
  </si>
  <si>
    <t>jln. t nyak arief</t>
  </si>
  <si>
    <t>12</t>
  </si>
  <si>
    <t>rafkacoinlaundry/46 laundry express</t>
  </si>
  <si>
    <t>13</t>
  </si>
  <si>
    <t xml:space="preserve">Syakila </t>
  </si>
  <si>
    <t>081269777817</t>
  </si>
  <si>
    <t>Syakila Laundry Expres</t>
  </si>
  <si>
    <t>Jl Kebun Raja Desa Ie Masen Kec. Ule Kareng</t>
  </si>
  <si>
    <t>14</t>
  </si>
  <si>
    <t>rafkacoinlaundry/delapan Laundry express</t>
  </si>
  <si>
    <t>15</t>
  </si>
  <si>
    <t xml:space="preserve">er laundry </t>
  </si>
  <si>
    <t>0812 6204 3766</t>
  </si>
  <si>
    <t>er.laundry2023@gmail.com</t>
  </si>
  <si>
    <t>er Laundry</t>
  </si>
  <si>
    <t>Jl. Seokarno Hatta, Lam Ara, Banda Raya</t>
  </si>
  <si>
    <t>16</t>
  </si>
  <si>
    <t xml:space="preserve">Fakhrul Razi </t>
  </si>
  <si>
    <t>085260008048</t>
  </si>
  <si>
    <t>bangbungie@gmail.com</t>
  </si>
  <si>
    <t>Mami Laundry</t>
  </si>
  <si>
    <t>Jl. Taman Siswa Merduati Banda Aceh</t>
  </si>
  <si>
    <t>17</t>
  </si>
  <si>
    <t>ultra Clean londry</t>
  </si>
  <si>
    <t>085277488773</t>
  </si>
  <si>
    <t>amanahacehdarussalam@gmail.com</t>
  </si>
  <si>
    <t>Ultra Clean Londry</t>
  </si>
  <si>
    <t>Jalan AMD manunggal cot mesjid</t>
  </si>
  <si>
    <t>18</t>
  </si>
  <si>
    <t>rafkacoinlaundry/HATEMA LAUNDRY EXPRESS</t>
  </si>
  <si>
    <t>19</t>
  </si>
  <si>
    <t>Farid</t>
  </si>
  <si>
    <t>081269779203</t>
  </si>
  <si>
    <t>ellaundry/joeragan Laundry</t>
  </si>
  <si>
    <t>panterik</t>
  </si>
  <si>
    <t>20</t>
  </si>
  <si>
    <t>Fadli</t>
  </si>
  <si>
    <t>085213596433</t>
  </si>
  <si>
    <t>zulfadliyacob2486@gmail.com</t>
  </si>
  <si>
    <t>papa laundry/Papa Laundry</t>
  </si>
  <si>
    <t>jln kenari no 3</t>
  </si>
  <si>
    <t>21</t>
  </si>
  <si>
    <t>Halimah</t>
  </si>
  <si>
    <t>08116703276</t>
  </si>
  <si>
    <t>tqn2024@gmail.com</t>
  </si>
  <si>
    <t>TQN laundry</t>
  </si>
  <si>
    <t>jalan mardeka timur</t>
  </si>
  <si>
    <t>22</t>
  </si>
  <si>
    <t>laundry Karpet bireuen</t>
  </si>
  <si>
    <t>085380273221</t>
  </si>
  <si>
    <t>juangkarpet@gmail.com</t>
  </si>
  <si>
    <t>Kab. Bireuen</t>
  </si>
  <si>
    <t>jalan rel kereta api, gelanggang Teungoh, kota juang, bireuen</t>
  </si>
  <si>
    <t>23</t>
  </si>
  <si>
    <t>rumoh cooperation</t>
  </si>
  <si>
    <t>082245989203</t>
  </si>
  <si>
    <t>Zahra Laundry Express</t>
  </si>
  <si>
    <t>Kota Sabang</t>
  </si>
  <si>
    <t>Pertokoan Pujasera No 27, Jl Cut Nyak Dien</t>
  </si>
  <si>
    <t>24</t>
  </si>
  <si>
    <t>Hidayat Muchsin</t>
  </si>
  <si>
    <t>082282551800</t>
  </si>
  <si>
    <t>laundrymutia230808@gmail.com</t>
  </si>
  <si>
    <t>Laundry Mutia</t>
  </si>
  <si>
    <t>Jalan Baru No 6</t>
  </si>
  <si>
    <t>25</t>
  </si>
  <si>
    <t xml:space="preserve">DINA </t>
  </si>
  <si>
    <t>089518928591</t>
  </si>
  <si>
    <t>DINA LAUNDRY</t>
  </si>
  <si>
    <t>karang baru .aceh tamiang</t>
  </si>
  <si>
    <t>26</t>
  </si>
  <si>
    <t>124 Laundry/124 laundry new</t>
  </si>
  <si>
    <t>27</t>
  </si>
  <si>
    <t>aly sazam</t>
  </si>
  <si>
    <t>085831739251</t>
  </si>
  <si>
    <t>alisazam1998ali@gmail.com</t>
  </si>
  <si>
    <t>Ilyas Laundry</t>
  </si>
  <si>
    <t>Kota Subulussalam</t>
  </si>
  <si>
    <t>jln Teuku Umar kita Subulussalam dpn Polsek Simpang kiri</t>
  </si>
  <si>
    <t>TOTAL 2026</t>
  </si>
  <si>
    <t>TOTAL 2021-2026</t>
  </si>
  <si>
    <t xml:space="preserve">Gede Bali Laundry </t>
  </si>
  <si>
    <t>0878 1114 1000</t>
  </si>
  <si>
    <t>laundrygedebali@gmail.com</t>
  </si>
  <si>
    <t>Gede Bali Laundry</t>
  </si>
  <si>
    <t>Kab. Gianyar</t>
  </si>
  <si>
    <t>JL Baka, No 25 Batubulan Gianyar</t>
  </si>
  <si>
    <t>RED Express Laundry</t>
  </si>
  <si>
    <t>0818 232 777</t>
  </si>
  <si>
    <t>red.xpress3@gmail.com</t>
  </si>
  <si>
    <t>RED EXPRESS Laundry</t>
  </si>
  <si>
    <t>Kab. Badung</t>
  </si>
  <si>
    <t>Jl Poh Gading III no 1</t>
  </si>
  <si>
    <t>sugiana indah lestari</t>
  </si>
  <si>
    <t>0812 3918 8191</t>
  </si>
  <si>
    <t>ndahtari7@gmail.com</t>
  </si>
  <si>
    <t>Indah express laundry</t>
  </si>
  <si>
    <t>Kota Denpasar</t>
  </si>
  <si>
    <t>Danau tempe no.35 sanur kecamatan Denpasar Selatan</t>
  </si>
  <si>
    <t>Tri</t>
  </si>
  <si>
    <t>0813 38035425</t>
  </si>
  <si>
    <t>trimandala01@gmail.com</t>
  </si>
  <si>
    <t xml:space="preserve">Agung Laundry/Agung Laundry Singaraja </t>
  </si>
  <si>
    <t>Kab. Buleleng</t>
  </si>
  <si>
    <t>Jln. Srikandi depan SMAN 2 Sambangan Singaraja - Bali 81119</t>
  </si>
  <si>
    <t>Sisilia Agustina</t>
  </si>
  <si>
    <t>081353777676</t>
  </si>
  <si>
    <t>berkahlaundrydps@gmail.com</t>
  </si>
  <si>
    <t>Berkah Laundry</t>
  </si>
  <si>
    <t>Jl. Pulau Moyo no.7b, sesetan, denpasar selatan</t>
  </si>
  <si>
    <t xml:space="preserve">S&amp;C Laundry </t>
  </si>
  <si>
    <t>0812 37987097</t>
  </si>
  <si>
    <t>laundrysc09@gmail.com</t>
  </si>
  <si>
    <t>Kab. Tabanan</t>
  </si>
  <si>
    <t>Jalan Gunung Agung 69.II, Pasekan Baleran, Tabanan.</t>
  </si>
  <si>
    <t xml:space="preserve">Dwi </t>
  </si>
  <si>
    <t>0878 03152309</t>
  </si>
  <si>
    <t>laundrycorner21@gmail.com</t>
  </si>
  <si>
    <t>8 Nindy Laundry/Nindy Laundry</t>
  </si>
  <si>
    <t>Jl. Dukuh Sari</t>
  </si>
  <si>
    <t>ari wulandari</t>
  </si>
  <si>
    <t>0819 852805</t>
  </si>
  <si>
    <t>ulandx@yahoo.com</t>
  </si>
  <si>
    <t>Laundry Tiang</t>
  </si>
  <si>
    <t>Jalan Kebo Iwa Utara No. 87, Padang Sambian Kaja - Denpasar Barat</t>
  </si>
  <si>
    <t>barry yudho briantoro</t>
  </si>
  <si>
    <t>0813 37379737</t>
  </si>
  <si>
    <t>kopisamakami@gmail.com</t>
  </si>
  <si>
    <t>SAMAKAMI</t>
  </si>
  <si>
    <t>Jl. Palapa No.88A</t>
  </si>
  <si>
    <t xml:space="preserve">DESI </t>
  </si>
  <si>
    <t>0819 4412 8567</t>
  </si>
  <si>
    <t>desiarya2015@gmail.com</t>
  </si>
  <si>
    <t>Top Laundry</t>
  </si>
  <si>
    <t>Banjar Denkayu Baleran</t>
  </si>
  <si>
    <t>M. Fatih Zakiyyurrahman</t>
  </si>
  <si>
    <t>822 44000148</t>
  </si>
  <si>
    <t>fatihzaky1234@gmail.com</t>
  </si>
  <si>
    <t>Zaky Laundry/Mama Laundry</t>
  </si>
  <si>
    <t>jl. sedap malam gg. seruni IVA</t>
  </si>
  <si>
    <t>0821 44000148</t>
  </si>
  <si>
    <t>Zaky Laundry/Zaky Laundry</t>
  </si>
  <si>
    <t>Jl. Anyelir gg. Rama no. 23</t>
  </si>
  <si>
    <t>Laundry Love</t>
  </si>
  <si>
    <t>0812 33107770</t>
  </si>
  <si>
    <t>laundrylove.id@gmail.com</t>
  </si>
  <si>
    <t>Laundry Love/Laundry Love - Kerobokan</t>
  </si>
  <si>
    <t>Jl. Raya Kerobokan no.20</t>
  </si>
  <si>
    <t>I Nyoman Hendra Setyawibawa, S.T</t>
  </si>
  <si>
    <t>0815 73412221</t>
  </si>
  <si>
    <t>geenalaundry@gmail.com</t>
  </si>
  <si>
    <t>Geena Laundry</t>
  </si>
  <si>
    <t>Jalan Kartika Plasa Gg Pendawa No.3 Lingk Tegal Kuta</t>
  </si>
  <si>
    <t>sari</t>
  </si>
  <si>
    <t>0812 46661864</t>
  </si>
  <si>
    <t>segenlaundrybali@gmail.com</t>
  </si>
  <si>
    <t>Segen laundry</t>
  </si>
  <si>
    <t>Jl. taman pancing timur denpasar selatan</t>
  </si>
  <si>
    <t>Anisa</t>
  </si>
  <si>
    <t>0831 14571767</t>
  </si>
  <si>
    <t>anisaputriani.cablek@gmail.com</t>
  </si>
  <si>
    <t>Sasha Laundry</t>
  </si>
  <si>
    <t>Jln. Darmawangsa, Kampial</t>
  </si>
  <si>
    <t>Detergent Laundry Bali</t>
  </si>
  <si>
    <t>0877 8268 9899</t>
  </si>
  <si>
    <t>Detergentlaundrybali@gmail.com</t>
  </si>
  <si>
    <t>Detergent laundry bali/Detergent Laundry Dalung</t>
  </si>
  <si>
    <t>Jl. Wira Buana XX Jl. Perum Dalung Permai No.32</t>
  </si>
  <si>
    <t xml:space="preserve">deCucci Laundry </t>
  </si>
  <si>
    <t>0813 3860 6859</t>
  </si>
  <si>
    <t>decucci2201@gmail.com</t>
  </si>
  <si>
    <t>de'Cucci Laundry &amp; drycleaning</t>
  </si>
  <si>
    <t>Jl.Pahlawan, Br. Tegal, Singaraja</t>
  </si>
  <si>
    <t>878 8268 9899</t>
  </si>
  <si>
    <t>Detergent laundry bali/Detergent Laundry Pulau Singkep</t>
  </si>
  <si>
    <t>Jl. Wira Buana XX Jl. Perum Dalung Permai No.33</t>
  </si>
  <si>
    <t>Kilo Laundry</t>
  </si>
  <si>
    <t>0812 3816 1111</t>
  </si>
  <si>
    <t>kilolaundry23@gmail.com</t>
  </si>
  <si>
    <t>kilo laundry</t>
  </si>
  <si>
    <t>Jalan Pulau Adi No 23</t>
  </si>
  <si>
    <t>876 8268 9899</t>
  </si>
  <si>
    <t xml:space="preserve">Detergent laundry bali/Outlet Tabanan
</t>
  </si>
  <si>
    <t>880 8268 9899</t>
  </si>
  <si>
    <t>Detergent laundry bali/Detergent Laundry Sanggulan</t>
  </si>
  <si>
    <t>Jl. Wira Buana XX Jl. Perum Dalung Permai No.35</t>
  </si>
  <si>
    <t>Wana Laundry &amp; Wana Shoes Care</t>
  </si>
  <si>
    <t>0812 3480 5116</t>
  </si>
  <si>
    <t>wanalaundrybali@gmail.com</t>
  </si>
  <si>
    <t>Wana Laundry/Wana Laundry &amp; Wana Shoes Care</t>
  </si>
  <si>
    <t>Jl. Beringin No. 116, Dalung</t>
  </si>
  <si>
    <t>i nyoman semadiyasa</t>
  </si>
  <si>
    <t>0812 385 7700</t>
  </si>
  <si>
    <t>semadi75@gmail.com</t>
  </si>
  <si>
    <t>SS LAUNDRY</t>
  </si>
  <si>
    <t>jalan raya muding no 45</t>
  </si>
  <si>
    <t>Detergentlaundry akasia</t>
  </si>
  <si>
    <t>0877 3554 9030</t>
  </si>
  <si>
    <t>Detergentlaundryakasia@gmail.com</t>
  </si>
  <si>
    <t>Detergent Laundry</t>
  </si>
  <si>
    <t>jl.Akasia XV no.7</t>
  </si>
  <si>
    <t>Customer Services A1</t>
  </si>
  <si>
    <t>085237263777</t>
  </si>
  <si>
    <t>cucisepatuketsbali@gmail.com</t>
  </si>
  <si>
    <t>Herbal Laundry/LAUNDRY PILIHAN, PILIHAN TEPAT UNTUK YANG TAK SEMPAT</t>
  </si>
  <si>
    <t>Jl. By Pass Ngurah Rai No 99 B, KedongananKuta Selatan, Bali</t>
  </si>
  <si>
    <t xml:space="preserve">Riendi Pratama </t>
  </si>
  <si>
    <t>0812 9598 9384</t>
  </si>
  <si>
    <t>riendi.pratama@gmail.com</t>
  </si>
  <si>
    <t>Adrienu laundry</t>
  </si>
  <si>
    <t>bali</t>
  </si>
  <si>
    <t>28</t>
  </si>
  <si>
    <t>879 8268 9899</t>
  </si>
  <si>
    <t>Detergent laundry bali/Detergent Laundry Renon</t>
  </si>
  <si>
    <t>Jl. Wira Buana XX Jl. Perum Dalung Permai No.34</t>
  </si>
  <si>
    <t>29</t>
  </si>
  <si>
    <t>Laundry Love/Laundry Love - Pererenan</t>
  </si>
  <si>
    <t>30</t>
  </si>
  <si>
    <t>Viva Yuniarti</t>
  </si>
  <si>
    <t>085285514388</t>
  </si>
  <si>
    <t>dilviolaundry@gmail.com</t>
  </si>
  <si>
    <t>Dilvio Laundry</t>
  </si>
  <si>
    <t>Jl. dewata no.22 kota depansar, denpasar selatan, sidakarya 80224</t>
  </si>
  <si>
    <t>31</t>
  </si>
  <si>
    <t>RUMAHA LAUNDRY SESETAN</t>
  </si>
  <si>
    <t>0896 8092 0301</t>
  </si>
  <si>
    <t>anikangel870@gmail.com</t>
  </si>
  <si>
    <t>RUMAHA Laundry/3jam SELESAI/RUMAHA LAUNDRY EXPRESS</t>
  </si>
  <si>
    <t>jln tegal wangi no 92 sesetan denpasar selatan</t>
  </si>
  <si>
    <t>32</t>
  </si>
  <si>
    <t>Nusa Laundry</t>
  </si>
  <si>
    <t>0878 1838 3388</t>
  </si>
  <si>
    <t>nusalaundrykampial@gmail.com</t>
  </si>
  <si>
    <t>jln Darmawangsa 29x kampial</t>
  </si>
  <si>
    <t>33</t>
  </si>
  <si>
    <t>Rajab Gani</t>
  </si>
  <si>
    <t>0881 037717041</t>
  </si>
  <si>
    <t>khalisaazzahragani@gmail.com</t>
  </si>
  <si>
    <t>Zahra laundry</t>
  </si>
  <si>
    <t>jalan gunung ringin no 1 Monang maning Denpasar barat</t>
  </si>
  <si>
    <t>34</t>
  </si>
  <si>
    <t xml:space="preserve">Arista </t>
  </si>
  <si>
    <t>085737304900</t>
  </si>
  <si>
    <t>Aristamesaribali@yahoo.com</t>
  </si>
  <si>
    <t>Arista Laundry</t>
  </si>
  <si>
    <t>Kab. Klungkung</t>
  </si>
  <si>
    <t>Jalan Raya Tusan-Banjarangkan</t>
  </si>
  <si>
    <t>35</t>
  </si>
  <si>
    <t>0852 37263777</t>
  </si>
  <si>
    <t>Cuci Sepatu Bali/Cuci Sepatu Freshoes</t>
  </si>
  <si>
    <t>36</t>
  </si>
  <si>
    <t xml:space="preserve">Ananda Nugraha </t>
  </si>
  <si>
    <t>081957491192</t>
  </si>
  <si>
    <t>anandanugraha53@gmail.com</t>
  </si>
  <si>
    <t>Detergen Laundry</t>
  </si>
  <si>
    <t>Jl. I Gusti Ngurah Rai, Mengwi, Kec Mengwi, Kabupaten Badung, Bali</t>
  </si>
  <si>
    <t>37</t>
  </si>
  <si>
    <t>RUMAHA LAUNDRY JIMBARAN</t>
  </si>
  <si>
    <t>081547167390</t>
  </si>
  <si>
    <t>RUMAHA LAUNDRY EXPRESS</t>
  </si>
  <si>
    <t>jln puri gading gg saribu (tepat di depan toko saribu)</t>
  </si>
  <si>
    <t>38</t>
  </si>
  <si>
    <t>Josepha</t>
  </si>
  <si>
    <t>082138444374</t>
  </si>
  <si>
    <t>Wash Pro 2123</t>
  </si>
  <si>
    <t>Jln. Yeh Gangga 1, Gubug, Tabanan</t>
  </si>
  <si>
    <t>39</t>
  </si>
  <si>
    <t>ida ayu krisna dewi putra</t>
  </si>
  <si>
    <t>081237887616</t>
  </si>
  <si>
    <t>krisnadewiputra@gmail.com</t>
  </si>
  <si>
    <t>Beta clean laundry</t>
  </si>
  <si>
    <t>jln.gn lumut no 46</t>
  </si>
  <si>
    <t>40</t>
  </si>
  <si>
    <t>Nurul Adjam</t>
  </si>
  <si>
    <t>085958950007</t>
  </si>
  <si>
    <t>nuruladjam6@gmail.com</t>
  </si>
  <si>
    <t>PICKERING LAUNDRY</t>
  </si>
  <si>
    <t>jl griya anyar no.92 gg cendrawasih pemogan - Denpasar Selatan</t>
  </si>
  <si>
    <t>41</t>
  </si>
  <si>
    <t>Arya Laundry</t>
  </si>
  <si>
    <t>081937290846</t>
  </si>
  <si>
    <t>aryalaundry10@gmail.com</t>
  </si>
  <si>
    <t>Jalan Tegal Wangi No 22 sesetan</t>
  </si>
  <si>
    <t>42</t>
  </si>
  <si>
    <t xml:space="preserve">glenda </t>
  </si>
  <si>
    <t>087865195929</t>
  </si>
  <si>
    <t>bubbleslaundry24@gmail.com</t>
  </si>
  <si>
    <t>Bubble's Laundry</t>
  </si>
  <si>
    <t>Jl. Raya Uluwatu, Pecatu</t>
  </si>
  <si>
    <t>43</t>
  </si>
  <si>
    <t>RUMAHA LAUNDRY PURIGADING</t>
  </si>
  <si>
    <t>rumahalaundry21@gmail.com</t>
  </si>
  <si>
    <t>Laundry</t>
  </si>
  <si>
    <t>Jln puri gading gg saribu (tepat di depan toko saribu)</t>
  </si>
  <si>
    <t>44</t>
  </si>
  <si>
    <t>081238161111</t>
  </si>
  <si>
    <t>kilo laundry/Kilo Laundry 2</t>
  </si>
  <si>
    <t>Panjer</t>
  </si>
  <si>
    <t>45</t>
  </si>
  <si>
    <t xml:space="preserve">Anisa </t>
  </si>
  <si>
    <t>081237935953</t>
  </si>
  <si>
    <t>Sasha Laundry/SASHA LAUNDRY</t>
  </si>
  <si>
    <t>46</t>
  </si>
  <si>
    <t>glenda</t>
  </si>
  <si>
    <t>085945951576</t>
  </si>
  <si>
    <t>bobasolaundry02@gmail.com</t>
  </si>
  <si>
    <t>Bobaso Laundry</t>
  </si>
  <si>
    <t>Teras Hijau Residen blok.3 no.33</t>
  </si>
  <si>
    <t>47</t>
  </si>
  <si>
    <t xml:space="preserve">Bali Tes </t>
  </si>
  <si>
    <t>082340134262</t>
  </si>
  <si>
    <t>tesbali869@gmail.com</t>
  </si>
  <si>
    <t>Check in laundry/Check in laundry</t>
  </si>
  <si>
    <t>Jln Batu Intan Utama No 16 Batubulan, Gianyar, Bali</t>
  </si>
  <si>
    <t>48</t>
  </si>
  <si>
    <t xml:space="preserve">One Love Laundry </t>
  </si>
  <si>
    <t>082241305157</t>
  </si>
  <si>
    <t>onelovelaundry192@gmail.com</t>
  </si>
  <si>
    <t>one love laundry/one love laundry</t>
  </si>
  <si>
    <t>jl. sidakarya no 192</t>
  </si>
  <si>
    <t>49</t>
  </si>
  <si>
    <t>NI PUTU PINGKA PRATIWI</t>
  </si>
  <si>
    <t>081916292293</t>
  </si>
  <si>
    <t>GINZZ LAUNDROMAT/GINZZ LAUNDROMAT</t>
  </si>
  <si>
    <t>Jalan. Gunung Karang  III 4A 1</t>
  </si>
  <si>
    <t>50</t>
  </si>
  <si>
    <t>owner</t>
  </si>
  <si>
    <t>085337764792</t>
  </si>
  <si>
    <t>laundryuk/LaundrYuk</t>
  </si>
  <si>
    <t>Jl Sakura IV Denpasar</t>
  </si>
  <si>
    <t>51</t>
  </si>
  <si>
    <t>Freshclean laundry</t>
  </si>
  <si>
    <t>085935363911</t>
  </si>
  <si>
    <t>freshcleanlaundry1999@gmail.com</t>
  </si>
  <si>
    <t>Freshclean/FRESHCLEAN BALI</t>
  </si>
  <si>
    <t>BALI</t>
  </si>
  <si>
    <t>52</t>
  </si>
  <si>
    <t>Puri Laundry Akasia</t>
  </si>
  <si>
    <t>082144461557</t>
  </si>
  <si>
    <t>purilaundryakasia@gmail.com</t>
  </si>
  <si>
    <t>Puri Laundry/Puri Laundry</t>
  </si>
  <si>
    <t>Jalan Akasia XV no.7</t>
  </si>
  <si>
    <t>53</t>
  </si>
  <si>
    <t>Beta clean laundry/MIRACLE LAUNDRY 2</t>
  </si>
  <si>
    <t>54</t>
  </si>
  <si>
    <t>Komang Diatmika</t>
  </si>
  <si>
    <t>081937092216</t>
  </si>
  <si>
    <t>diatmikakomang690@gmail.com</t>
  </si>
  <si>
    <t>kedas Laundry/kedas Laundry</t>
  </si>
  <si>
    <t>desa Pemaron dusun dauh Margi</t>
  </si>
  <si>
    <t>55</t>
  </si>
  <si>
    <t xml:space="preserve">VIRLY </t>
  </si>
  <si>
    <t>0881037755144</t>
  </si>
  <si>
    <t>D.V LAUNDRY/D.V LAUNDRY</t>
  </si>
  <si>
    <t>JL SEDAP MALAM NO 110 A. DENPASAR TIMUR</t>
  </si>
  <si>
    <t>56</t>
  </si>
  <si>
    <t>Nana Kasterin</t>
  </si>
  <si>
    <t>0818356761</t>
  </si>
  <si>
    <t>mail.laundrykubali@gmail.com</t>
  </si>
  <si>
    <t>Laundryku Bali/Laundryku Bali</t>
  </si>
  <si>
    <t>Jl Mertasari No. 109, Sidakarya - Denpasar</t>
  </si>
  <si>
    <t>57</t>
  </si>
  <si>
    <t xml:space="preserve">Bubble's 2 </t>
  </si>
  <si>
    <t>62881012801023</t>
  </si>
  <si>
    <t>Bubble 2/BUBBLE'S LAUNDRY 2</t>
  </si>
  <si>
    <t>Jalan Raya Uluwatu no 99x</t>
  </si>
  <si>
    <t xml:space="preserve"> </t>
  </si>
  <si>
    <t>Nurdin Araniri</t>
  </si>
  <si>
    <t>0818120024</t>
  </si>
  <si>
    <t>madanilaundrysyari@gmail.com</t>
  </si>
  <si>
    <t>Madani laundry/Madani laundry</t>
  </si>
  <si>
    <t>Kota Pangkal Pinang</t>
  </si>
  <si>
    <t>Jl. Salak II Keramat Kec Rangkui Pangkalpinang</t>
  </si>
  <si>
    <t>Madani laundry/Mitra Madani Laundry Syar'i Gun</t>
  </si>
  <si>
    <t>Jln Gandaria 1 RT 07 RW 03 Gerunggang</t>
  </si>
  <si>
    <t>Widya Novita</t>
  </si>
  <si>
    <t>082292404142</t>
  </si>
  <si>
    <t>babelcleaning1@gmail.com</t>
  </si>
  <si>
    <t>Babel Cleaning</t>
  </si>
  <si>
    <t>Pangkalpinang</t>
  </si>
  <si>
    <t>Hasan Sobri</t>
  </si>
  <si>
    <t>08127856520</t>
  </si>
  <si>
    <t>sobribadarawi.78@gmail.com</t>
  </si>
  <si>
    <t>Jl. Bukit Manggis Gg. Berkah</t>
  </si>
  <si>
    <t>Mimin Sustini</t>
  </si>
  <si>
    <t>0818 0608 4931</t>
  </si>
  <si>
    <t>miminsustini6@gmail.com</t>
  </si>
  <si>
    <t>MS Laundry</t>
  </si>
  <si>
    <t>Kota Tangerang Selatan</t>
  </si>
  <si>
    <t>Jalan Kenari No 1 Serua Pamulang</t>
  </si>
  <si>
    <t xml:space="preserve">Setiyo budhi </t>
  </si>
  <si>
    <t>0812 5303 2998</t>
  </si>
  <si>
    <t>setiyobudhi@gmail.com</t>
  </si>
  <si>
    <t>intessar laundry</t>
  </si>
  <si>
    <t>jl.mesran Raya M16/B6komplek Pertamina pondok Ranji Ciputat Tangerang Selatan</t>
  </si>
  <si>
    <t xml:space="preserve">Admin  Alea Laundry </t>
  </si>
  <si>
    <t>0821 1453 1064</t>
  </si>
  <si>
    <t>doelrich001@gmail.com</t>
  </si>
  <si>
    <t xml:space="preserve">Alea Laundry </t>
  </si>
  <si>
    <t>Kota Tangerang</t>
  </si>
  <si>
    <t>Jl. kihajar Dewantoro RT 03 RW 02 Gondrong Cipondoh Tangerang</t>
  </si>
  <si>
    <t>Nina Marlena</t>
  </si>
  <si>
    <t>0811 9413 111</t>
  </si>
  <si>
    <t>netto.roseville@gmail.com</t>
  </si>
  <si>
    <t>Netto Laundromat Roseville</t>
  </si>
  <si>
    <t>Ruko SOHO Roseville</t>
  </si>
  <si>
    <t>Nur</t>
  </si>
  <si>
    <t>0813 1133 3788</t>
  </si>
  <si>
    <t>meughah@yahoo.com</t>
  </si>
  <si>
    <t>Vertical Laundry</t>
  </si>
  <si>
    <t>golden park</t>
  </si>
  <si>
    <t>admin</t>
  </si>
  <si>
    <t>0877 8866 1138</t>
  </si>
  <si>
    <t>baybaylaundry@gmail.com</t>
  </si>
  <si>
    <t>baybay laundry/§ BAYBAY LAUNDRY §</t>
  </si>
  <si>
    <t>Kab. Tangerang</t>
  </si>
  <si>
    <t>Jl. Raya serang km 13.8 cikupa, kaws. Industri tunas bitung</t>
  </si>
  <si>
    <t>Ali Usman</t>
  </si>
  <si>
    <t>0899 9623 189</t>
  </si>
  <si>
    <t>farzanaarsyla02@gmail.com</t>
  </si>
  <si>
    <t>ISTANA LAUNDRY EXPRESS</t>
  </si>
  <si>
    <t>Kota Cilegon</t>
  </si>
  <si>
    <t>link. periuk desa Sukmajaya kecamatan jombang kota cilegon kawasan CCM</t>
  </si>
  <si>
    <t>BUDI SURIAWAN</t>
  </si>
  <si>
    <t>0812 7743 6909</t>
  </si>
  <si>
    <t>busurtop1@gmail.com</t>
  </si>
  <si>
    <t>CUCI MAX Laundry Profesional</t>
  </si>
  <si>
    <t>Villa Japos Ciledug Tangerang</t>
  </si>
  <si>
    <t>My Laundry</t>
  </si>
  <si>
    <t>0857 7607 2793</t>
  </si>
  <si>
    <t>maidy.herdian@gmail.com</t>
  </si>
  <si>
    <t>Cimone jaya Karawaci Tangerang</t>
  </si>
  <si>
    <t>OWNER Laundry MO88</t>
  </si>
  <si>
    <t>0813 8318 8688</t>
  </si>
  <si>
    <t>wellson.octo@gmail.com</t>
  </si>
  <si>
    <t>Laundry MO88</t>
  </si>
  <si>
    <t>Kompleks Villa Taman Bandarablok B1 no 30(Seberang dr. Sulaiman)</t>
  </si>
  <si>
    <t xml:space="preserve">putri ika septyani </t>
  </si>
  <si>
    <t>0813 14202094</t>
  </si>
  <si>
    <t>zalaundry@gmail.com</t>
  </si>
  <si>
    <t>za laundry/za laundry</t>
  </si>
  <si>
    <t>jalan masjid xii batas paninggilan utara ciledug tangerang</t>
  </si>
  <si>
    <t xml:space="preserve">anggi </t>
  </si>
  <si>
    <t>0889 73995043</t>
  </si>
  <si>
    <t>ariemasykur.amb@gmail.com</t>
  </si>
  <si>
    <t>Tabina Laundry</t>
  </si>
  <si>
    <t>Jl.kalitimbang jerang (depan SMP BCK/SMA BCA) Cibeber Cilegon</t>
  </si>
  <si>
    <t>za laundry/za laundry 2</t>
  </si>
  <si>
    <t xml:space="preserve">Risa </t>
  </si>
  <si>
    <t>082 299749986</t>
  </si>
  <si>
    <t>babyandersonbaby@gmail.com</t>
  </si>
  <si>
    <t>B'Laundry</t>
  </si>
  <si>
    <t>Ruko The Savia A2/25</t>
  </si>
  <si>
    <t>Susi</t>
  </si>
  <si>
    <t>0838 77852 383</t>
  </si>
  <si>
    <t>gustiawan_rizal@yahoo.co.id</t>
  </si>
  <si>
    <t>Queen Laundry 99/Queen Laundry 89</t>
  </si>
  <si>
    <t>Kp. Kawaron</t>
  </si>
  <si>
    <t>andi</t>
  </si>
  <si>
    <t>0881 7565575</t>
  </si>
  <si>
    <t>andigrest@gmail.com</t>
  </si>
  <si>
    <t>day clean laundry</t>
  </si>
  <si>
    <t>jl. stasiun cicayur cisauk tangerang</t>
  </si>
  <si>
    <t>Rina Marina</t>
  </si>
  <si>
    <t>0812 11361495</t>
  </si>
  <si>
    <t>muhamadnur832@gmail.com</t>
  </si>
  <si>
    <t>Yusie Laundry</t>
  </si>
  <si>
    <t>jln, Hpk Rt 02 Rw 04 no 104,Batuceper Tangerang</t>
  </si>
  <si>
    <t>Dayu</t>
  </si>
  <si>
    <t>0811 1558993</t>
  </si>
  <si>
    <t>dr.laundry9335@gmail.com</t>
  </si>
  <si>
    <t>DR.Laundry/DR.Laundry/DR.Laundry cab. Binong</t>
  </si>
  <si>
    <t>Perumahan Binong Permai Blok H3 no 001 kel. Binong Kec. Curug Tangerang</t>
  </si>
  <si>
    <t xml:space="preserve">Elizabeth </t>
  </si>
  <si>
    <t>0812 8000067</t>
  </si>
  <si>
    <t>babimerahjambu@yahoo.com</t>
  </si>
  <si>
    <t>Ezy Wash Laundromat/Ezy Wash Laundromat</t>
  </si>
  <si>
    <t>Ruko Pamulang Permai blok SH 1 no. 13</t>
  </si>
  <si>
    <t>Muksin Mujih</t>
  </si>
  <si>
    <t>0878 87879003</t>
  </si>
  <si>
    <t>muksinmujih84@gmail.com</t>
  </si>
  <si>
    <t>TiaNova Laundry Cipadu</t>
  </si>
  <si>
    <t>Jl.Japos Raya,kp.Pondok Jati Utama RT4/3 Jurang Mangu Barat,Pondok Aren,Tangsel</t>
  </si>
  <si>
    <t>Iqbal Ramadhan</t>
  </si>
  <si>
    <t>0877 72542596</t>
  </si>
  <si>
    <t>lounderialaundry@gmail.com</t>
  </si>
  <si>
    <t>Lounderia Laundry</t>
  </si>
  <si>
    <t>Ruko Ciputat Niaga Lestari, Jl. Dewi Sartika</t>
  </si>
  <si>
    <t>Elizabeth</t>
  </si>
  <si>
    <t>Ezy Wash Laundromat/Ezy Wash Laundromat Bekasi</t>
  </si>
  <si>
    <t>Kota Bekasi</t>
  </si>
  <si>
    <t>Jl. Patriot no 188A</t>
  </si>
  <si>
    <t>Mahyudin Yudhi</t>
  </si>
  <si>
    <t>0817 717255</t>
  </si>
  <si>
    <t>mahyudin.algamar65@gmail.com</t>
  </si>
  <si>
    <t>clean laundry/Clean Laundry Kepa</t>
  </si>
  <si>
    <t>jl.IR H juanda no 23</t>
  </si>
  <si>
    <t>TiaNova Laundry kiloan AMD</t>
  </si>
  <si>
    <t>Romai kurniawati</t>
  </si>
  <si>
    <t>0877 77784081</t>
  </si>
  <si>
    <t>nia.tofani@gmail.com</t>
  </si>
  <si>
    <t>SPOT LAUNDRY/RAGAM LAUNDRY</t>
  </si>
  <si>
    <t>Jl. AMD. Babakan 3 Pocis</t>
  </si>
  <si>
    <t>4M FAMILY</t>
  </si>
  <si>
    <t>0897 2724440</t>
  </si>
  <si>
    <t>nurrochimmahfudz@gmail.com</t>
  </si>
  <si>
    <t>4M Laundry</t>
  </si>
  <si>
    <t>Perumahan Duta asri cadas blok H no 60</t>
  </si>
  <si>
    <t xml:space="preserve">Abdurahman, SE </t>
  </si>
  <si>
    <t>0821 30006836</t>
  </si>
  <si>
    <t>rahman1507@gmail.com</t>
  </si>
  <si>
    <t>Syantik Laundry</t>
  </si>
  <si>
    <t>Jl. Putri Sima Raya nomor 1 Kel. Uwung Jaya Kec. Cibodas Kota Tangerang 15138</t>
  </si>
  <si>
    <t>Willy Laundry</t>
  </si>
  <si>
    <t>0821 89830880</t>
  </si>
  <si>
    <t>willy.laundry21@gmail.com</t>
  </si>
  <si>
    <t>Willy laundry</t>
  </si>
  <si>
    <t>Gang Jambu No.50 RT.04 RW.04</t>
  </si>
  <si>
    <t>Cs 1</t>
  </si>
  <si>
    <t>0819 11190098</t>
  </si>
  <si>
    <t>kharisma.king@gmail.com</t>
  </si>
  <si>
    <t>Remember Laundry</t>
  </si>
  <si>
    <t>Kab. Lebak</t>
  </si>
  <si>
    <t>lebak</t>
  </si>
  <si>
    <t>DIGNITY SINAGA</t>
  </si>
  <si>
    <t>0823 70098185</t>
  </si>
  <si>
    <t>dignitychio@gmail.com</t>
  </si>
  <si>
    <t>DIGNITY LAUNDRY/DIGNITY LAUNDRY PUSAT (jln jawa)</t>
  </si>
  <si>
    <t xml:space="preserve">Kota Tangerang </t>
  </si>
  <si>
    <t>tanggerang</t>
  </si>
  <si>
    <t>Goo Laundry</t>
  </si>
  <si>
    <t>0821 20111146</t>
  </si>
  <si>
    <t>goolaundry45@gmail.com</t>
  </si>
  <si>
    <t>Goolaundry/Goolaundry, kelapa 2</t>
  </si>
  <si>
    <t>Kab. Serang</t>
  </si>
  <si>
    <t>kos sindang heula</t>
  </si>
  <si>
    <t xml:space="preserve">Kang Cuci </t>
  </si>
  <si>
    <t>0896 37566463</t>
  </si>
  <si>
    <t>axfajaya@gmail.com</t>
  </si>
  <si>
    <t>AXFA•JAYA {Laundry &amp; Dry Clean}</t>
  </si>
  <si>
    <t>Jl. Kramat Raya</t>
  </si>
  <si>
    <t>Restu Amalia Prilansih</t>
  </si>
  <si>
    <t>0878 77023099</t>
  </si>
  <si>
    <t>n2groupku@gmail.com</t>
  </si>
  <si>
    <t>N2 Laundry</t>
  </si>
  <si>
    <t>Jl. Maulana Hasanudin No.30 Rt.003/ Rw.003Gang H.Rojiun (Belakang Masjid Jami Al-Barkah) Kel. Poris Jaya, Kec. Batu Ceper, Kota Tangerang</t>
  </si>
  <si>
    <t xml:space="preserve">ΛZKΛ </t>
  </si>
  <si>
    <t>0813 80040140</t>
  </si>
  <si>
    <t>wasito3544@gmail.com</t>
  </si>
  <si>
    <t>wsa fresh laundry/wsa fresh laundry/ ᴡꜱᴀ ꜰʀᴇꜱʜ</t>
  </si>
  <si>
    <t>Kp sempur rt 03/04 pasir muncang jayanti tangerang</t>
  </si>
  <si>
    <t xml:space="preserve">Hi Frais </t>
  </si>
  <si>
    <t>0851 62548846</t>
  </si>
  <si>
    <t>myweddinglyfe@gmail.com</t>
  </si>
  <si>
    <t>Hi Frais Laundry</t>
  </si>
  <si>
    <t>Cikupa Tangerang</t>
  </si>
  <si>
    <t>Rosi</t>
  </si>
  <si>
    <t>0813 15713738</t>
  </si>
  <si>
    <t>laundryamazing@gmail.com</t>
  </si>
  <si>
    <t>Amazing Laundry</t>
  </si>
  <si>
    <t>Perumahan Permata Mutiara Maja. Ruko Niaga Saphire Blok NS. A02 Kel Curug Badak, Kec Maja, Kab Lebak, Prov Banten</t>
  </si>
  <si>
    <t>Mitra Laundry</t>
  </si>
  <si>
    <t>0857 71501570</t>
  </si>
  <si>
    <t>ownermitralaundry@gmail.com</t>
  </si>
  <si>
    <t>mitra laundry/mitra laundry 1</t>
  </si>
  <si>
    <t>jalan padat karya rt 13 /06 kel sukamulya kecamatan cikupa tanggerang banten</t>
  </si>
  <si>
    <t xml:space="preserve">bintang prasetyo </t>
  </si>
  <si>
    <t>0895 14418108</t>
  </si>
  <si>
    <t>bintangtyo73@gmail.com</t>
  </si>
  <si>
    <t>Bintang Laundry</t>
  </si>
  <si>
    <t>BINTANG LAUNDRY, Komplek ruko, Pasir Bolang, Tigaraksa Kec., Kabupaten Tangerang, Banten 15720</t>
  </si>
  <si>
    <t xml:space="preserve">ubah </t>
  </si>
  <si>
    <t>0852 81608819</t>
  </si>
  <si>
    <t>rianaza913@gmail.com</t>
  </si>
  <si>
    <t>ubah laundry/ubah laundry</t>
  </si>
  <si>
    <t>keragilan</t>
  </si>
  <si>
    <t>ubah laundry/ubah laundry ciruas</t>
  </si>
  <si>
    <t>ciruas</t>
  </si>
  <si>
    <t>Londeri Beringin Raya</t>
  </si>
  <si>
    <t>0856 93400073</t>
  </si>
  <si>
    <t>londeri.001@gmail.com</t>
  </si>
  <si>
    <t>londeri</t>
  </si>
  <si>
    <t>jl beringin Raya no 163</t>
  </si>
  <si>
    <t>Sri Maryati</t>
  </si>
  <si>
    <t>085217473192</t>
  </si>
  <si>
    <t>SR laundry</t>
  </si>
  <si>
    <t>jl. prof Hamka blok F5 no.1, bulak wareng, Kel. larangan selatan</t>
  </si>
  <si>
    <t xml:space="preserve">Tati Sumirah </t>
  </si>
  <si>
    <t>0896 36150518</t>
  </si>
  <si>
    <t>tatisumirah02@gmail.com</t>
  </si>
  <si>
    <t xml:space="preserve">Zahra Laundry/Exferia Laundry Expres        </t>
  </si>
  <si>
    <t>Ketapang Cipondoh Tangerang</t>
  </si>
  <si>
    <t>za laundry/za laundry 3</t>
  </si>
  <si>
    <t>Nita</t>
  </si>
  <si>
    <t>0813 11052489</t>
  </si>
  <si>
    <t>prionos58@gmail.com</t>
  </si>
  <si>
    <t>SMESTA Laundry</t>
  </si>
  <si>
    <t>Griya Kencana 2 Blok i No.2 Sudimara Barat, Ciledug Tangerang</t>
  </si>
  <si>
    <t xml:space="preserve">Moni Laundry </t>
  </si>
  <si>
    <t>0812 8339 1166</t>
  </si>
  <si>
    <t>evonnyjohanes21@gmail.com</t>
  </si>
  <si>
    <t>MONI LAUNDRY</t>
  </si>
  <si>
    <t>Jalan raya cisauk lapan</t>
  </si>
  <si>
    <t xml:space="preserve">Laundry Lab </t>
  </si>
  <si>
    <t>0819 488 8311</t>
  </si>
  <si>
    <t>laundrylabidgs@gmail.com</t>
  </si>
  <si>
    <t>Laundry Lab</t>
  </si>
  <si>
    <t>Ruko Arcadia Grande blok A-31</t>
  </si>
  <si>
    <t>deni supriatna</t>
  </si>
  <si>
    <t>0895 61653 8839</t>
  </si>
  <si>
    <t>ds9330861@gmail.com</t>
  </si>
  <si>
    <t>silver star laundry</t>
  </si>
  <si>
    <t>jl bangau rt 05/2 kp sawah poncol (depan sekolah sdi assalam</t>
  </si>
  <si>
    <t>Adro Servis Indonesia</t>
  </si>
  <si>
    <t>0877 5520 2050</t>
  </si>
  <si>
    <t>bibicucilaundry.bcl@gmail.com</t>
  </si>
  <si>
    <t>Bibi Cuci Laundry</t>
  </si>
  <si>
    <t>Ruko No.1 Salakanagara</t>
  </si>
  <si>
    <t xml:space="preserve">Azkayra Shezan </t>
  </si>
  <si>
    <t>0815 1446 2416</t>
  </si>
  <si>
    <t>azkayrashezan12@gmail.com</t>
  </si>
  <si>
    <t>Kayra Laundry</t>
  </si>
  <si>
    <t>Jl. Rajawali 14, RT.002 RW.004</t>
  </si>
  <si>
    <t>Satya laundry</t>
  </si>
  <si>
    <t>0831 7045 0183</t>
  </si>
  <si>
    <t>satyalaundrypci@gmail.com</t>
  </si>
  <si>
    <t>Satya Laundry/Satya Laundry PCI</t>
  </si>
  <si>
    <t>Pondok Cilegon Indah blok C60 no.26</t>
  </si>
  <si>
    <t>Adinda Aulia Puteri</t>
  </si>
  <si>
    <t>085809092343</t>
  </si>
  <si>
    <t>Dryklin Laundry</t>
  </si>
  <si>
    <t>Jalan raya pajajaran no.18, Tangerang Selatan</t>
  </si>
  <si>
    <t>08111558993</t>
  </si>
  <si>
    <t>DR.Laundry/DR.Laundry Cab. Binong Permai</t>
  </si>
  <si>
    <t>Owner Bibi Cuci Laundry</t>
  </si>
  <si>
    <t>082111311444</t>
  </si>
  <si>
    <t>rm.adieb@gmail.com</t>
  </si>
  <si>
    <t>Bibi Laundry/Bibi Cuci Laundry - Balaraja</t>
  </si>
  <si>
    <t>Balaraja Tangerang</t>
  </si>
  <si>
    <t>Her lina</t>
  </si>
  <si>
    <t>0813 8344 4223</t>
  </si>
  <si>
    <t>linaher764@gmail.com</t>
  </si>
  <si>
    <t>Lina laundry</t>
  </si>
  <si>
    <t>kp.tigarasa/kaduagung</t>
  </si>
  <si>
    <t xml:space="preserve">Gusti Putu Panji Surya </t>
  </si>
  <si>
    <t>0813 6863 9194</t>
  </si>
  <si>
    <t>panjisurya.26.ps@gmail.com</t>
  </si>
  <si>
    <t>Tavisya Laundry/TAVISHA LAUNDRY</t>
  </si>
  <si>
    <t>jl. Desa Bojong no. 62, Bojong, Kec. Cikupa, Tangerang, Banten 15710</t>
  </si>
  <si>
    <t>leny</t>
  </si>
  <si>
    <t>0877 7713 9459</t>
  </si>
  <si>
    <t>GetlaundryRMJ@gmail.com</t>
  </si>
  <si>
    <t>Get Laundry RMJ/Get Laundry RMJ</t>
  </si>
  <si>
    <t>Jl. Ciater Rt 004 / Rw 022 Kel. Rawabuntu Kec. Serpong</t>
  </si>
  <si>
    <t>58</t>
  </si>
  <si>
    <t xml:space="preserve">warino cerano </t>
  </si>
  <si>
    <t>081410202984</t>
  </si>
  <si>
    <t>bjsslaundry@gmail.com</t>
  </si>
  <si>
    <t>bjsslaundry/1.Teh Manis Solo.Tmn Ceger</t>
  </si>
  <si>
    <t>jl.mushola .no.103 rt.03/rw.04 pondok kacang timur Pondok Aren Tangsel Banten</t>
  </si>
  <si>
    <t>59</t>
  </si>
  <si>
    <t>Leny</t>
  </si>
  <si>
    <t>087777139459</t>
  </si>
  <si>
    <t>Get Laundry RMJ / Get Laundry Serpong Ekpress</t>
  </si>
  <si>
    <t>60</t>
  </si>
  <si>
    <t xml:space="preserve">Leny </t>
  </si>
  <si>
    <t>0877 77139459</t>
  </si>
  <si>
    <t>Get Laundry RMJ/Get Laundry Ciater</t>
  </si>
  <si>
    <t>61</t>
  </si>
  <si>
    <t xml:space="preserve">Sumiyati Kusumo </t>
  </si>
  <si>
    <t>087808510613</t>
  </si>
  <si>
    <t>kusumosumiyati@gmail.com</t>
  </si>
  <si>
    <t>berkah laundry</t>
  </si>
  <si>
    <t>jalan raya serang km 18.5</t>
  </si>
  <si>
    <t>62</t>
  </si>
  <si>
    <t>Amanahclean Laundry</t>
  </si>
  <si>
    <t>085772531302</t>
  </si>
  <si>
    <t>laundryamanahclean@gmail.com</t>
  </si>
  <si>
    <t>Amanah Clean Laundry</t>
  </si>
  <si>
    <t>Pasar Segar Graha Raya Blok KA 2 No 10</t>
  </si>
  <si>
    <t>63</t>
  </si>
  <si>
    <t>Defri Mardona</t>
  </si>
  <si>
    <t>081287784546</t>
  </si>
  <si>
    <t>defrimardona92@gmail.com</t>
  </si>
  <si>
    <t>Delta Laundry</t>
  </si>
  <si>
    <t>Loftvilles City</t>
  </si>
  <si>
    <t>64</t>
  </si>
  <si>
    <t>Bibi Laundry/Bibi Cuci Laundry - Tigaraksa</t>
  </si>
  <si>
    <t>65</t>
  </si>
  <si>
    <t>Bibi Laundry/JARI SAKTI</t>
  </si>
  <si>
    <t>66</t>
  </si>
  <si>
    <t>Get Laundry RMJ/Get Laundry Kodiklat</t>
  </si>
  <si>
    <t>67</t>
  </si>
  <si>
    <t xml:space="preserve">Resix Laundry </t>
  </si>
  <si>
    <t>0821 2238 9073</t>
  </si>
  <si>
    <t>Resix Laundry</t>
  </si>
  <si>
    <t>Jln.wisma tajur No 69 Rt 5 Rw 10,pondok kacang barat,pondok aren kota Tangerang selatan,banten</t>
  </si>
  <si>
    <t>68</t>
  </si>
  <si>
    <t>Regina Leonard</t>
  </si>
  <si>
    <t>081291162610</t>
  </si>
  <si>
    <t>cucistlaundry@gmail.com</t>
  </si>
  <si>
    <t>Cucist Laundry</t>
  </si>
  <si>
    <t>Jalan Dayung raya no.29 CKelapa dua</t>
  </si>
  <si>
    <t>69</t>
  </si>
  <si>
    <t>0857 7150 1570</t>
  </si>
  <si>
    <t xml:space="preserve">mitra laundry/mitra laundry 2 </t>
  </si>
  <si>
    <t>70</t>
  </si>
  <si>
    <t xml:space="preserve">Asep Rochmat </t>
  </si>
  <si>
    <t>081210449225</t>
  </si>
  <si>
    <t>PROJECT FRESH LAUNDRY</t>
  </si>
  <si>
    <t>Harkit - Tangerang</t>
  </si>
  <si>
    <t>71</t>
  </si>
  <si>
    <t xml:space="preserve">novi yantih </t>
  </si>
  <si>
    <t>0856 9703 6954</t>
  </si>
  <si>
    <t>ricoprasetyakartadimadja@gmail.com</t>
  </si>
  <si>
    <t>loundry168</t>
  </si>
  <si>
    <t>jl pintu air rt 03/02 karang tengah no.23</t>
  </si>
  <si>
    <t>72</t>
  </si>
  <si>
    <t xml:space="preserve">Hanny </t>
  </si>
  <si>
    <t>0856 9777 9125</t>
  </si>
  <si>
    <t>hi.shirolaundry@gmail.com</t>
  </si>
  <si>
    <t>Shiro Laundry</t>
  </si>
  <si>
    <t>Jl. Masjid Ciater No 130</t>
  </si>
  <si>
    <t>73</t>
  </si>
  <si>
    <t>0813 1020 2984</t>
  </si>
  <si>
    <t>bjsslaundry/2.BjssLaundry(TMS Bscm Ceger)</t>
  </si>
  <si>
    <t>74</t>
  </si>
  <si>
    <t xml:space="preserve">fira </t>
  </si>
  <si>
    <t>0812 1212 1531</t>
  </si>
  <si>
    <t>clin9laundry@gmail.com</t>
  </si>
  <si>
    <t>cling laundry and dry clean</t>
  </si>
  <si>
    <t>jl sibi II no. 2</t>
  </si>
  <si>
    <t>75</t>
  </si>
  <si>
    <t xml:space="preserve">Juwita </t>
  </si>
  <si>
    <t>088224787527</t>
  </si>
  <si>
    <t>my laundry (Juwita)</t>
  </si>
  <si>
    <t>jl nila perum 1 tangerang</t>
  </si>
  <si>
    <t>76</t>
  </si>
  <si>
    <t>Selly Andini</t>
  </si>
  <si>
    <t>082297051345</t>
  </si>
  <si>
    <t>sultanlaundry.co@gmail.com</t>
  </si>
  <si>
    <t>Sultan Laundry. co</t>
  </si>
  <si>
    <t>Kota Tanggerang</t>
  </si>
  <si>
    <t>Perumahan taman cibodas jl. Duta Raya Blok H1 No. 2</t>
  </si>
  <si>
    <t>77</t>
  </si>
  <si>
    <t>Get Laundry RMJ/Get Laundry Serpong Ekpress</t>
  </si>
  <si>
    <t>78</t>
  </si>
  <si>
    <t>DIGNITY LAUNDRY/DIGNITY LAUNDRY 2 (TP)</t>
  </si>
  <si>
    <t>79</t>
  </si>
  <si>
    <t>FasaLaundry</t>
  </si>
  <si>
    <t>0838 7267 8693</t>
  </si>
  <si>
    <t>FasLaundry</t>
  </si>
  <si>
    <t>Jalan Sawo Raya .</t>
  </si>
  <si>
    <t>80</t>
  </si>
  <si>
    <t xml:space="preserve">Judy Halim </t>
  </si>
  <si>
    <t>0817 006 1972</t>
  </si>
  <si>
    <t>Engkong Mukmin</t>
  </si>
  <si>
    <t>Poris gaga blok suka damai rt03/04 no 141</t>
  </si>
  <si>
    <t>81</t>
  </si>
  <si>
    <t>Orca</t>
  </si>
  <si>
    <t>0878 8807 2632</t>
  </si>
  <si>
    <t>orcadot.01@gmail.com</t>
  </si>
  <si>
    <t>Orca Laundry</t>
  </si>
  <si>
    <t>Ruko Serpong Park P1 no 15</t>
  </si>
  <si>
    <t>82</t>
  </si>
  <si>
    <t>Srie</t>
  </si>
  <si>
    <t>083873246858</t>
  </si>
  <si>
    <t>s_wahyuni77@yahoo.com</t>
  </si>
  <si>
    <t>Nadifa Laundry/SEVEN LAUNDRY</t>
  </si>
  <si>
    <t>jl raya dr setiabudi no 22</t>
  </si>
  <si>
    <t>83</t>
  </si>
  <si>
    <t>Dwi retno</t>
  </si>
  <si>
    <t>081298816815</t>
  </si>
  <si>
    <t>laundrydinew.ci@gmail.com</t>
  </si>
  <si>
    <t>New_ci</t>
  </si>
  <si>
    <t>Jl. tembaga no.18 perumnas III</t>
  </si>
  <si>
    <t>84</t>
  </si>
  <si>
    <t>Febri nurmalasari sagita</t>
  </si>
  <si>
    <t>08567099665</t>
  </si>
  <si>
    <t>Starlight Laundry</t>
  </si>
  <si>
    <t>perum 1 jalan nila</t>
  </si>
  <si>
    <t>85</t>
  </si>
  <si>
    <t>Lisma</t>
  </si>
  <si>
    <t>083865343518</t>
  </si>
  <si>
    <t>lismayaniaja@gmail.com</t>
  </si>
  <si>
    <t>Bizar Laundry</t>
  </si>
  <si>
    <t>Jl.Kebantenan RT 05 RT 08 No.86 GG.H. Katong Kecamatan Pondok Aren Tangerang Selatan</t>
  </si>
  <si>
    <t>86</t>
  </si>
  <si>
    <t xml:space="preserve">Klik Laundry </t>
  </si>
  <si>
    <t>0819 32186043</t>
  </si>
  <si>
    <t>klik laundryku</t>
  </si>
  <si>
    <t>kp.Tanah merah Ds.Tanah merah Jl.Raya kedaung rt : 05 / RW : 04</t>
  </si>
  <si>
    <t>87</t>
  </si>
  <si>
    <t xml:space="preserve">Devita </t>
  </si>
  <si>
    <t>081933119168</t>
  </si>
  <si>
    <t>devita_cbti@yahoo.com</t>
  </si>
  <si>
    <t>D&amp;D Laundry</t>
  </si>
  <si>
    <t>Ruko Grand Arcade Blok VC 1 No. 102</t>
  </si>
  <si>
    <t>88</t>
  </si>
  <si>
    <t>Wibowo</t>
  </si>
  <si>
    <t>081905299444</t>
  </si>
  <si>
    <t>btoenlaundrywaroeng@gmail.com</t>
  </si>
  <si>
    <t>Btoen Waroeng Laundry</t>
  </si>
  <si>
    <t>Jl. Grand Tomang Boulevard Blok R4 No. 19-21</t>
  </si>
  <si>
    <t>89</t>
  </si>
  <si>
    <t>818 717255</t>
  </si>
  <si>
    <t>clean laundry/Clean Laundry  TDU</t>
  </si>
  <si>
    <t>jl.IR H juanda no 24</t>
  </si>
  <si>
    <t>90</t>
  </si>
  <si>
    <t>Queen Laundry 99/Arsyila Laundry</t>
  </si>
  <si>
    <t>91</t>
  </si>
  <si>
    <t>Rebee Laundry</t>
  </si>
  <si>
    <t>081513590574</t>
  </si>
  <si>
    <t>rebeelaundry@gmail.com</t>
  </si>
  <si>
    <t>RebeeLaundry</t>
  </si>
  <si>
    <t>Permata balaraja, Rt 02/01 jl. kalimaya 1. desa saga kecamatan balaraja</t>
  </si>
  <si>
    <t>92</t>
  </si>
  <si>
    <t xml:space="preserve">Kim Laundry </t>
  </si>
  <si>
    <t>081807085001</t>
  </si>
  <si>
    <t>kimlaundry11@gmail.com</t>
  </si>
  <si>
    <t>Kim Laundry</t>
  </si>
  <si>
    <t>Jl . Raya Dadap No.2 Tangerang</t>
  </si>
  <si>
    <t>93</t>
  </si>
  <si>
    <t>mitra laundry/mitra laundry 3</t>
  </si>
  <si>
    <t>94</t>
  </si>
  <si>
    <t>0852 17473192</t>
  </si>
  <si>
    <t>maryatis841@gmail.com</t>
  </si>
  <si>
    <t>SR laundry/SR laundry</t>
  </si>
  <si>
    <t>95</t>
  </si>
  <si>
    <t>Kirana Afiqah Cahyadi</t>
  </si>
  <si>
    <t>081336627788</t>
  </si>
  <si>
    <t>belladwiaprianti15@gmail.com</t>
  </si>
  <si>
    <t>Nana Laundry Expressa</t>
  </si>
  <si>
    <t>Kota Serang</t>
  </si>
  <si>
    <t>Jl Lintas Taktakan (Sebelah Nada Shop)Nana Laundry Shop (Ruko Bag Tengah,  Warna Ungu)</t>
  </si>
  <si>
    <t>96</t>
  </si>
  <si>
    <t>MyProjectLaundry</t>
  </si>
  <si>
    <t>085943197592</t>
  </si>
  <si>
    <t>myprojectlaundry95@gmail.com</t>
  </si>
  <si>
    <t>my project laundry</t>
  </si>
  <si>
    <t>Jl. Dr Sukaman E1 No 8 - HARKIT</t>
  </si>
  <si>
    <t>97</t>
  </si>
  <si>
    <t>Owner Dfly</t>
  </si>
  <si>
    <t>082398922244</t>
  </si>
  <si>
    <t>ownerdefly@gmail.com</t>
  </si>
  <si>
    <t>Defly Laundry Express</t>
  </si>
  <si>
    <t>ruko the hive parc I no 17lippo village - jalan cendana parc raya 1 no 17</t>
  </si>
  <si>
    <t>98</t>
  </si>
  <si>
    <t>Gina Zerliana</t>
  </si>
  <si>
    <t>ayolaundry888@gmail.com</t>
  </si>
  <si>
    <t>Ayo Laundry</t>
  </si>
  <si>
    <t>Jalan Pasir Awi, RT/RW 003/002</t>
  </si>
  <si>
    <t>99</t>
  </si>
  <si>
    <t xml:space="preserve">sarini </t>
  </si>
  <si>
    <t>6287774068833</t>
  </si>
  <si>
    <t>laundrymrf@gmail.com</t>
  </si>
  <si>
    <t>laundrymrf/LAUNDRYMRF</t>
  </si>
  <si>
    <t>kp rawabuaya rt 03/04 kel.medang kec.pagedangan kab.tangerang.(banten)</t>
  </si>
  <si>
    <t>100</t>
  </si>
  <si>
    <t>SR laundry/	SR laundry 2</t>
  </si>
  <si>
    <t>101</t>
  </si>
  <si>
    <t>Cucist Laundry/Cucist Laundry West Park</t>
  </si>
  <si>
    <t>102</t>
  </si>
  <si>
    <t xml:space="preserve">Dicuciin Beruang </t>
  </si>
  <si>
    <t>087732755417</t>
  </si>
  <si>
    <t>dicuciinberuang27@gmail.com</t>
  </si>
  <si>
    <t>dicuciin beruang</t>
  </si>
  <si>
    <t>komp bukit Indah blok D1/1</t>
  </si>
  <si>
    <t>103</t>
  </si>
  <si>
    <t>Elses Diana</t>
  </si>
  <si>
    <t>082210359011</t>
  </si>
  <si>
    <t>Bakhtiarelses@gmail.com</t>
  </si>
  <si>
    <t>Hasanah Laundry</t>
  </si>
  <si>
    <t>Jl.Perdata 3 B7 No.17 Pengayoman</t>
  </si>
  <si>
    <t>104</t>
  </si>
  <si>
    <t>Elvis</t>
  </si>
  <si>
    <t>085922081723</t>
  </si>
  <si>
    <t>elvishong088@gmail.com</t>
  </si>
  <si>
    <t>Hime Laundry</t>
  </si>
  <si>
    <t>perumahan palem ganda asri 2 cluster AA blok H no 29</t>
  </si>
  <si>
    <t>105</t>
  </si>
  <si>
    <t>Kostaycation CitraRaya</t>
  </si>
  <si>
    <t>082189088408</t>
  </si>
  <si>
    <t>kosayacitraraya@gmail.com</t>
  </si>
  <si>
    <t>Laundry Kostaycation</t>
  </si>
  <si>
    <t>Academia pavilion &amp; Residence GB 8 Nomer 28 citraraya tangerang</t>
  </si>
  <si>
    <t>106</t>
  </si>
  <si>
    <t>Ahmad Suryanto</t>
  </si>
  <si>
    <t>08561901432</t>
  </si>
  <si>
    <t>baguslaundry16@gmail.com</t>
  </si>
  <si>
    <t>Bagus Laundry</t>
  </si>
  <si>
    <t>jl gurame 2 no 1 perumnas 1 Karawaci baru Tangerang</t>
  </si>
  <si>
    <t>107</t>
  </si>
  <si>
    <t>082210274495</t>
  </si>
  <si>
    <t>juwitawibowo8883@gmail.com</t>
  </si>
  <si>
    <t>my laundry</t>
  </si>
  <si>
    <t>jl nila raya perum 1 tangerang</t>
  </si>
  <si>
    <t>108</t>
  </si>
  <si>
    <t>Nena Margareta</t>
  </si>
  <si>
    <t>085692858211</t>
  </si>
  <si>
    <t>NaMa Laundry</t>
  </si>
  <si>
    <t>kp. bulak wareng raya, kios no. 42 B, larangan selatan</t>
  </si>
  <si>
    <t>109</t>
  </si>
  <si>
    <t>Esabella Regina</t>
  </si>
  <si>
    <t>08179804045</t>
  </si>
  <si>
    <t>esabella.regina@gmail.com</t>
  </si>
  <si>
    <t>Better Laundry</t>
  </si>
  <si>
    <t>Metro Permata 1 Blok O5 no 8</t>
  </si>
  <si>
    <t>110</t>
  </si>
  <si>
    <t>Suwarni Lin</t>
  </si>
  <si>
    <t>081310643968</t>
  </si>
  <si>
    <t>Wishy washi</t>
  </si>
  <si>
    <t>Rukan osaka S06 OTA</t>
  </si>
  <si>
    <t>111</t>
  </si>
  <si>
    <t>Abi Hafidz</t>
  </si>
  <si>
    <t>085217955565</t>
  </si>
  <si>
    <t>noer.underbon9048@gmail.com</t>
  </si>
  <si>
    <t>AZZAHRO LAUNDRY ٣٨ CIKANDE</t>
  </si>
  <si>
    <t>kp.Gegong burung Rt 02/02 Desa situterate Kec. Cikande Kabupaten SERANG BANTEN  kode pos 42186</t>
  </si>
  <si>
    <t>112</t>
  </si>
  <si>
    <t xml:space="preserve">Beby Pasaribu </t>
  </si>
  <si>
    <t>087885100177</t>
  </si>
  <si>
    <t>bebypasaribu@gmail.com</t>
  </si>
  <si>
    <t>Kirim Laundry Aja</t>
  </si>
  <si>
    <t>pamulang regency blok a3 no 6</t>
  </si>
  <si>
    <t>113</t>
  </si>
  <si>
    <t xml:space="preserve">Laundry Sekang </t>
  </si>
  <si>
    <t>08979033709</t>
  </si>
  <si>
    <t>Laundrysekarang@gmail.com</t>
  </si>
  <si>
    <t>Laundry Sekarang</t>
  </si>
  <si>
    <t>Palas Cilegon</t>
  </si>
  <si>
    <t>114</t>
  </si>
  <si>
    <t>Kata Laundr</t>
  </si>
  <si>
    <t>08979033724</t>
  </si>
  <si>
    <t>katalaudry06@gmail.com</t>
  </si>
  <si>
    <t>kata laundry</t>
  </si>
  <si>
    <t>Perumas</t>
  </si>
  <si>
    <t>115</t>
  </si>
  <si>
    <t>Ari Sudaryani</t>
  </si>
  <si>
    <t>081384927806</t>
  </si>
  <si>
    <t>boythi03@gmail.com</t>
  </si>
  <si>
    <t>laundry ibu ari</t>
  </si>
  <si>
    <t>graha Catania 12. U20/02</t>
  </si>
  <si>
    <t>116</t>
  </si>
  <si>
    <t>Risma Saiful A</t>
  </si>
  <si>
    <t>081210560908</t>
  </si>
  <si>
    <t>copralritz@gmail.com</t>
  </si>
  <si>
    <t>jl nila rt 02 rw 08 karawaci baru</t>
  </si>
  <si>
    <t>117</t>
  </si>
  <si>
    <t>Fitri Mulyana</t>
  </si>
  <si>
    <t>085776341383</t>
  </si>
  <si>
    <t>eritaneti@gmail.com</t>
  </si>
  <si>
    <t>Hikmah laundry</t>
  </si>
  <si>
    <t>jln raya kampung Melayu barat</t>
  </si>
  <si>
    <t>118</t>
  </si>
  <si>
    <t>Kim Laundry/Kim Laundry ( 2 )</t>
  </si>
  <si>
    <t>Jatimulya</t>
  </si>
  <si>
    <t>119</t>
  </si>
  <si>
    <t>Damayanti</t>
  </si>
  <si>
    <t>081299911530</t>
  </si>
  <si>
    <t>damay2023@gmail.com</t>
  </si>
  <si>
    <t>Laundry Noni</t>
  </si>
  <si>
    <t>Ruko Cendana Hive Parc No 81</t>
  </si>
  <si>
    <t>120</t>
  </si>
  <si>
    <t>Shella Owner</t>
  </si>
  <si>
    <t>087774063669</t>
  </si>
  <si>
    <t>shellalaundry.id@gmail.com</t>
  </si>
  <si>
    <t>Shella Laundry/SHELLA LAUNDRY</t>
  </si>
  <si>
    <t>Jl. Benda Raya, Kel. Pondok Benda, Kec. Pamulang, Kota Tangerang Selatan</t>
  </si>
  <si>
    <t>121</t>
  </si>
  <si>
    <t>oky rakasiwi</t>
  </si>
  <si>
    <t>081210000625</t>
  </si>
  <si>
    <t>flashlaundrynight@icloud.com</t>
  </si>
  <si>
    <t>flash laundry night</t>
  </si>
  <si>
    <t>jalan tarumanegara No.19a</t>
  </si>
  <si>
    <t>122</t>
  </si>
  <si>
    <t xml:space="preserve">Leviana Aulia </t>
  </si>
  <si>
    <t>088211671659</t>
  </si>
  <si>
    <t>Levianaaulia1@gmail.com</t>
  </si>
  <si>
    <t>Sae Laundry Express</t>
  </si>
  <si>
    <t>Kp. Dukuh Pinang Rt 01 Rw 03 No.68 Kel.Bojong nangka Kec. Kelapa Dua Tangerang</t>
  </si>
  <si>
    <t>123</t>
  </si>
  <si>
    <t>MOSE Laundry</t>
  </si>
  <si>
    <t>081287879856</t>
  </si>
  <si>
    <t>moselaundry@gmail.com</t>
  </si>
  <si>
    <t>Citra Raya Ruko Garden Boulevard blok U50 no 53</t>
  </si>
  <si>
    <t>124</t>
  </si>
  <si>
    <t>ZHUHROH HAYA OCTARI S</t>
  </si>
  <si>
    <t>085282619278</t>
  </si>
  <si>
    <t>oct4ri85@gmail.com</t>
  </si>
  <si>
    <t>PANDA LAUNDRY</t>
  </si>
  <si>
    <t>Jl. Pesantren No. 20 RW 1/ RW 3, Jurang Mangu Timur, Pondok Aren, Tangerang selatan.</t>
  </si>
  <si>
    <t>125</t>
  </si>
  <si>
    <t>Kurnia Mualim Sakti Sitorus</t>
  </si>
  <si>
    <t>081398460890</t>
  </si>
  <si>
    <t>mualimsaktikurnia@gmail.com</t>
  </si>
  <si>
    <t>Zhian Laundry/• ZHIAN LAUNDRY •</t>
  </si>
  <si>
    <t>Jalan Bojong Renged, Kampung Lebak RT 001/003 Kabupaten Tangerang</t>
  </si>
  <si>
    <t>126</t>
  </si>
  <si>
    <t>081297252322</t>
  </si>
  <si>
    <t>marya_tasya09@yahoo.com</t>
  </si>
  <si>
    <t>SR laundry/SR laundry 3</t>
  </si>
  <si>
    <t>Kab. Tangerang selatan</t>
  </si>
  <si>
    <t>jl. pintu air, gang hj.sapri, RT.01, RW.09, parung serab</t>
  </si>
  <si>
    <t>127</t>
  </si>
  <si>
    <t>14496</t>
  </si>
  <si>
    <t>Hudi Riantoro</t>
  </si>
  <si>
    <t>082175175391</t>
  </si>
  <si>
    <t>EVA LAUNDRY/EVA LAUNDRY</t>
  </si>
  <si>
    <t>Ruko Berryl 3 no 57 Jl ki hajar dewantara  gading serpongTangerang</t>
  </si>
  <si>
    <t>128</t>
  </si>
  <si>
    <t>Kim Laundry/Bibik Laundry / Bibik Cuci</t>
  </si>
  <si>
    <t>Jurumudi Tangerang</t>
  </si>
  <si>
    <t>129</t>
  </si>
  <si>
    <t xml:space="preserve">Mei </t>
  </si>
  <si>
    <t>Lukmanul Hakim</t>
  </si>
  <si>
    <t>087798951222</t>
  </si>
  <si>
    <t>noviaindahl22@gmail.com</t>
  </si>
  <si>
    <t>cuciqu laundry/cuciqu laundry</t>
  </si>
  <si>
    <t>komp. sepang mountain residence blok. cc 01 no 08</t>
  </si>
  <si>
    <t>130</t>
  </si>
  <si>
    <t xml:space="preserve">obby/ mama laundry </t>
  </si>
  <si>
    <t>085780198687</t>
  </si>
  <si>
    <t>laundrykodiklat@gmail.com</t>
  </si>
  <si>
    <t>laundry/mama laundry</t>
  </si>
  <si>
    <t>naqoy point center, jalan kodiklat TNI no.7 buaran serpong tangsel</t>
  </si>
  <si>
    <t>131</t>
  </si>
  <si>
    <t>Nida Raufah</t>
  </si>
  <si>
    <t>085283643943</t>
  </si>
  <si>
    <t>Maxi Washi Laundry/Maxi Washi Laundry</t>
  </si>
  <si>
    <t>Jl. Cadika RT.02/RW.12
Lontarbaru, Kec. Serang</t>
  </si>
  <si>
    <t>132</t>
  </si>
  <si>
    <t>Lou Laundry</t>
  </si>
  <si>
    <t>083122047408</t>
  </si>
  <si>
    <t>loulaundry2025@gmail.com</t>
  </si>
  <si>
    <t>Lou Laundry/Lou Laundry</t>
  </si>
  <si>
    <t>Jl. Dr. Sukaman Blok E1 no.4</t>
  </si>
  <si>
    <t>133</t>
  </si>
  <si>
    <t>KELYN LAUNDRY - OWNER</t>
  </si>
  <si>
    <t>08174884347</t>
  </si>
  <si>
    <t>indriana_w@yahoo.com</t>
  </si>
  <si>
    <t>KELYN LAUNDRY/KELYN LAUNDRY</t>
  </si>
  <si>
    <t>Jl. Raden Saleh No33, Rt.01/Rw.05</t>
  </si>
  <si>
    <t>134</t>
  </si>
  <si>
    <t>Mei Dei</t>
  </si>
  <si>
    <t>088211115899</t>
  </si>
  <si>
    <t>meidei.wash@gmail.com</t>
  </si>
  <si>
    <t>Meidei Wash Lamdromart/Meidei Wash Landromat</t>
  </si>
  <si>
    <t>Jl. Jelupang Utama No. 40</t>
  </si>
  <si>
    <t>135</t>
  </si>
  <si>
    <t>adinda nady</t>
  </si>
  <si>
    <t>082172617092</t>
  </si>
  <si>
    <t>moneylaundry88@gmail.com</t>
  </si>
  <si>
    <t>Quickspin Laundry/Quickspin Laundry</t>
  </si>
  <si>
    <t>Ruko Evergreen suvarna sutera No.3</t>
  </si>
  <si>
    <t>136</t>
  </si>
  <si>
    <t xml:space="preserve">Jason </t>
  </si>
  <si>
    <t>081219957258</t>
  </si>
  <si>
    <t>mojawashmimin@gmail.com</t>
  </si>
  <si>
    <t>Moja wash laundry/Moja Wash Laundry</t>
  </si>
  <si>
    <t>ruko Madison grande blok L no 11, gading serpong</t>
  </si>
  <si>
    <t>137</t>
  </si>
  <si>
    <t>Michelle Gracia katuuk</t>
  </si>
  <si>
    <t>082231806837</t>
  </si>
  <si>
    <t>prissymichelle01@gmail.com</t>
  </si>
  <si>
    <t>Skywash.co/Skywash.co</t>
  </si>
  <si>
    <t>apartement Aeropolis tangerang</t>
  </si>
  <si>
    <t>138</t>
  </si>
  <si>
    <t>Meidei Wash Landromat/Meidei Wash Pondok Jagung Timur</t>
  </si>
  <si>
    <t>Jl. H. Joan 2 RT3 RW1</t>
  </si>
  <si>
    <t>139</t>
  </si>
  <si>
    <t xml:space="preserve">Rumah cuci Seruni </t>
  </si>
  <si>
    <t>081289476226</t>
  </si>
  <si>
    <t>rumahcuciseruni@gmail.com</t>
  </si>
  <si>
    <t>Rumah cuci seruni/Rumah cuci seruni</t>
  </si>
  <si>
    <t>jl. seruni 5 no. 1</t>
  </si>
  <si>
    <t>140</t>
  </si>
  <si>
    <t>Dian cita pertiwi</t>
  </si>
  <si>
    <t>08111598222</t>
  </si>
  <si>
    <t>cuciguys99@gmail.com</t>
  </si>
  <si>
    <t>cuci guys/cuci guys</t>
  </si>
  <si>
    <t>cluster Catalina Blok AB 3 no 31</t>
  </si>
  <si>
    <t>141</t>
  </si>
  <si>
    <t xml:space="preserve">Pattaya's Laundry </t>
  </si>
  <si>
    <t>085210430269</t>
  </si>
  <si>
    <t>nikisuryatin8@gmail.com</t>
  </si>
  <si>
    <t>Laundry Qu/Pattaya's Laundry</t>
  </si>
  <si>
    <t>Jalan Pahala II RT 01/RW 13 No.17B, Kontrakan Hj Rohman</t>
  </si>
  <si>
    <t>142</t>
  </si>
  <si>
    <t xml:space="preserve">Kirana A. Cahyadi </t>
  </si>
  <si>
    <t>082246477788</t>
  </si>
  <si>
    <t>Nana Laundry Expressa/NANA LAUNDRY EXPRESS 2</t>
  </si>
  <si>
    <t>143</t>
  </si>
  <si>
    <t>IWAN MUCHAMMAD HIDAYATULLAH S, S.T.</t>
  </si>
  <si>
    <t>081318957067</t>
  </si>
  <si>
    <t>iwan.muchammad02@gmail.com</t>
  </si>
  <si>
    <t>ONEDAY LAUNDRY/ONEDAY LAUNDRY</t>
  </si>
  <si>
    <t>JL.SYECH NAWAWI AL-BANTANI LINGKUNGAN KP GELAM RT 02 RW 01 KEL.BANJAR AGUNG KEC.CIPOCOK JAYA SERANG BANTEN</t>
  </si>
  <si>
    <t>144</t>
  </si>
  <si>
    <t>The Laundry Lab</t>
  </si>
  <si>
    <t>081231513674</t>
  </si>
  <si>
    <t>The Lab Laundry/The Lab Laundry</t>
  </si>
  <si>
    <t>Cluster Metro Garden E3 no 8, Masigit, Jombang, Kota Cilegon, Banten</t>
  </si>
  <si>
    <t>145</t>
  </si>
  <si>
    <t>FAST Laundry</t>
  </si>
  <si>
    <t>085977599002</t>
  </si>
  <si>
    <t>muliajayasolusindo@gmail.com</t>
  </si>
  <si>
    <t>FAST Laundry/FAST Laundry</t>
  </si>
  <si>
    <t>Ruko Kavling Dirjen No 291 B, Palem Semi, Cibodas, Tangerang</t>
  </si>
  <si>
    <t>146</t>
  </si>
  <si>
    <t>Sigit Prasetio</t>
  </si>
  <si>
    <t>087816669991</t>
  </si>
  <si>
    <t>clovelaundry.idn@gmail.com</t>
  </si>
  <si>
    <t>Clove Laundry Idn/Clove Laundry Idn</t>
  </si>
  <si>
    <t xml:space="preserve">lora seftiantara </t>
  </si>
  <si>
    <t>0821 77694046</t>
  </si>
  <si>
    <t>evakolambia@gmail.com</t>
  </si>
  <si>
    <t>Eva Kolambia Laundry</t>
  </si>
  <si>
    <t>Kab. Rejang Lebong</t>
  </si>
  <si>
    <t>jalan m.h thamrin</t>
  </si>
  <si>
    <t xml:space="preserve">EDWIN PARULIAN PANGGARBESI </t>
  </si>
  <si>
    <t>081936217822</t>
  </si>
  <si>
    <t>edwin.parulian@gmail.com</t>
  </si>
  <si>
    <t>STIM STUM/STIM STUM MANGGA</t>
  </si>
  <si>
    <t>Kota Bengkulu</t>
  </si>
  <si>
    <t>stim stum</t>
  </si>
  <si>
    <t xml:space="preserve">Bilqis </t>
  </si>
  <si>
    <t>0813 2572 0522</t>
  </si>
  <si>
    <t>icislaundry@gmail.com</t>
  </si>
  <si>
    <t>icis laundry</t>
  </si>
  <si>
    <t>Kab. Bantul</t>
  </si>
  <si>
    <t>bekelan no. 12,  tirtonirmolo</t>
  </si>
  <si>
    <t xml:space="preserve">Arya </t>
  </si>
  <si>
    <t>0812 7438 7653</t>
  </si>
  <si>
    <t>laundrytechno@gmail.com</t>
  </si>
  <si>
    <t>Techno Laundry/Techno Laundry New Generation</t>
  </si>
  <si>
    <t>Kab. Sleman</t>
  </si>
  <si>
    <t>jalan Wulung no 8a Papringan</t>
  </si>
  <si>
    <t xml:space="preserve">Duga griamugung </t>
  </si>
  <si>
    <t>0896 6171 3766</t>
  </si>
  <si>
    <t>griaduga@gmail.com</t>
  </si>
  <si>
    <t>Griya Laundry</t>
  </si>
  <si>
    <t>Kwarasan no.102 RT 5 RW 5</t>
  </si>
  <si>
    <t>icha</t>
  </si>
  <si>
    <t>0878 43143035</t>
  </si>
  <si>
    <t>ichasholichah03@gmail.com</t>
  </si>
  <si>
    <t>icha donat</t>
  </si>
  <si>
    <t>jln kebon agung getas tlogoadi mlati sleman</t>
  </si>
  <si>
    <t>yona clean</t>
  </si>
  <si>
    <t>0882 007116956</t>
  </si>
  <si>
    <t>yonaclean@gmail.com</t>
  </si>
  <si>
    <t>YONACLEAN</t>
  </si>
  <si>
    <t>Jati Wonokromo Pleret Bantul</t>
  </si>
  <si>
    <t>Yulianingrum</t>
  </si>
  <si>
    <t>0857 59167300</t>
  </si>
  <si>
    <t>wuri.asian@gmail.com</t>
  </si>
  <si>
    <t>HIDDENIA</t>
  </si>
  <si>
    <t>Jeblog Rt2</t>
  </si>
  <si>
    <t>Ratna</t>
  </si>
  <si>
    <t>0811 2630082</t>
  </si>
  <si>
    <t>mrcleanjogja@gmail.com</t>
  </si>
  <si>
    <t>MrCleanLaundry</t>
  </si>
  <si>
    <t>Jl. Klithikan Kranggan (Selatan Toko Emas Semar Jawa)</t>
  </si>
  <si>
    <t xml:space="preserve">Ahmad </t>
  </si>
  <si>
    <t>0878 39878808</t>
  </si>
  <si>
    <t>magic.laundry.17@gmail.com</t>
  </si>
  <si>
    <t>Magic Laundry Express/MagicLaundryExpress.com</t>
  </si>
  <si>
    <t>Jl Imogiri Barat km 5.5 Ngoto</t>
  </si>
  <si>
    <t>Bayu Kurniawan</t>
  </si>
  <si>
    <t>0852 16458603</t>
  </si>
  <si>
    <t>anakkoslaundry@gmail.com</t>
  </si>
  <si>
    <t>Anakkos Laundry</t>
  </si>
  <si>
    <t>Kota Yogyakarta</t>
  </si>
  <si>
    <t>Jalan Bimasakti, No.55, Demangan, Gondokusuman, Yogyakarta</t>
  </si>
  <si>
    <t>sarona gaharu</t>
  </si>
  <si>
    <t>0821 17723500</t>
  </si>
  <si>
    <t>andreas.abednego@gmail.com</t>
  </si>
  <si>
    <t>Laundry Ayem Tentrem</t>
  </si>
  <si>
    <t>Ringinsari RT 01 RW 01</t>
  </si>
  <si>
    <t>andina</t>
  </si>
  <si>
    <t>0821 33346637</t>
  </si>
  <si>
    <t>temanlaundryjogja@gmail.com</t>
  </si>
  <si>
    <t>Teman Laundry &amp; Dry Clean</t>
  </si>
  <si>
    <t>Jl kaliurang km 14 no 11c</t>
  </si>
  <si>
    <t>Aji Darma</t>
  </si>
  <si>
    <t>085876549841</t>
  </si>
  <si>
    <t>laundrybinatuconcat@gmail.com</t>
  </si>
  <si>
    <t>Laundry Binatu Concat</t>
  </si>
  <si>
    <t>Jl.Sukun No.98A, Mancasan Lor</t>
  </si>
  <si>
    <t>niken</t>
  </si>
  <si>
    <t>0822 7877 0165</t>
  </si>
  <si>
    <t>cucibaju1st@gmail.com</t>
  </si>
  <si>
    <t>cucibaju</t>
  </si>
  <si>
    <t>jl imogiri barat</t>
  </si>
  <si>
    <t xml:space="preserve">Owner Soekaer </t>
  </si>
  <si>
    <t>0895333353583</t>
  </si>
  <si>
    <t>soekaer.indonesia@gmail.com</t>
  </si>
  <si>
    <t>Soekaer</t>
  </si>
  <si>
    <t>Jl. Godean km 4 Ruko Kajor 19D</t>
  </si>
  <si>
    <t>Moko purnomo</t>
  </si>
  <si>
    <t>0821 6850 8148</t>
  </si>
  <si>
    <t>laundrybloosom@gmail.com</t>
  </si>
  <si>
    <t>laundry bloosom</t>
  </si>
  <si>
    <t>Jl. Mancasan indah III no.2 samping bobobop (belakang parkiran motor FE UII)</t>
  </si>
  <si>
    <t>Daniel ardi</t>
  </si>
  <si>
    <t>0817 79930763</t>
  </si>
  <si>
    <t>tara3mm@gmail.com</t>
  </si>
  <si>
    <t>ethara laundry/P1</t>
  </si>
  <si>
    <t>jln pandega Martha 2</t>
  </si>
  <si>
    <t>ethara laundry/P2</t>
  </si>
  <si>
    <t>ethara laundry/ETHARA LAUNDRY (E3)</t>
  </si>
  <si>
    <t>818 79930763</t>
  </si>
  <si>
    <t>ethara laundry/ETHARA LAUNDRY (E4)</t>
  </si>
  <si>
    <t>823 7877 0165</t>
  </si>
  <si>
    <t>cucibaju/ concat</t>
  </si>
  <si>
    <t>081226900093</t>
  </si>
  <si>
    <t>Techno Laundry/Techno Laundry New Generation 2</t>
  </si>
  <si>
    <t>Vivilee laundry</t>
  </si>
  <si>
    <t>082220284416</t>
  </si>
  <si>
    <t>vivileelaundry@gmail.com</t>
  </si>
  <si>
    <t>laundry/VIVILEE LAUNDRY</t>
  </si>
  <si>
    <t>jln timuran MG III</t>
  </si>
  <si>
    <t xml:space="preserve">Archie Suyono </t>
  </si>
  <si>
    <t>082112947773</t>
  </si>
  <si>
    <t>archiesuyono@gmail.com</t>
  </si>
  <si>
    <t>Nusantara Laundry</t>
  </si>
  <si>
    <t>Jl. Patriot Bangsa (depan kos putri absolut)</t>
  </si>
  <si>
    <t xml:space="preserve">Februari </t>
  </si>
  <si>
    <t>Yogi</t>
  </si>
  <si>
    <t>082114563656</t>
  </si>
  <si>
    <t>washesandjoy@gmail.com</t>
  </si>
  <si>
    <t>Wash and Joy/Wash and Joy</t>
  </si>
  <si>
    <t>Jalan Sidomukti Tiyasan Condongcatur Depok Sleman Yogyakarta</t>
  </si>
  <si>
    <t>Soekaer/Soekaer Paris</t>
  </si>
  <si>
    <t>Jl. Parangtritis No 163</t>
  </si>
  <si>
    <t>Soekaer UGM</t>
  </si>
  <si>
    <t>089678167250</t>
  </si>
  <si>
    <t>Soekaer UGM/Soekaer UGM</t>
  </si>
  <si>
    <t>Jl Kaliurang Km 5, Karangwuni, Catur Tunggal, Depok, Sleman, Yogyakarta</t>
  </si>
  <si>
    <t xml:space="preserve">Najmuddin </t>
  </si>
  <si>
    <t>089522333945</t>
  </si>
  <si>
    <t>osispendidikanalma@gmail.com</t>
  </si>
  <si>
    <t>JUNAS UTAMA LAUNDRY EXPRESS UMY/JUNAS UTAMA LAUNDRY EXPRESS UMY</t>
  </si>
  <si>
    <t>JL SUNAN KUDUS NO 29 GATAK TAMANTIRTO KASIHAN BANTUL</t>
  </si>
  <si>
    <t>Maria Vanya</t>
  </si>
  <si>
    <t>082391375426</t>
  </si>
  <si>
    <t>Techno Laundry/Techno Laundry</t>
  </si>
  <si>
    <t>Gang Mawar no 8-10, Santren, Caturtunggal</t>
  </si>
  <si>
    <t>ethara</t>
  </si>
  <si>
    <t>085601172035</t>
  </si>
  <si>
    <t>ethara laundry/Amanah Baru Laundry</t>
  </si>
  <si>
    <t>galang daiva</t>
  </si>
  <si>
    <t>082136507733</t>
  </si>
  <si>
    <t>galangdaivayudhokrisno@gmail.com</t>
  </si>
  <si>
    <t>techno laundry gg mawar/techno laundry gg mawar</t>
  </si>
  <si>
    <t>gang mawar no.8-10, santren, caturtunggal</t>
  </si>
  <si>
    <t>289 Laundry</t>
  </si>
  <si>
    <t>08777770289</t>
  </si>
  <si>
    <t>289laundry@gmail.com</t>
  </si>
  <si>
    <t>289laundry/289 DM</t>
  </si>
  <si>
    <t>Kota Jakarta Barat</t>
  </si>
  <si>
    <t>Taman dutamas C1A/6</t>
  </si>
  <si>
    <t>Yuda Kurniawan</t>
  </si>
  <si>
    <t>0812 821 208</t>
  </si>
  <si>
    <t>yuda.kurniawan@gmail.com</t>
  </si>
  <si>
    <t>Resique Laundry/RESIQUE LAUNDRY JUSIN</t>
  </si>
  <si>
    <t>Kota Jakarta Timur</t>
  </si>
  <si>
    <t>Jl. Haji Jusin No. 34RT. 4 RW. 1  Susukan - CiracasJakarta Timur</t>
  </si>
  <si>
    <t xml:space="preserve">Drg. Iie Erawati </t>
  </si>
  <si>
    <t>081299409599</t>
  </si>
  <si>
    <t>manoharalaundry@gmail.com</t>
  </si>
  <si>
    <t>Manohara Laundry</t>
  </si>
  <si>
    <t>Kota Jakarta Pusat</t>
  </si>
  <si>
    <t>Jl. Kalipasir Pengarengan no.150 RT 8 RW 1</t>
  </si>
  <si>
    <t>Wachyudi Abdillah</t>
  </si>
  <si>
    <t>0812 6805 3035</t>
  </si>
  <si>
    <t>askia04.laundry@gmail.com</t>
  </si>
  <si>
    <t>Askia Laundry</t>
  </si>
  <si>
    <t>Jl. Gamdaria I no. 29 RT. 10/RW.03</t>
  </si>
  <si>
    <t>Rizqi laundry</t>
  </si>
  <si>
    <t>087870873086</t>
  </si>
  <si>
    <t>purwantilaundry32@gmail.com</t>
  </si>
  <si>
    <t>Rizqi laundry (Rizqi laundry)</t>
  </si>
  <si>
    <t>Kota Jakarta Utara</t>
  </si>
  <si>
    <t>GG,masjid alfajar sukapura RT 04 RW 04 sukapura Cilincing Jakarta Utara</t>
  </si>
  <si>
    <t xml:space="preserve">Rose </t>
  </si>
  <si>
    <t>082124390717</t>
  </si>
  <si>
    <t>rose.kembaren@gmail.com</t>
  </si>
  <si>
    <t>Rossi Laundry</t>
  </si>
  <si>
    <t>Kelapa Gading</t>
  </si>
  <si>
    <t xml:space="preserve">YESS </t>
  </si>
  <si>
    <t>0896 5151 8072</t>
  </si>
  <si>
    <t>s4nt1simpati@gmail.com</t>
  </si>
  <si>
    <t>Laundry rumahan/Yes Laundry Rumahan</t>
  </si>
  <si>
    <t>jl duri Utara 1</t>
  </si>
  <si>
    <t>Aditiya Pirmanda</t>
  </si>
  <si>
    <t>0813 1813 3392</t>
  </si>
  <si>
    <t>aditiya.pirmanda15@yahoo.com</t>
  </si>
  <si>
    <t>aulia laundry</t>
  </si>
  <si>
    <t>jln johar no 40 rt001/rw004 kec koja kel tugu utara jakarta utara</t>
  </si>
  <si>
    <t>nur ayu wijayanti</t>
  </si>
  <si>
    <t>0857 2211 3389</t>
  </si>
  <si>
    <t>nurayuwijaya03@gmail.com</t>
  </si>
  <si>
    <t>Mr.revanWASH</t>
  </si>
  <si>
    <t>Kota Jakarta Selatan</t>
  </si>
  <si>
    <t>jalan agung raya II , Lenteng Agung . jakarta selatan.</t>
  </si>
  <si>
    <t xml:space="preserve">Pujianah </t>
  </si>
  <si>
    <t>085811556708</t>
  </si>
  <si>
    <t>anahpuji528@gmail.com</t>
  </si>
  <si>
    <t xml:space="preserve">imutt/imutt laundry	</t>
  </si>
  <si>
    <t>menteng atas selatan II rt 04/04 no 16 setia budi jakarta selatan</t>
  </si>
  <si>
    <t>Asri Minang</t>
  </si>
  <si>
    <t>0821 6666 7909</t>
  </si>
  <si>
    <t>rendysantosa91@gmail.com</t>
  </si>
  <si>
    <t>Delivery Laundry</t>
  </si>
  <si>
    <t>jalan masjid alishlah no 31 RT 03 RW 07 kelurahan Susukan kecamatan Ciracas Jakarta timur</t>
  </si>
  <si>
    <t>andrew</t>
  </si>
  <si>
    <t>0813 8337 8886</t>
  </si>
  <si>
    <t>inibarulaundry@gmail.com</t>
  </si>
  <si>
    <t>inibarulaundry</t>
  </si>
  <si>
    <t>cempaka putih</t>
  </si>
  <si>
    <t>Jio</t>
  </si>
  <si>
    <t>082113608270</t>
  </si>
  <si>
    <t>wijiono550@gmail.com</t>
  </si>
  <si>
    <t>Kon's Laundry</t>
  </si>
  <si>
    <t>Jl tanah merdeka Rt. 001/005 No.26 Kel. Susukan Kec. Ciracas, Jakarta Timur</t>
  </si>
  <si>
    <t>MOLaundry</t>
  </si>
  <si>
    <t>0812 8529 3121</t>
  </si>
  <si>
    <t>molaundry.aja@gmail.com</t>
  </si>
  <si>
    <t>MOLaundry - Tanah Koja</t>
  </si>
  <si>
    <t>jl. masjid nurul iman 1, tanah koja, Jakarta Barat</t>
  </si>
  <si>
    <t>Medan Laundry</t>
  </si>
  <si>
    <t>0815 8602 8878</t>
  </si>
  <si>
    <t>medanlaundry.jkt@gmail.com</t>
  </si>
  <si>
    <t>Medan Laundry/MeDan Laundry</t>
  </si>
  <si>
    <t>Jl Pluit Karang Selatan No 124</t>
  </si>
  <si>
    <t>Endah Jubaedah</t>
  </si>
  <si>
    <t>0857 1493 2872</t>
  </si>
  <si>
    <t>ejubaedah23@ymail.com</t>
  </si>
  <si>
    <t>Rizki AMANDA/Rizki AMANDA</t>
  </si>
  <si>
    <t>jl penggalang raya RT 9 RW 1 palmeriam matraman Jakarta timur</t>
  </si>
  <si>
    <t>Wisnu Yudha</t>
  </si>
  <si>
    <t>0812 9670 4450</t>
  </si>
  <si>
    <t>wisnuyudhairawan7195@gmail.com</t>
  </si>
  <si>
    <t>Laundry Spot</t>
  </si>
  <si>
    <t>jl kebon nanas selatan 1 RT 12 RW 08 Cipinang cempedak Jatinegara Jakarta timur .</t>
  </si>
  <si>
    <t>Surat Min</t>
  </si>
  <si>
    <t>0878 20555479</t>
  </si>
  <si>
    <t>suratmin070477@gmail.com</t>
  </si>
  <si>
    <t>Arka loundry</t>
  </si>
  <si>
    <t>jalan kapitan rt9 rw04 no 41 jaktim</t>
  </si>
  <si>
    <t>Astoetijani Astoetijani</t>
  </si>
  <si>
    <t>0818 0665 9264</t>
  </si>
  <si>
    <t>astoetijani.priatna@gmail.com</t>
  </si>
  <si>
    <t>Finalaundry/FiNALaundry</t>
  </si>
  <si>
    <t>cibubur jakarta</t>
  </si>
  <si>
    <t>Herlina</t>
  </si>
  <si>
    <t>0821 24000151</t>
  </si>
  <si>
    <t>aguinazlaundry@gmail.com</t>
  </si>
  <si>
    <t>Aguinaz Laundry/Aguinaz Laundry (Depok)</t>
  </si>
  <si>
    <t>Jl.Swadaya 1a no.4 rt 05/09, Pejaten timur, Pasar minggu, Jakarta Selatan, 12510</t>
  </si>
  <si>
    <t xml:space="preserve">Refa laundry depsos </t>
  </si>
  <si>
    <t>0838 73037207</t>
  </si>
  <si>
    <t>putriangel3131@gmail.com</t>
  </si>
  <si>
    <t>Refa laundry depsos</t>
  </si>
  <si>
    <t>jl.Bintaro permai 2,belakang kampus kedokteran gigi moestopo,Pesanggrahan,jakarta selatan</t>
  </si>
  <si>
    <t>Ridwan Arifin</t>
  </si>
  <si>
    <t>0896 6695 4307</t>
  </si>
  <si>
    <t>ridwanarifin86@gmail.com</t>
  </si>
  <si>
    <t>MAMI LAUNDRY/Mami Laundry Tebet</t>
  </si>
  <si>
    <t>JL ASEM BARIS RAYA NO 2 KEBON BARU TEBET JAKARTA SELATAN</t>
  </si>
  <si>
    <t>Yusyuf</t>
  </si>
  <si>
    <t>0856 94510789</t>
  </si>
  <si>
    <t>oceanlaundry11@gmail.com</t>
  </si>
  <si>
    <t>Ocean Laundry</t>
  </si>
  <si>
    <t>jalan delman kencana V ,kebayoran lama utara</t>
  </si>
  <si>
    <t>Aguinaz Laundry/RedBerry Laundry 1</t>
  </si>
  <si>
    <t>Aguinaz Laundry/Aguinaz Laundry (Swadaya 2)</t>
  </si>
  <si>
    <t>Asrie</t>
  </si>
  <si>
    <t>0877 88782683</t>
  </si>
  <si>
    <t>achie.ekawanti@gmail.com</t>
  </si>
  <si>
    <t>Mochie Laundry 2</t>
  </si>
  <si>
    <t>Jalan Bulak Ringin Raya No 9B</t>
  </si>
  <si>
    <t>ali yahya</t>
  </si>
  <si>
    <t>0811 1580 507</t>
  </si>
  <si>
    <t>aliyahya.jakarta@gmail.com</t>
  </si>
  <si>
    <t>umba2</t>
  </si>
  <si>
    <t>jakarta selatan</t>
  </si>
  <si>
    <t>femy ubahdillah</t>
  </si>
  <si>
    <t>0853 11111044</t>
  </si>
  <si>
    <t>femyubaydillah72@gmail.com</t>
  </si>
  <si>
    <t>Rafi laundry/Rafan laundry</t>
  </si>
  <si>
    <t>jln kemandoran pluis grogol utara rt8 rw14 kec kemandoran jakarta barat</t>
  </si>
  <si>
    <t>0812 85293121</t>
  </si>
  <si>
    <t>MOLaundry - Cengkareng Timur</t>
  </si>
  <si>
    <t xml:space="preserve">Hari </t>
  </si>
  <si>
    <t>0815 13120494</t>
  </si>
  <si>
    <t>kiranalaundry.slipi@gmail.com</t>
  </si>
  <si>
    <t>kirana laundry/kirana laundry</t>
  </si>
  <si>
    <t>Jl.W2 No.23</t>
  </si>
  <si>
    <t>Siti Maesaroh</t>
  </si>
  <si>
    <t>0878 83781502</t>
  </si>
  <si>
    <t>maulidaaura32@gmail.com</t>
  </si>
  <si>
    <t>ola laundry</t>
  </si>
  <si>
    <t>Jln Plumpang B, RT 007 RW 004 No 34</t>
  </si>
  <si>
    <t>superdad laundry</t>
  </si>
  <si>
    <t>0819 30533888</t>
  </si>
  <si>
    <t>superdadlaundry80@gmail.com</t>
  </si>
  <si>
    <t>Superdadlaundry</t>
  </si>
  <si>
    <t>jl. Radar Auri no. 91, RT.5/RW.14, cibubur, ciracas, jakarta timur, 13720, indonesia</t>
  </si>
  <si>
    <t>wanti</t>
  </si>
  <si>
    <t>0816 17780006</t>
  </si>
  <si>
    <t>wantisu123@gmail.com</t>
  </si>
  <si>
    <t>Oscar laundry</t>
  </si>
  <si>
    <t>jl. Nurul amal raya IX no. 15 RT 03 RT.05</t>
  </si>
  <si>
    <t>Aris Wibowo</t>
  </si>
  <si>
    <t>0813 15621822</t>
  </si>
  <si>
    <t>ariswi8606@gmail.com</t>
  </si>
  <si>
    <t>Boris laundry/BORIS BUNGUR/AQUA</t>
  </si>
  <si>
    <t>jl raya Pulo gebang 3</t>
  </si>
  <si>
    <t>Ipa</t>
  </si>
  <si>
    <t>0811849484</t>
  </si>
  <si>
    <t>romeldasihite@gmail.com</t>
  </si>
  <si>
    <t>Imel Laundry</t>
  </si>
  <si>
    <t>Jl. H. Hasan</t>
  </si>
  <si>
    <t>eddiesha</t>
  </si>
  <si>
    <t>0821 13445552</t>
  </si>
  <si>
    <t>ayasha.laundry31@gmail.com</t>
  </si>
  <si>
    <t>AYASHA EXPRESS LAUNDRY</t>
  </si>
  <si>
    <t>Jl. Hasan no.31A</t>
  </si>
  <si>
    <t>Aguinaz Laundry/Kiniku</t>
  </si>
  <si>
    <t xml:space="preserve">Ibnu Hafiz </t>
  </si>
  <si>
    <t>0895 604106984</t>
  </si>
  <si>
    <t>expresslaundryjkt@gmail.com</t>
  </si>
  <si>
    <t xml:space="preserve">Expresa Laundry/	"[Express Laundry]"	</t>
  </si>
  <si>
    <t>Jl.tambak 2 no 15a kelurahan pegangsaan , kecamatan menteng , jakarta pusat 10320</t>
  </si>
  <si>
    <t>Reza Hidayat</t>
  </si>
  <si>
    <t>0813 11115089</t>
  </si>
  <si>
    <t>hidayatreza115@gmail.com</t>
  </si>
  <si>
    <t>Sakinah Laundry</t>
  </si>
  <si>
    <t>Jl Raya Pondok GedeRT:002/01 No:2</t>
  </si>
  <si>
    <t xml:space="preserve">ade syera marlina </t>
  </si>
  <si>
    <t>0812 81652623</t>
  </si>
  <si>
    <t>adesyera45@gmail.com</t>
  </si>
  <si>
    <t>dee laundry</t>
  </si>
  <si>
    <t>jl. pupqn gg. damai Rt009/08 no:37</t>
  </si>
  <si>
    <t>Boris laundry/CINTA laundry</t>
  </si>
  <si>
    <t>Boris laundry/Boris rorotan</t>
  </si>
  <si>
    <t>Boris laundry/laundry metlnd</t>
  </si>
  <si>
    <t>Nurjanah Dita</t>
  </si>
  <si>
    <t>0859 21450615</t>
  </si>
  <si>
    <t>ditanurjanah71@gmail.com</t>
  </si>
  <si>
    <t>Cinta laundry</t>
  </si>
  <si>
    <t>jln H jian 2A Raya RT 07 RW 12 kelurahan Cipete Utara</t>
  </si>
  <si>
    <t>Rizal Sitompul</t>
  </si>
  <si>
    <t>0822 13587923</t>
  </si>
  <si>
    <t>schon.travel@gmail.com</t>
  </si>
  <si>
    <t>Randu Laundry</t>
  </si>
  <si>
    <t>Jl. Randu No.39 RT006 RW004</t>
  </si>
  <si>
    <t xml:space="preserve">Ellis </t>
  </si>
  <si>
    <t>0857 5509 2947</t>
  </si>
  <si>
    <t>safiyarahman50@gmail.com</t>
  </si>
  <si>
    <t>Laundry Nau</t>
  </si>
  <si>
    <t>jl.perintis kemerdekaan no. 35  RT05 RW02 . Pulogadung</t>
  </si>
  <si>
    <t>Shinta Laundry</t>
  </si>
  <si>
    <t>0878 87717666</t>
  </si>
  <si>
    <t>bennytirtana78@gmail.com</t>
  </si>
  <si>
    <t>shinta laundry</t>
  </si>
  <si>
    <t>jln jaidi no 12 Rt 007 Rw 011</t>
  </si>
  <si>
    <t>Boris laundry/boris pulogebang</t>
  </si>
  <si>
    <t>Elda &amp; Kids Laundry Express</t>
  </si>
  <si>
    <t>081283326002</t>
  </si>
  <si>
    <t>eldakidslaundryexpress@gmail.com</t>
  </si>
  <si>
    <t>Elda &amp; kids laundry express</t>
  </si>
  <si>
    <t>Jln Pisangan Gang Haji Nabat No 1 RT 9 RW 11 Kel. Penggilingan Kec.cakung 13490</t>
  </si>
  <si>
    <t>leni marlina</t>
  </si>
  <si>
    <t>0857 72462199</t>
  </si>
  <si>
    <t>zakialaundry@gmail.com</t>
  </si>
  <si>
    <t>zakia laundry</t>
  </si>
  <si>
    <t>jln adhi karya gg bed pasar tanggul kel. kedoya utara kec.kebun jeruk jakarta barat</t>
  </si>
  <si>
    <t xml:space="preserve">Leanorah Surya </t>
  </si>
  <si>
    <t>0898 9394915</t>
  </si>
  <si>
    <t>lslaundryls@gmail.com</t>
  </si>
  <si>
    <t>LS Laundry</t>
  </si>
  <si>
    <t>Jl. Trisula No. 10A</t>
  </si>
  <si>
    <t>rudi</t>
  </si>
  <si>
    <t>0838 77877841</t>
  </si>
  <si>
    <t>pusatlaundrey@gmail.com</t>
  </si>
  <si>
    <t>Pusat Laundry ( BANG BEN )/Pusat Laundry</t>
  </si>
  <si>
    <t>Jl pertanian RT 10/4 no 27</t>
  </si>
  <si>
    <t>Ridwan Fauzi</t>
  </si>
  <si>
    <t>0821 36454200</t>
  </si>
  <si>
    <t>laundryibunda@gmail.com</t>
  </si>
  <si>
    <t>Ibunda Laundry</t>
  </si>
  <si>
    <t>Jl Raya Centex Gg Kramat RT10/RW10, No.31,</t>
  </si>
  <si>
    <t>Shandy Riandy Putra</t>
  </si>
  <si>
    <t>0812 77777331</t>
  </si>
  <si>
    <t>fortunelaundry.sunter@gmail.com</t>
  </si>
  <si>
    <t>FORTUNE LAUNDRY</t>
  </si>
  <si>
    <t>Sunter Kirana III Blok V3 No. 1, Jakarta Utara</t>
  </si>
  <si>
    <t>Land</t>
  </si>
  <si>
    <t>0838 08520001</t>
  </si>
  <si>
    <t>deland11021992@gmail.com</t>
  </si>
  <si>
    <t>coco laundry</t>
  </si>
  <si>
    <t>jl waspada raya no 10 rt008/010 pademangan</t>
  </si>
  <si>
    <t>Meli</t>
  </si>
  <si>
    <t>0811 1960880</t>
  </si>
  <si>
    <t>meli.ridwan88@gmail.com</t>
  </si>
  <si>
    <t>Melyan Laundry/Meliana Laundry #1</t>
  </si>
  <si>
    <t>Jl.kertanegara no.41 selong kebayoran baru jakarta selatan</t>
  </si>
  <si>
    <t xml:space="preserve">Tony </t>
  </si>
  <si>
    <t>0821 1213 0068</t>
  </si>
  <si>
    <t>GLOW Laundry</t>
  </si>
  <si>
    <t>Kios Apartemen city resort residence,Tower Bougenville Lt.dasar no.09</t>
  </si>
  <si>
    <t>Nadia</t>
  </si>
  <si>
    <t>081380875902</t>
  </si>
  <si>
    <t>nadvirgie96@gmail.com</t>
  </si>
  <si>
    <t>Dominique Laundry</t>
  </si>
  <si>
    <t>jalan pasir terusan</t>
  </si>
  <si>
    <t>289laundry/289 GB</t>
  </si>
  <si>
    <t>Tina</t>
  </si>
  <si>
    <t>0881 1237887</t>
  </si>
  <si>
    <t>agustina.projects@gmail.com</t>
  </si>
  <si>
    <t xml:space="preserve">TEMEN Laundry/TEMEN Laundry	</t>
  </si>
  <si>
    <t>Jl. Srengseng Sawah No. 15</t>
  </si>
  <si>
    <t xml:space="preserve">Arya Fahrur </t>
  </si>
  <si>
    <t>0822 97606525</t>
  </si>
  <si>
    <t>aryafaro@gmail.com</t>
  </si>
  <si>
    <t>KA'RAJA LAUNDRY</t>
  </si>
  <si>
    <t>Jl. Bendungan Melayu No1A</t>
  </si>
  <si>
    <t>Weltis Sasnofia</t>
  </si>
  <si>
    <t>0878 70080022</t>
  </si>
  <si>
    <t>oklaundry.oklaundry@gmail.com</t>
  </si>
  <si>
    <t>Laundry/Ok Laundry Tambora/Ok Laundry Tambora</t>
  </si>
  <si>
    <t>Jakarta</t>
  </si>
  <si>
    <t>M Arief Yusuf</t>
  </si>
  <si>
    <t>0856 1448414</t>
  </si>
  <si>
    <t>Loondryman@gmail.com</t>
  </si>
  <si>
    <t>LOONDRYMAN/ LOONDRYMAN HOLYCLEAN EXPERT</t>
  </si>
  <si>
    <t>jl.cempaka sari 3 no.6 rt.012 rw.008,Kel. Harapan Mulia Kec.Kemayoran Jakarta Pusat</t>
  </si>
  <si>
    <t xml:space="preserve">Admin 1 </t>
  </si>
  <si>
    <t>0813 11342872</t>
  </si>
  <si>
    <t>rendra.priyanto@gmail.com</t>
  </si>
  <si>
    <t>Express 22 Laundry Kalisari</t>
  </si>
  <si>
    <t>Jl. Puskesmas No. 2B</t>
  </si>
  <si>
    <t>Laundry/Ok Laundry Tambora/ Ok Laundry Tanah Abang</t>
  </si>
  <si>
    <t xml:space="preserve">Adzriel Laundry </t>
  </si>
  <si>
    <t>0812 82554225</t>
  </si>
  <si>
    <t>laundryadzriel@gmail.com</t>
  </si>
  <si>
    <t>Adzriel Laundry</t>
  </si>
  <si>
    <t>jl,Halimah no.8R rt.003/003</t>
  </si>
  <si>
    <t>Laundry/Ok Laundry Tambora/ ok laundry Duri Pulo</t>
  </si>
  <si>
    <t>Purwanti</t>
  </si>
  <si>
    <t>0878 70873085</t>
  </si>
  <si>
    <t>purwantilaundry8@gmail.com</t>
  </si>
  <si>
    <t>RIZQI LAUNDRY (Purwanti)</t>
  </si>
  <si>
    <t>Gang SMU 83 RT. 04 RW. 04</t>
  </si>
  <si>
    <t>Robby Setiawan</t>
  </si>
  <si>
    <t>085280139392</t>
  </si>
  <si>
    <t>adityacollection161104@gmail.com</t>
  </si>
  <si>
    <t>Dealova Laundry</t>
  </si>
  <si>
    <t>Jln.kebantenan III rt 005/006 no 6Cilincing jakarta utara</t>
  </si>
  <si>
    <t xml:space="preserve">Rumah Laundry </t>
  </si>
  <si>
    <t>0812 11888120</t>
  </si>
  <si>
    <t>susyanathe2909@gmail.com</t>
  </si>
  <si>
    <t>Rumah Laundry (Rumah Laundry )</t>
  </si>
  <si>
    <t>Apartemen Green PalmJakarta Barat</t>
  </si>
  <si>
    <t>Nurul Hidayah</t>
  </si>
  <si>
    <t>081213859176</t>
  </si>
  <si>
    <t>nuridareborn@gmail.com</t>
  </si>
  <si>
    <t>Ninda Keci Laundry/Ninda Keci Laundry</t>
  </si>
  <si>
    <t>jl. kayu manis 5 baru no. 39 RT. 7 RW. 4, kayu manis</t>
  </si>
  <si>
    <t xml:space="preserve">A </t>
  </si>
  <si>
    <t>0896 06431782</t>
  </si>
  <si>
    <t>hengkidjau@gmail.com</t>
  </si>
  <si>
    <t>Hai Laundry</t>
  </si>
  <si>
    <t>JL  jembatan gambang 1 rt 4 rw 01 no 25</t>
  </si>
  <si>
    <t>Rizki AMANDA/Rizki Amanda cab gang bunga</t>
  </si>
  <si>
    <t>Laundry/Ok Laundry Tambora/ Ok Laundry Kota Bambu Raya</t>
  </si>
  <si>
    <t>Laundry/Ok Laundry Tambora/ Ok Laundry Basmol Raya</t>
  </si>
  <si>
    <t>Ivan Natawijaya</t>
  </si>
  <si>
    <t>0813 22883325</t>
  </si>
  <si>
    <t>ivannatawijaya7117@gmail.com</t>
  </si>
  <si>
    <t xml:space="preserve">sun clean
</t>
  </si>
  <si>
    <t>muara karang blok p2 selatan no 76</t>
  </si>
  <si>
    <t>Srirahayu dewi Dewi</t>
  </si>
  <si>
    <t>0822 13300671</t>
  </si>
  <si>
    <t>hood laundry</t>
  </si>
  <si>
    <t>jalan raya tengah depan Alfamidi no13</t>
  </si>
  <si>
    <t xml:space="preserve">Seindo laundry sandang </t>
  </si>
  <si>
    <t>0811 9835 88</t>
  </si>
  <si>
    <t>seindolaundry@gmail.com</t>
  </si>
  <si>
    <t>Seindo Laundry</t>
  </si>
  <si>
    <t>jl. sandang , no,4a</t>
  </si>
  <si>
    <t>Owner Kinken77</t>
  </si>
  <si>
    <t>0877 8833 4331</t>
  </si>
  <si>
    <t>ownerkinken77@gmail.com</t>
  </si>
  <si>
    <t>kinken laundry</t>
  </si>
  <si>
    <t>jl. Muara Angke Blok Ambalat no.48 RT 06/021 Pluit penjaringan Jakarta utara</t>
  </si>
  <si>
    <t>Sapta duwi prima</t>
  </si>
  <si>
    <t>0853 1333 4825</t>
  </si>
  <si>
    <t>saptaduwiprima@gmail.com</t>
  </si>
  <si>
    <t>Tata Laundry</t>
  </si>
  <si>
    <t>Jalan Lebak Bulus 1 Rt001/Rw001 no. 44</t>
  </si>
  <si>
    <t>0812 9443 0326</t>
  </si>
  <si>
    <t>jayasaputra.work@gmail.com</t>
  </si>
  <si>
    <t>Nuna Laundry</t>
  </si>
  <si>
    <t>Jln.Tanjung Pura No.32 Rt 005 Rw.05Kel.PegadunganKec.Kali DeresJakarta Barat11830( MAJELIS TAKLIM AL FITROH )</t>
  </si>
  <si>
    <t xml:space="preserve">Alif Rachman </t>
  </si>
  <si>
    <t>0877 7000 7941</t>
  </si>
  <si>
    <t>aliefrc12@gmail.com</t>
  </si>
  <si>
    <t>Laundry Mba Zen</t>
  </si>
  <si>
    <t>Jl. Semeru Raya No.35 RT.10/RW.10 Grogol Jakarta Barat</t>
  </si>
  <si>
    <t xml:space="preserve">Luiz Fernando </t>
  </si>
  <si>
    <t>0817 603 1165</t>
  </si>
  <si>
    <t>lfo@outlook.com.br</t>
  </si>
  <si>
    <t>Home</t>
  </si>
  <si>
    <t>Capitol Park Residence</t>
  </si>
  <si>
    <t xml:space="preserve">Citra Halim </t>
  </si>
  <si>
    <t>0817 488 5266</t>
  </si>
  <si>
    <t>citra.halim1@gmail.com</t>
  </si>
  <si>
    <t>Citra Laundry/Citra Laundry</t>
  </si>
  <si>
    <t>jl. tanjung duren timur raya gang mandalika</t>
  </si>
  <si>
    <t>juli</t>
  </si>
  <si>
    <t>LOONDRYMAN/ LOONDRYMAN PREMIUM BENHIL</t>
  </si>
  <si>
    <t xml:space="preserve">Mulya Sari </t>
  </si>
  <si>
    <t>0812 8888 6070</t>
  </si>
  <si>
    <t>mulyasari992@gmail.com</t>
  </si>
  <si>
    <t>mulya jaya abadi</t>
  </si>
  <si>
    <t>jl.cempaka putih tengah 1 no 10 a</t>
  </si>
  <si>
    <t>TRI &amp; ROB</t>
  </si>
  <si>
    <t>0821 2312 6678</t>
  </si>
  <si>
    <t>tri.sukaesih20@gmail.com</t>
  </si>
  <si>
    <t>KLINMAX Laundry</t>
  </si>
  <si>
    <t>Jl. Galursari no.14.B Rt.05/Rw.07 Utan Kayu Utara, Matraman, Jakarta Timur 13120</t>
  </si>
  <si>
    <t>TEMEN Laundry/Laundry SHELTER</t>
  </si>
  <si>
    <t xml:space="preserve">Pitda </t>
  </si>
  <si>
    <t>0821 1341 8872</t>
  </si>
  <si>
    <t>pitdajuntak@gmail.com</t>
  </si>
  <si>
    <t>SHIONG LAUNDRY</t>
  </si>
  <si>
    <t>Jl. Perindustrian No. 7 RT 03 RW 06 Kebon Pala, Makasar,Jakarta Timur</t>
  </si>
  <si>
    <t>Rizky Aulia</t>
  </si>
  <si>
    <t>082143105005</t>
  </si>
  <si>
    <t>ulikvbt4@gmail.com</t>
  </si>
  <si>
    <t>ADA Laundry</t>
  </si>
  <si>
    <t>Green Palace Apartemen Kalibata Tower Mawar BL07</t>
  </si>
  <si>
    <t>Ninda Keci Laundry/Sokin Clean Laundry</t>
  </si>
  <si>
    <t>Maulana Malik</t>
  </si>
  <si>
    <t>088806807532</t>
  </si>
  <si>
    <t>Sahabat Laundry/sahabat laundry 2 lontar</t>
  </si>
  <si>
    <t>jalan pengarenga  no 138. pulo jahe.</t>
  </si>
  <si>
    <t>Pusat Laundry ( BANG BEN )/Cabang Pusat Laundry</t>
  </si>
  <si>
    <t>087885582698</t>
  </si>
  <si>
    <t>rizqqamalia@gmail.com</t>
  </si>
  <si>
    <t>46 LAUNDRY</t>
  </si>
  <si>
    <t>karang pola</t>
  </si>
  <si>
    <t>Nurul Laundry</t>
  </si>
  <si>
    <t>081385338373</t>
  </si>
  <si>
    <t>selmankardinal@gmail.com</t>
  </si>
  <si>
    <t>Nurul Laundry eBony</t>
  </si>
  <si>
    <t>tower ebony Kalibata City</t>
  </si>
  <si>
    <t>Nurul Laundry Cendana</t>
  </si>
  <si>
    <t xml:space="preserve">Owner </t>
  </si>
  <si>
    <t>082122337181</t>
  </si>
  <si>
    <t>fita26826@gmail.com</t>
  </si>
  <si>
    <t>MAXCLEAN Laundry</t>
  </si>
  <si>
    <t>Apartemen Laguna Lantai 2 Kios 2-08</t>
  </si>
  <si>
    <t>Julia Scanlon</t>
  </si>
  <si>
    <t>082122222676</t>
  </si>
  <si>
    <t>Julia Laundry</t>
  </si>
  <si>
    <t>PIK</t>
  </si>
  <si>
    <t>ERAZIO LAUNDRY</t>
  </si>
  <si>
    <t>0896 9834 2727</t>
  </si>
  <si>
    <t>laundrysuksesmakmur@gmail.com</t>
  </si>
  <si>
    <t>Jl. H. Selong Rt.013/Rw.001 Gg. Lingkar 2</t>
  </si>
  <si>
    <t>Nia</t>
  </si>
  <si>
    <t>0821 1629 8618</t>
  </si>
  <si>
    <t>April Laundry/April Laundry</t>
  </si>
  <si>
    <t>Jl jagakarsa No.1b</t>
  </si>
  <si>
    <t>Surya Laundry</t>
  </si>
  <si>
    <t>082210127470</t>
  </si>
  <si>
    <t>surya.laundrykudin@gmail.com</t>
  </si>
  <si>
    <t>jl kudin no 20 rt1 rw3</t>
  </si>
  <si>
    <t>Agung</t>
  </si>
  <si>
    <t>081314305859</t>
  </si>
  <si>
    <t>faliang8@gmail.com</t>
  </si>
  <si>
    <t>Fresh &amp; Klein</t>
  </si>
  <si>
    <t>Jl. Raya Sedayu City Blok SCBRF no.35. sedayu city</t>
  </si>
  <si>
    <t>Citra Laundry/Citra Laundry GS</t>
  </si>
  <si>
    <t xml:space="preserve">Lilik Maulina </t>
  </si>
  <si>
    <t>08176007469</t>
  </si>
  <si>
    <t>lilikmaulina@gmail.com</t>
  </si>
  <si>
    <t>Bunda Laundry</t>
  </si>
  <si>
    <t>Jl Kelapa dua no.19 RT.009/RW.003 Cilincing - Jakarta Utara14120</t>
  </si>
  <si>
    <t>April Laundry/Aletta Laundry</t>
  </si>
  <si>
    <t>0811 1159499</t>
  </si>
  <si>
    <t>aldogunawan662@gmail.com</t>
  </si>
  <si>
    <t>Rumah Laundry (Arya)</t>
  </si>
  <si>
    <t>Jl taruna 1 sukapura No 2</t>
  </si>
  <si>
    <t xml:space="preserve">Imam Hardianto </t>
  </si>
  <si>
    <t>082231104968</t>
  </si>
  <si>
    <t>imamhardianto92@gmail.com</t>
  </si>
  <si>
    <t>aisha laundry</t>
  </si>
  <si>
    <t>Jl. Bendungan Melayu RT. 003 RW. 001 No. 25A</t>
  </si>
  <si>
    <t xml:space="preserve">Sahabat Laundry/sahabat laundry 1 House    </t>
  </si>
  <si>
    <t>JM1505</t>
  </si>
  <si>
    <t>0811 1680184</t>
  </si>
  <si>
    <t>laundryqta22@gmail.com</t>
  </si>
  <si>
    <t>Laundry Qta/Laundry Qta Pulomas</t>
  </si>
  <si>
    <t>Jl. Pulomas Barat V no 45</t>
  </si>
  <si>
    <t>ChaeruliLarasati</t>
  </si>
  <si>
    <t>08989882830</t>
  </si>
  <si>
    <t>laras.ydba@gmail.com</t>
  </si>
  <si>
    <t>Instan Laundry</t>
  </si>
  <si>
    <t>Jl. Cempaka putih tengah No. 32</t>
  </si>
  <si>
    <t xml:space="preserve">Sahabat Laundry/sahabat laundry 3 kranji     </t>
  </si>
  <si>
    <t>Sahabat Laundry/sahabat laundry 2</t>
  </si>
  <si>
    <t>Selman Moelyono</t>
  </si>
  <si>
    <t>Nurul Laundry Herbras</t>
  </si>
  <si>
    <t>arif burhanudin</t>
  </si>
  <si>
    <t>087777290901</t>
  </si>
  <si>
    <t>azzamlaundry22@gmail.com</t>
  </si>
  <si>
    <t>Azzam Laundry</t>
  </si>
  <si>
    <t>Jl kemurnian 1 no 115 glodok jakarta barat</t>
  </si>
  <si>
    <t>Nurul Fathiyaturrohmah</t>
  </si>
  <si>
    <t>08984346080</t>
  </si>
  <si>
    <t>Alfatih Laundry/ Alfatih Laundry Kemiri Jaya</t>
  </si>
  <si>
    <t>Jl. Desa Putera No. 1 RT 07/05</t>
  </si>
  <si>
    <t>Alfatih Laundry/Alfatih Laundry</t>
  </si>
  <si>
    <t>Fatimatul zahro</t>
  </si>
  <si>
    <t>0819 3123 7145</t>
  </si>
  <si>
    <t>dhiniluh8@gmail.com</t>
  </si>
  <si>
    <t>Cleo Laundry</t>
  </si>
  <si>
    <t>jl Malaka Selatan k16 no 4 pondok kelapa Jaktim</t>
  </si>
  <si>
    <t>Savera Laundry</t>
  </si>
  <si>
    <t>0821 3585 3014</t>
  </si>
  <si>
    <t>savera.laundry@gmail.com</t>
  </si>
  <si>
    <t>Savera Laundry/Savera Laundry DTS</t>
  </si>
  <si>
    <t>Jl Duren Tiga Selatan, No. 68</t>
  </si>
  <si>
    <t>Fadil</t>
  </si>
  <si>
    <t>0813 8955 4160</t>
  </si>
  <si>
    <t>sini.laundry23@gmail.com</t>
  </si>
  <si>
    <t>Sini Laundry</t>
  </si>
  <si>
    <t>Jl. Kebon Pala 1 No. 4 RT/RW 003/013 (Teras Sweelty)</t>
  </si>
  <si>
    <t>Sri</t>
  </si>
  <si>
    <t>087841155243</t>
  </si>
  <si>
    <t>ardiyansahsaputra55@gmail.com</t>
  </si>
  <si>
    <t xml:space="preserve">laundry Sri/laundry	</t>
  </si>
  <si>
    <t>jl. Srengseng sawah no. 8 RT.11 RW.09kota jakarta selatan</t>
  </si>
  <si>
    <t xml:space="preserve">Kelondri </t>
  </si>
  <si>
    <t>81329008578</t>
  </si>
  <si>
    <t>kelondri@gmail.com</t>
  </si>
  <si>
    <t xml:space="preserve">Kelondri/Kelondri	</t>
  </si>
  <si>
    <t>Jl. Pisangan Baru Tengah IV No. 3 RT. 002 RW. 004. Pisangan Baru - Matraman. Jakarta Timur</t>
  </si>
  <si>
    <t>Winie Dea</t>
  </si>
  <si>
    <t>085742117954</t>
  </si>
  <si>
    <t>deawinie79@gmail.com</t>
  </si>
  <si>
    <t>rumah cuci mamah dea</t>
  </si>
  <si>
    <t>jl.raya tengah rt.08/08 gedong pasar rebo kramat jati-jakarta timur</t>
  </si>
  <si>
    <t xml:space="preserve">Yesi Yusnita </t>
  </si>
  <si>
    <t>08111015686</t>
  </si>
  <si>
    <t xml:space="preserve">Pink Laundry/Pink Laundry	</t>
  </si>
  <si>
    <t>Jl. Kebon Nanas Selatan VIII No. 2A</t>
  </si>
  <si>
    <t>Enita Aprilia</t>
  </si>
  <si>
    <t>081998810644</t>
  </si>
  <si>
    <t>loundrytata@gmail.com</t>
  </si>
  <si>
    <t>TATA LAUNDRY/ENITA</t>
  </si>
  <si>
    <t>kp muka GG belimbing 3 blok c no 18 RT.009/RW.04 Ancol Pademangan jakrta Utara</t>
  </si>
  <si>
    <t>Palas Palansyah</t>
  </si>
  <si>
    <t>085947447474</t>
  </si>
  <si>
    <t>superpowerwashloundry@gmail.com</t>
  </si>
  <si>
    <t>SUPER POWER WASH LOUNDRY</t>
  </si>
  <si>
    <t>apartement greenbay tower d ,LGM NO 06 (depan lobby j&amp;k -samping indomart</t>
  </si>
  <si>
    <t>Pink Laundry/Pink Laundry GS</t>
  </si>
  <si>
    <t>Sigit</t>
  </si>
  <si>
    <t>081521749959</t>
  </si>
  <si>
    <t>onlyonelaundrymart@gmail.com</t>
  </si>
  <si>
    <t>Only One Laundry Mart</t>
  </si>
  <si>
    <t>Jl Remaja 1 Rt 07/04 No 7 Jatinegara Kaum</t>
  </si>
  <si>
    <t>Melyan Laundry/Meliana Laundry #2</t>
  </si>
  <si>
    <t xml:space="preserve">Muhammad Anas,19-5-2023 </t>
  </si>
  <si>
    <t>0852 5552 9995</t>
  </si>
  <si>
    <t>C2Laundry</t>
  </si>
  <si>
    <t>Apertemen Kalibata City Tower Eboni AL 12 Jaksel</t>
  </si>
  <si>
    <t>isra</t>
  </si>
  <si>
    <t>0877 7779 3219</t>
  </si>
  <si>
    <t>berkahlaundrydelapan8@gmail.com</t>
  </si>
  <si>
    <t>berkah laundry 88</t>
  </si>
  <si>
    <t>Jl , HKSN 88 GANG KOPRO BANJIR NO : 19 Rt 008 Rw 011 kebayoran lama jaksel 12240( Berkah loundry 88 ) pas di depan Masjid Jami Nurul hidayah</t>
  </si>
  <si>
    <t>Aguinaz Laundry/Redberry Laundry 2</t>
  </si>
  <si>
    <t>Devita Sari</t>
  </si>
  <si>
    <t>087883807403</t>
  </si>
  <si>
    <t>sdevita507@gmail.com</t>
  </si>
  <si>
    <t>fayraa loundry</t>
  </si>
  <si>
    <t>jln.terate RT.009 RW.004 no 169 kelurahan kembangan Utara</t>
  </si>
  <si>
    <t>Alvyan</t>
  </si>
  <si>
    <t>08179920649</t>
  </si>
  <si>
    <t>ng.alvyan27@gmail.com</t>
  </si>
  <si>
    <t>Alvyan Laundry</t>
  </si>
  <si>
    <t>Dolphin Laundry Mampang</t>
  </si>
  <si>
    <t>081779990001</t>
  </si>
  <si>
    <t>dolphinlaundry.mampang@gmail.com</t>
  </si>
  <si>
    <t>Dolphin Laundry</t>
  </si>
  <si>
    <t>Jl. Mampang Prapatan VIII No 8A, RT001 RW001</t>
  </si>
  <si>
    <t>Adelina Adeline</t>
  </si>
  <si>
    <t>0852 1654 9484</t>
  </si>
  <si>
    <t>clare.jewelrycleaner@gmail.com</t>
  </si>
  <si>
    <t>CLARE LAUNDRY</t>
  </si>
  <si>
    <t>jalan Olahraga I no 20, condet, cililitan, Kramat Jati, Jakarta Timur</t>
  </si>
  <si>
    <t>Sisca DJR</t>
  </si>
  <si>
    <t>0856 9105 6955</t>
  </si>
  <si>
    <t>siscadjr@gmail.com</t>
  </si>
  <si>
    <t>mamih laundry</t>
  </si>
  <si>
    <t>jl Srengseng sawah Jagakarsa Jakarta Selatan</t>
  </si>
  <si>
    <t xml:space="preserve">Bunda Maia </t>
  </si>
  <si>
    <t>0878 19999440</t>
  </si>
  <si>
    <t>nyonyalaundry10b@gmail.com</t>
  </si>
  <si>
    <t>Nyonya Laundry</t>
  </si>
  <si>
    <t>Jl. Batu Merah 1 No 10B</t>
  </si>
  <si>
    <t>Savera Laundry/Savera Laundry Kalibata Tengah</t>
  </si>
  <si>
    <t xml:space="preserve">Zi Laundry </t>
  </si>
  <si>
    <t>0858 8838 8195</t>
  </si>
  <si>
    <t>zilaundry8@gmail.com</t>
  </si>
  <si>
    <t>zilaundry/zilaundry Fresh</t>
  </si>
  <si>
    <t>Pengadegan selatan 1</t>
  </si>
  <si>
    <t>Royal laundry</t>
  </si>
  <si>
    <t>0851 5711 4446</t>
  </si>
  <si>
    <t>modestartpoint@gmail.com</t>
  </si>
  <si>
    <t>test/Royal laundry</t>
  </si>
  <si>
    <t>jakarta</t>
  </si>
  <si>
    <t>Laras Rasmawati</t>
  </si>
  <si>
    <t>0822 9840 4005</t>
  </si>
  <si>
    <t>business.easygleam@gmail.com</t>
  </si>
  <si>
    <t>EasyGleam Laundry &amp; Cleaners</t>
  </si>
  <si>
    <t>Jl. Harun Raya No.1, RT.01/RW.07</t>
  </si>
  <si>
    <t xml:space="preserve">siti rahmah </t>
  </si>
  <si>
    <t>0812 98312025</t>
  </si>
  <si>
    <t>rahmahsity95@gmail.com</t>
  </si>
  <si>
    <t>fresh laundry</t>
  </si>
  <si>
    <t>apartemen kalibata city tower borneo BM 11</t>
  </si>
  <si>
    <t>Kelondri/WOW</t>
  </si>
  <si>
    <t>operator</t>
  </si>
  <si>
    <t>08567374800</t>
  </si>
  <si>
    <t>ayra.ayralaundry@gmail.com</t>
  </si>
  <si>
    <t>Ayra Laundry</t>
  </si>
  <si>
    <t>Jalan Bambu Hitam, Bambu Apus,Cipayung</t>
  </si>
  <si>
    <t>Muhammad Ihsan Mangkunegara</t>
  </si>
  <si>
    <t>085156455153</t>
  </si>
  <si>
    <t>wooshjakarta@gmail.com</t>
  </si>
  <si>
    <t>WOOSH!</t>
  </si>
  <si>
    <t>Jl. KH Syahdan, Gg. Keluarga RW12</t>
  </si>
  <si>
    <t>Novha Anggraini</t>
  </si>
  <si>
    <t>089667957170</t>
  </si>
  <si>
    <t>novasazkia2123@gmail.com</t>
  </si>
  <si>
    <t>Laundry Budeh</t>
  </si>
  <si>
    <t>Jalan Sahabat Baru Rt 08/01 No. 22</t>
  </si>
  <si>
    <t>147</t>
  </si>
  <si>
    <t>0816 13120494</t>
  </si>
  <si>
    <t>kirana laundry/Kirana Laundry 2</t>
  </si>
  <si>
    <t>148</t>
  </si>
  <si>
    <t>Djoko  santosa</t>
  </si>
  <si>
    <t>087729125085</t>
  </si>
  <si>
    <t>jokoosant1@gmail.com</t>
  </si>
  <si>
    <t>Java</t>
  </si>
  <si>
    <t>jl pinangsia no no</t>
  </si>
  <si>
    <t>149</t>
  </si>
  <si>
    <t>Laundry Qta/Laundry Qta Kelapa Gading</t>
  </si>
  <si>
    <t>150</t>
  </si>
  <si>
    <t>Admin 2</t>
  </si>
  <si>
    <t>0815 8921000</t>
  </si>
  <si>
    <t>luckylaundry2023@gmail.com</t>
  </si>
  <si>
    <t>Lucky Laundry</t>
  </si>
  <si>
    <t>Jalan Al Baidho I No. 106 Lubang Buaya,  Cipayung, Jakarta Timur</t>
  </si>
  <si>
    <t>151</t>
  </si>
  <si>
    <t>Savera Laundry/Savera Laundry Mampang Prapatan</t>
  </si>
  <si>
    <t>152</t>
  </si>
  <si>
    <t xml:space="preserve">Michael Tan </t>
  </si>
  <si>
    <t>085175168831</t>
  </si>
  <si>
    <t>foamlaundryid@gmail.com</t>
  </si>
  <si>
    <t>Foam Laundry</t>
  </si>
  <si>
    <t>Perumahan Citra Garden 2 Blok G1 nomor 20</t>
  </si>
  <si>
    <t>153</t>
  </si>
  <si>
    <t>Sri Maliya</t>
  </si>
  <si>
    <t>0857 10384947</t>
  </si>
  <si>
    <t>srimaliya22@gmail.com</t>
  </si>
  <si>
    <t>gang flamboyan, cengkareng timur</t>
  </si>
  <si>
    <t>154</t>
  </si>
  <si>
    <t>Savera Laundry/Savera Laundry Pejaten Barat</t>
  </si>
  <si>
    <t>155</t>
  </si>
  <si>
    <t xml:space="preserve">Poltak </t>
  </si>
  <si>
    <t>087814221992</t>
  </si>
  <si>
    <t>poltakbeinhart@gmail.com</t>
  </si>
  <si>
    <t>Clean and Clear Laundry</t>
  </si>
  <si>
    <t>jl Pepaya Raya No 9</t>
  </si>
  <si>
    <t>156</t>
  </si>
  <si>
    <t xml:space="preserve">Karta Gultom </t>
  </si>
  <si>
    <t>0813 98934305</t>
  </si>
  <si>
    <t>kartagultom5@gmail.com</t>
  </si>
  <si>
    <t>rumah laundry gultom/rumah laundry</t>
  </si>
  <si>
    <t>jl taruna sukapura</t>
  </si>
  <si>
    <t>157</t>
  </si>
  <si>
    <t>Laundry Qta/KAF Chicken Jepara</t>
  </si>
  <si>
    <t>158</t>
  </si>
  <si>
    <t>Brant</t>
  </si>
  <si>
    <t>0812 82084284</t>
  </si>
  <si>
    <t>sintua.hutauruk@gmail.com</t>
  </si>
  <si>
    <t>Arihta Laundry</t>
  </si>
  <si>
    <t>Kota jakarta timur</t>
  </si>
  <si>
    <t>Jl. Tuparev No. 13 Pulomas Kayu Putih Jakarta Timur</t>
  </si>
  <si>
    <t>159</t>
  </si>
  <si>
    <t xml:space="preserve">Lilac Wash </t>
  </si>
  <si>
    <t>0881 024826431</t>
  </si>
  <si>
    <t>Lilac wash</t>
  </si>
  <si>
    <t>kp tanah merah atas</t>
  </si>
  <si>
    <t>160</t>
  </si>
  <si>
    <t xml:space="preserve">Toptastic Owner </t>
  </si>
  <si>
    <t>087881888110</t>
  </si>
  <si>
    <t>toptasticowner@gmail.com</t>
  </si>
  <si>
    <t>Toptastic Laundry</t>
  </si>
  <si>
    <t>Rawabadak, Jakarta Utara</t>
  </si>
  <si>
    <t>161</t>
  </si>
  <si>
    <t>Aguinaz Laundry/Aguinaz Laundry Jagakarsa</t>
  </si>
  <si>
    <t>162</t>
  </si>
  <si>
    <t>Muhammad Farid Fajar</t>
  </si>
  <si>
    <t>081382604209</t>
  </si>
  <si>
    <t>Vay1357@gmail.com</t>
  </si>
  <si>
    <t>Dokter Laundry</t>
  </si>
  <si>
    <t>jl. bangunan barat no 42</t>
  </si>
  <si>
    <t>163</t>
  </si>
  <si>
    <t>Suradi Blora</t>
  </si>
  <si>
    <t>081299627753</t>
  </si>
  <si>
    <t>Zeldalaundry@gmail.com</t>
  </si>
  <si>
    <t>Zelda Laundry</t>
  </si>
  <si>
    <t>Jalan Mesjid At Taqwa No. 3, RT.3/RW.2, Kembangan Utara, Kembangan</t>
  </si>
  <si>
    <t>164</t>
  </si>
  <si>
    <t>Adetya Yunitasya</t>
  </si>
  <si>
    <t>081933290329</t>
  </si>
  <si>
    <t>cloudetlaundry@gmail.com</t>
  </si>
  <si>
    <t>ZCOU LAUNDRY/CLOUDET LAUNDRY</t>
  </si>
  <si>
    <t>JL.PADEMANGAN TIMUR IV GG 32 KIOS I JAKARTA UTARA</t>
  </si>
  <si>
    <t>165</t>
  </si>
  <si>
    <t>Manyasah Laundry</t>
  </si>
  <si>
    <t>081236128184</t>
  </si>
  <si>
    <t>hannaura.0318@gmail.com</t>
  </si>
  <si>
    <t>BMA 3, Jl Flamboyan IV blok H2/6</t>
  </si>
  <si>
    <t>166</t>
  </si>
  <si>
    <t>Power Laundry</t>
  </si>
  <si>
    <t>081292273280</t>
  </si>
  <si>
    <t>powerlaundrypalace@gmail.com</t>
  </si>
  <si>
    <t>Power Laundry Palace</t>
  </si>
  <si>
    <t>Jl. Landasan PacuApartemen Mediterania PalaceLantai UG C Shop G</t>
  </si>
  <si>
    <t>167</t>
  </si>
  <si>
    <t xml:space="preserve">Cuciin Laundry </t>
  </si>
  <si>
    <t>082123779390</t>
  </si>
  <si>
    <t>Cuciin</t>
  </si>
  <si>
    <t>jalan haji radin</t>
  </si>
  <si>
    <t>168</t>
  </si>
  <si>
    <t>Ninda Keci Laundry/Ninda Keci Laundry Outlet 2</t>
  </si>
  <si>
    <t>169</t>
  </si>
  <si>
    <t>Reyza Tere</t>
  </si>
  <si>
    <t>085280067800</t>
  </si>
  <si>
    <t>rtlaundry21@gmail.com</t>
  </si>
  <si>
    <t>rtlaundry</t>
  </si>
  <si>
    <t>JL PERCETAKAN NEGARA V RT,007 RW,003</t>
  </si>
  <si>
    <t>170</t>
  </si>
  <si>
    <t xml:space="preserve">Sahabat Laundry/Sahabat laundry 4 buaran        </t>
  </si>
  <si>
    <t>171</t>
  </si>
  <si>
    <t>DiasNatasya</t>
  </si>
  <si>
    <t>083156708626</t>
  </si>
  <si>
    <t>m4211770@gmail.com</t>
  </si>
  <si>
    <t>Zaima laundry</t>
  </si>
  <si>
    <t>jalan ayam RT. 01/06 No.30 batu ampar, Kramat jati, Jakarta Timur</t>
  </si>
  <si>
    <t>172</t>
  </si>
  <si>
    <t>Pink Laundry/Abde Laundry by Pink Laundry</t>
  </si>
  <si>
    <t>173</t>
  </si>
  <si>
    <t xml:space="preserve">Putera Hongutomo </t>
  </si>
  <si>
    <t>087762493030</t>
  </si>
  <si>
    <t>xiklin.laundry@gmail.com</t>
  </si>
  <si>
    <t>XiKlin Laundry</t>
  </si>
  <si>
    <t>Jalan Tanah Tinggi Gang 2 No.68</t>
  </si>
  <si>
    <t>174</t>
  </si>
  <si>
    <t>Lunna</t>
  </si>
  <si>
    <t>082111944230</t>
  </si>
  <si>
    <t>j.valmai88@gmail.com</t>
  </si>
  <si>
    <t>Aletta Laundry</t>
  </si>
  <si>
    <t>Jln, raya lenteng agung gg. mushola no.20</t>
  </si>
  <si>
    <t>175</t>
  </si>
  <si>
    <t xml:space="preserve">NITA </t>
  </si>
  <si>
    <t>087888711183</t>
  </si>
  <si>
    <t>22laundry22@gmail.com</t>
  </si>
  <si>
    <t>22 LAUNDRY</t>
  </si>
  <si>
    <t>jl.pandan RT 11 , RW 09 , keramat Pela, Kebayoran baru</t>
  </si>
  <si>
    <t>176</t>
  </si>
  <si>
    <t xml:space="preserve">Reyza Tere </t>
  </si>
  <si>
    <t>rtlaundry/R &amp; T Laundry 1</t>
  </si>
  <si>
    <t>177</t>
  </si>
  <si>
    <t>Fiona Laundry</t>
  </si>
  <si>
    <t>082125597846</t>
  </si>
  <si>
    <t>Jln.Rasela 1/21.Aa. Jakarta Pusat</t>
  </si>
  <si>
    <t>178</t>
  </si>
  <si>
    <t>Guruh adi pratama</t>
  </si>
  <si>
    <t>082114005032</t>
  </si>
  <si>
    <t>pratamaadiguruh@gmail.com</t>
  </si>
  <si>
    <t>Doux Laundry/Doux Laundry 2</t>
  </si>
  <si>
    <t>Jl kalibata Utara 2 no 70 kalibata Pancoran Jakarta Selatan</t>
  </si>
  <si>
    <t>179</t>
  </si>
  <si>
    <t xml:space="preserve">Doux Laundry/Doux Laundry </t>
  </si>
  <si>
    <t>180</t>
  </si>
  <si>
    <t>AJENG</t>
  </si>
  <si>
    <t>081221114498</t>
  </si>
  <si>
    <t>cleoexpresslaundry@gmail.com</t>
  </si>
  <si>
    <t>Cleo Express Laundry Basura</t>
  </si>
  <si>
    <t>Apartemen Basura City Tower G</t>
  </si>
  <si>
    <t>181</t>
  </si>
  <si>
    <t>Ayang Laundry</t>
  </si>
  <si>
    <t>085719285882</t>
  </si>
  <si>
    <t>jl. plumpang b rt002 rw. 04 no. 29</t>
  </si>
  <si>
    <t>182</t>
  </si>
  <si>
    <t xml:space="preserve">AndriAstuti </t>
  </si>
  <si>
    <t>081295987198</t>
  </si>
  <si>
    <t>laundry/kon's laundry</t>
  </si>
  <si>
    <t>jl.tanah merdeka no.26RT/RW 01/05Kel.susukankec.ciracasJaktim</t>
  </si>
  <si>
    <t>183</t>
  </si>
  <si>
    <t>Citra Halim</t>
  </si>
  <si>
    <t>08174885266</t>
  </si>
  <si>
    <t>Citra Laundry/Citra Laundry Dukuh</t>
  </si>
  <si>
    <t>jl. dukuh 2 no 21. grogol petamburan</t>
  </si>
  <si>
    <t>184</t>
  </si>
  <si>
    <t>AGUNG SETYAJI</t>
  </si>
  <si>
    <t>085210108123</t>
  </si>
  <si>
    <t>apinkcalen@gmail.com</t>
  </si>
  <si>
    <t>SHARENA LAUNDRY</t>
  </si>
  <si>
    <t>JL H.R ISMAIL RT 08 RW 03 JATINEGARA CAKUNG JAKARTA TIMUR 13930</t>
  </si>
  <si>
    <t>185</t>
  </si>
  <si>
    <t>Bubble Wash Laundry</t>
  </si>
  <si>
    <t>08118183881</t>
  </si>
  <si>
    <t>laundrygita88@gmail.com</t>
  </si>
  <si>
    <t>Bubble Wash</t>
  </si>
  <si>
    <t>Jl. Salam 3 no. 3Sukabumi Utara - Kebon JerukJakarta Barat</t>
  </si>
  <si>
    <t>186</t>
  </si>
  <si>
    <t>arif thorif</t>
  </si>
  <si>
    <t>081510003039</t>
  </si>
  <si>
    <t>usaha laundry</t>
  </si>
  <si>
    <t>jln.usaha.no45.rt01/05 cawang</t>
  </si>
  <si>
    <t>187</t>
  </si>
  <si>
    <t xml:space="preserve">Herlina </t>
  </si>
  <si>
    <t>082124000151</t>
  </si>
  <si>
    <t>Aguinaz Laundry/Aguinaz Laundry (Gunuk Raya)</t>
  </si>
  <si>
    <t>Jln. Gunuk raya no.12</t>
  </si>
  <si>
    <t>188</t>
  </si>
  <si>
    <t>Lulu Triardhian Helmy</t>
  </si>
  <si>
    <t>08561592796</t>
  </si>
  <si>
    <t>elziohelmy.laundry@gmail.com</t>
  </si>
  <si>
    <t>ELLaundry</t>
  </si>
  <si>
    <t>Jl. H. Jusin RT005/01, Kelurahan Susukan - Kecamatan Ciracas. Jakarta Timur</t>
  </si>
  <si>
    <t>189</t>
  </si>
  <si>
    <t xml:space="preserve">leonaria </t>
  </si>
  <si>
    <t>08987520022</t>
  </si>
  <si>
    <t>hadiahlaundry@gmail.com</t>
  </si>
  <si>
    <t>Hadiah Laundry</t>
  </si>
  <si>
    <t>pademangan 3 gang 22 no. 315</t>
  </si>
  <si>
    <t>190</t>
  </si>
  <si>
    <t>evalien</t>
  </si>
  <si>
    <t>08118552903</t>
  </si>
  <si>
    <t>evasugi85@gmail.com</t>
  </si>
  <si>
    <t>Biru Laundry</t>
  </si>
  <si>
    <t>Apartemen Kalibata Green Palace Tower Palem kios CL 09, Jln. Raya Kalibata No. 1, Pancoran, Jakarta Selatan</t>
  </si>
  <si>
    <t>191</t>
  </si>
  <si>
    <t xml:space="preserve">Naias Laundry </t>
  </si>
  <si>
    <t>081213702116</t>
  </si>
  <si>
    <t>NAIAS LAUNDRY</t>
  </si>
  <si>
    <t>192</t>
  </si>
  <si>
    <t>Kristin K</t>
  </si>
  <si>
    <t>081973073293</t>
  </si>
  <si>
    <t>kris_92rl@ymail.com</t>
  </si>
  <si>
    <t>Monkey Laundry</t>
  </si>
  <si>
    <t>Apartemen Green Palm ResidenceGF - Tower C - E 12</t>
  </si>
  <si>
    <t>193</t>
  </si>
  <si>
    <t>Qenzhuo</t>
  </si>
  <si>
    <t>085155185188</t>
  </si>
  <si>
    <t>Citra Laundry Kalibata/Citra Laundry Kalibata</t>
  </si>
  <si>
    <t>JL KALIBATA TIMUR RAYA NO 25</t>
  </si>
  <si>
    <t>194</t>
  </si>
  <si>
    <t>Eko Budi Hartanto</t>
  </si>
  <si>
    <t>081279185747</t>
  </si>
  <si>
    <t>ekobh55@gmail.com</t>
  </si>
  <si>
    <t>SATSET Laundry</t>
  </si>
  <si>
    <t>Jalan Jengki Utama Blok Kober No.25A, RT.1/RW.2, Kb. Pala, Kec. Makasar, Kota Jakarta Timur, Daerah Khusus Ibukota Jakarta 13650</t>
  </si>
  <si>
    <t>195</t>
  </si>
  <si>
    <t xml:space="preserve">Azkia Laundry </t>
  </si>
  <si>
    <t>08151617389</t>
  </si>
  <si>
    <t>Azkia.sell26@gmail.com</t>
  </si>
  <si>
    <t>Azkia Laundry</t>
  </si>
  <si>
    <t>Jl.Kayu Besar Dalam No.17B RT/4 RW/11Kel.Cengkareng Timur Kec.CengkarengKodya Jakarta Barat 11730</t>
  </si>
  <si>
    <t>196</t>
  </si>
  <si>
    <t>Lousi Laundry</t>
  </si>
  <si>
    <t>085606187813</t>
  </si>
  <si>
    <t>lousilaundry@gmail.com</t>
  </si>
  <si>
    <t>lousi laundry</t>
  </si>
  <si>
    <t>Jl. Rawa Bebek No.14 12, RT.10/RW.8, Pulo Gebang, Kec. Cakung, Kota Jakarta Timur, Daerah Khusus Ibukota Jakarta 13950</t>
  </si>
  <si>
    <t>197</t>
  </si>
  <si>
    <t>Aguinaz Laundry/Aguinaz laundry (Swadaya 1)</t>
  </si>
  <si>
    <t>Jln.Swadaya 1</t>
  </si>
  <si>
    <t>198</t>
  </si>
  <si>
    <t xml:space="preserve">Mizu Laundry </t>
  </si>
  <si>
    <t>082170003301</t>
  </si>
  <si>
    <t>mizulaundry20@gmail.com</t>
  </si>
  <si>
    <t>Mizu Laundry/Mizu Laundry tanjung pura</t>
  </si>
  <si>
    <t>Jln. Tanjung pura raya no 32 koang (Depan Majlis Taqlim al-Fitroh)</t>
  </si>
  <si>
    <t>199</t>
  </si>
  <si>
    <t>082112130068</t>
  </si>
  <si>
    <t>GLOW Laundry/LEMON LAUNDRY</t>
  </si>
  <si>
    <t>Citra Garden 2 blok H5 no.11</t>
  </si>
  <si>
    <t>200</t>
  </si>
  <si>
    <t>Ezza Clean</t>
  </si>
  <si>
    <t>085943810311</t>
  </si>
  <si>
    <t>ezzaclean99@gmail.com</t>
  </si>
  <si>
    <t>EzzA CleaN</t>
  </si>
  <si>
    <t>kp. Z,  Rt 002/02 penggilingan cakung,  jakarta timur</t>
  </si>
  <si>
    <t>201</t>
  </si>
  <si>
    <t>Maz Laundry</t>
  </si>
  <si>
    <t>085283824140</t>
  </si>
  <si>
    <t>laundymaz@gmail.com</t>
  </si>
  <si>
    <t>Jl. Pedongkelan Belakang No.6, RT.6/RW.13</t>
  </si>
  <si>
    <t>202</t>
  </si>
  <si>
    <t>FAIZ RAHMAN ARIFIN</t>
  </si>
  <si>
    <t>085142082252</t>
  </si>
  <si>
    <t>imperiallaundry13@gmail.com</t>
  </si>
  <si>
    <t>Imperial Laundry</t>
  </si>
  <si>
    <t>jalan harun raya no 1</t>
  </si>
  <si>
    <t>203</t>
  </si>
  <si>
    <t>Citra Laundry Kalibata/Citra Laundry Kalibata Utara</t>
  </si>
  <si>
    <t>JL KALIBATA UTARA II NO 100</t>
  </si>
  <si>
    <t>204</t>
  </si>
  <si>
    <t>Aylien Wihardja</t>
  </si>
  <si>
    <t>08151610035</t>
  </si>
  <si>
    <t>pineleaf0108@gmail.com</t>
  </si>
  <si>
    <t>Matsunoki Laundry Shoes&amp;Apparel Care</t>
  </si>
  <si>
    <t>Apartemen Puri Park View tower E lt 5Jl. Pesanggrahan Raya no 88Meruya Utara-KembanganJakarta Barat</t>
  </si>
  <si>
    <t>205</t>
  </si>
  <si>
    <t>Fenny gou</t>
  </si>
  <si>
    <t>08129911402</t>
  </si>
  <si>
    <t>fenny.gou12345@gmail.com</t>
  </si>
  <si>
    <t>Laris Laundry/Laris Laundry P</t>
  </si>
  <si>
    <t>jelambar selatan 3 no 68c</t>
  </si>
  <si>
    <t>206</t>
  </si>
  <si>
    <t>Sita Oci</t>
  </si>
  <si>
    <t>0813084310400</t>
  </si>
  <si>
    <t>rumahlaundryg@gmail.com</t>
  </si>
  <si>
    <t>Rumah Laundry</t>
  </si>
  <si>
    <t>Jalan Tutty Alawiyah, Gang 12 No 19RT 10 RW 05.</t>
  </si>
  <si>
    <t>207</t>
  </si>
  <si>
    <t xml:space="preserve">Chairunnisa </t>
  </si>
  <si>
    <t>085942121353</t>
  </si>
  <si>
    <t>cahayanusantara67@gmail.com</t>
  </si>
  <si>
    <t>CN/Cahaya Nusantara</t>
  </si>
  <si>
    <t>Rasamala 7</t>
  </si>
  <si>
    <t>208</t>
  </si>
  <si>
    <t>Ricchan Nainggolan</t>
  </si>
  <si>
    <t>087882378750</t>
  </si>
  <si>
    <t>Avenly Loundry</t>
  </si>
  <si>
    <t>Jl. Raya Pondok Ranggon RT 02 / RW 04Kec Cipayung Kel Pondok Ranggon</t>
  </si>
  <si>
    <t>209</t>
  </si>
  <si>
    <t xml:space="preserve">Faisal </t>
  </si>
  <si>
    <t>081288337072</t>
  </si>
  <si>
    <t>fasthublaundry@gmail.com</t>
  </si>
  <si>
    <t>Fasthub Laundry</t>
  </si>
  <si>
    <t>Jl raya bekasi km 18 no 6 Rt 007/011.jatinegara/cakung jakarta timur 13930( samping Rs harapan jayakarta)</t>
  </si>
  <si>
    <t>210</t>
  </si>
  <si>
    <t>Jhonson Verry</t>
  </si>
  <si>
    <t>081284975885</t>
  </si>
  <si>
    <t>mrvjlaundry@gmail.com</t>
  </si>
  <si>
    <t>mr.vjlaundry</t>
  </si>
  <si>
    <t>Kota JaKarta Barat</t>
  </si>
  <si>
    <t>Jl. Raya Kebon Jeruk no.38 Kel. kebon jeruk Jakarta Barat</t>
  </si>
  <si>
    <t>211</t>
  </si>
  <si>
    <t>Wash n Go Laundry JakBar</t>
  </si>
  <si>
    <t>08158809889</t>
  </si>
  <si>
    <t>washngo.indo@gmail.com</t>
  </si>
  <si>
    <t>Wash n Go Laundry Kiloan</t>
  </si>
  <si>
    <t>Taman Cosmos G 30</t>
  </si>
  <si>
    <t>212</t>
  </si>
  <si>
    <t xml:space="preserve">Laundry Uncles </t>
  </si>
  <si>
    <t>085710315268</t>
  </si>
  <si>
    <t>uncleslaundry@gmail.com</t>
  </si>
  <si>
    <t>Uncles Laundry</t>
  </si>
  <si>
    <t>jl Mundu blok N no 35B</t>
  </si>
  <si>
    <t>213</t>
  </si>
  <si>
    <t xml:space="preserve">Lanri </t>
  </si>
  <si>
    <t>089675032223</t>
  </si>
  <si>
    <t>cugozklin@gmail.com</t>
  </si>
  <si>
    <t>CUGOZKLIN</t>
  </si>
  <si>
    <t>Jl. Kayu Mas Raya No 1</t>
  </si>
  <si>
    <t>214</t>
  </si>
  <si>
    <t xml:space="preserve">Tri Juliyati </t>
  </si>
  <si>
    <t>085810362816</t>
  </si>
  <si>
    <t>bunda.yulia22@gmail.com</t>
  </si>
  <si>
    <t>GEDHE LAUNDRY</t>
  </si>
  <si>
    <t>Kp. Waru Doyong RT 012/08 No.01Jatinegara Cakung Jakarta Timur</t>
  </si>
  <si>
    <t>215</t>
  </si>
  <si>
    <t xml:space="preserve">Juli </t>
  </si>
  <si>
    <t>Aguinaz Laundry/SEBLAK JELEGERRR</t>
  </si>
  <si>
    <t>Jl. Poltangan Raya</t>
  </si>
  <si>
    <t>216</t>
  </si>
  <si>
    <t xml:space="preserve">Angga Putra </t>
  </si>
  <si>
    <t>087775787555</t>
  </si>
  <si>
    <t>anggaputra593o2@gmail.com</t>
  </si>
  <si>
    <t>xabier laundry</t>
  </si>
  <si>
    <t>jl cipinang muara ilir</t>
  </si>
  <si>
    <t>217</t>
  </si>
  <si>
    <t xml:space="preserve">Aries </t>
  </si>
  <si>
    <t>085183557254</t>
  </si>
  <si>
    <t>ariesmulya779@gmail.com</t>
  </si>
  <si>
    <t>sobat laundry</t>
  </si>
  <si>
    <t>jl manunggal 2 no. 1 pesanggrahan</t>
  </si>
  <si>
    <t>218</t>
  </si>
  <si>
    <t>Yudha</t>
  </si>
  <si>
    <t>087764440484</t>
  </si>
  <si>
    <t>manylaundryjagakarsa@gmail.com</t>
  </si>
  <si>
    <t>Many Laundry</t>
  </si>
  <si>
    <t>Jl Kecapi Raya No.87A, RT.001 RW.005</t>
  </si>
  <si>
    <t>219</t>
  </si>
  <si>
    <t>Awen Susanto</t>
  </si>
  <si>
    <t>085280048585</t>
  </si>
  <si>
    <t>Casper laundry</t>
  </si>
  <si>
    <t>jln pegangsaan dua. gang ajo. rt04/rw04kel. pegangsaan dua. kec. gading jakarta utaraCasper laundry</t>
  </si>
  <si>
    <t>220</t>
  </si>
  <si>
    <t>Wahyu Fajri Kurniawan</t>
  </si>
  <si>
    <t>087800216733</t>
  </si>
  <si>
    <t>nurulitamutoharoh28@gmail.com</t>
  </si>
  <si>
    <t>best laundry/Best Laundry</t>
  </si>
  <si>
    <t>gang asem no 3 RT 10 RW 03</t>
  </si>
  <si>
    <t>221</t>
  </si>
  <si>
    <t>Arif Syarif</t>
  </si>
  <si>
    <t>08164321555</t>
  </si>
  <si>
    <t>Usaha Laundry 1</t>
  </si>
  <si>
    <t>Jl. Usaha No 45 Cawang</t>
  </si>
  <si>
    <t>222</t>
  </si>
  <si>
    <t xml:space="preserve">Nurrahman </t>
  </si>
  <si>
    <t>081513888318</t>
  </si>
  <si>
    <t>Nano Clean Indonesia/D-WASH Laundry</t>
  </si>
  <si>
    <t>Apartemen Gading Nias
Tower Alamanda AAD1 (sebelah toilet umum)</t>
  </si>
  <si>
    <t>223</t>
  </si>
  <si>
    <t>Nano Clean Indonesia/QUEEN Laundry</t>
  </si>
  <si>
    <t>Apartemen Gading Nias, Tower Alamanda ADD3B</t>
  </si>
  <si>
    <t>224</t>
  </si>
  <si>
    <t xml:space="preserve">Laundry Clean &amp; Clear </t>
  </si>
  <si>
    <t>087782313233</t>
  </si>
  <si>
    <t>laundrycckemayoran@gmail.com</t>
  </si>
  <si>
    <t>Jl taruna no 45</t>
  </si>
  <si>
    <t>225</t>
  </si>
  <si>
    <t xml:space="preserve">Septi Cici </t>
  </si>
  <si>
    <t>085179825453</t>
  </si>
  <si>
    <t>cicisepti89@gmail.com</t>
  </si>
  <si>
    <t>KAKAK LAUNDRY/Cha Laundry</t>
  </si>
  <si>
    <t>Jln masjid at taqwa Rt 005/008, kelurahan kembangan utara jakarta barat</t>
  </si>
  <si>
    <t>226</t>
  </si>
  <si>
    <t>Sriwati Widjaja</t>
  </si>
  <si>
    <t>081510028976</t>
  </si>
  <si>
    <t>Honey Bee Laundry</t>
  </si>
  <si>
    <t>jl kepu timur 277 kemayoran jakarta pusat</t>
  </si>
  <si>
    <t>227</t>
  </si>
  <si>
    <t>Fajar Lazuardiana</t>
  </si>
  <si>
    <t>081318560911</t>
  </si>
  <si>
    <t>lazuardianafajar08@gmail.com</t>
  </si>
  <si>
    <t>SABI LAUNDRY/SABY LAUNDRY</t>
  </si>
  <si>
    <t>Jl. Albaidho</t>
  </si>
  <si>
    <t>228</t>
  </si>
  <si>
    <t xml:space="preserve">Mella </t>
  </si>
  <si>
    <t>088210848936</t>
  </si>
  <si>
    <t>desimelati1999@gmail.com</t>
  </si>
  <si>
    <t>BHI MHY LOUNDRY/BLUE PANDA LAUNDRY</t>
  </si>
  <si>
    <t>jl. bambu 1 no 78 Rt 9/5</t>
  </si>
  <si>
    <t>229</t>
  </si>
  <si>
    <t>Abhy Mhy</t>
  </si>
  <si>
    <t>08811257457</t>
  </si>
  <si>
    <t>mhyloundrybhi@gmail.com</t>
  </si>
  <si>
    <t>Bhi Mhy Loundry</t>
  </si>
  <si>
    <t>Jl. lapangan bola no 14 rt 3/7 srengseng, kembangan, jakarta barat</t>
  </si>
  <si>
    <t>230</t>
  </si>
  <si>
    <t>Barron Mubarok</t>
  </si>
  <si>
    <t>081382354354</t>
  </si>
  <si>
    <t>mysaroh54120h@gmail.com</t>
  </si>
  <si>
    <t>BARRON LAUNDRY</t>
  </si>
  <si>
    <t>Jl Budi Mulia Rt12/12 pademangan</t>
  </si>
  <si>
    <t>231</t>
  </si>
  <si>
    <t>nisa</t>
  </si>
  <si>
    <t>081281547189</t>
  </si>
  <si>
    <t>Laundry at Summer/menara</t>
  </si>
  <si>
    <t>Jl. Masjid Al Akhyar no. 30 A Gandul Cinere</t>
  </si>
  <si>
    <t>232</t>
  </si>
  <si>
    <t>yunisa</t>
  </si>
  <si>
    <t>087886191333</t>
  </si>
  <si>
    <t>Almeera Laundry</t>
  </si>
  <si>
    <t>Jl. Mundari No 11 Rt 02.Rw 01 no 11kel. Rawa Badak Selatan , kec Koja , jakarta utara</t>
  </si>
  <si>
    <t>233</t>
  </si>
  <si>
    <t>Teddy Wahyudi</t>
  </si>
  <si>
    <t>087822110057</t>
  </si>
  <si>
    <t>starlaundry.2200@gmail.com</t>
  </si>
  <si>
    <t>STAR LAUNDRY</t>
  </si>
  <si>
    <t>Apartemen Kalibata City Tower Herbras BM05</t>
  </si>
  <si>
    <t>234</t>
  </si>
  <si>
    <t>Hendi</t>
  </si>
  <si>
    <t>081356343603</t>
  </si>
  <si>
    <t>stave.ktp@gmail.com</t>
  </si>
  <si>
    <t>Happy Laundry/Era Laundry</t>
  </si>
  <si>
    <t>Jl. Tosiga</t>
  </si>
  <si>
    <t>235</t>
  </si>
  <si>
    <t xml:space="preserve">Anna </t>
  </si>
  <si>
    <t>085775773610</t>
  </si>
  <si>
    <t>Devanlaundry17@gmail.com</t>
  </si>
  <si>
    <t>DEVAN LAUNDRY/DEVAN LAUNDRY</t>
  </si>
  <si>
    <t>jln haji jadi RT 7/11 no 12</t>
  </si>
  <si>
    <t>236</t>
  </si>
  <si>
    <t>Amalia Laundry</t>
  </si>
  <si>
    <t>085280984001</t>
  </si>
  <si>
    <t>laundry.amalia01@gmail.com</t>
  </si>
  <si>
    <t>Amalia Laundry/	Amalia Laundry Jakarta Rasidence</t>
  </si>
  <si>
    <t>jl. Puri Mutiara III. no 24. cipete selatan. jakarta selatan</t>
  </si>
  <si>
    <t>237</t>
  </si>
  <si>
    <t>SATSET Laundry/ZIPZAP Laundry</t>
  </si>
  <si>
    <t>238</t>
  </si>
  <si>
    <t>Dewa Wang</t>
  </si>
  <si>
    <t>081284484842</t>
  </si>
  <si>
    <t>dewa1towang@gmail.com</t>
  </si>
  <si>
    <t>Queen Laundry/Queen Laundry</t>
  </si>
  <si>
    <t>Jl. Telaga Raya No. 4B Rt. 021/Rw. 001</t>
  </si>
  <si>
    <t>239</t>
  </si>
  <si>
    <t>Andre</t>
  </si>
  <si>
    <t>0895377661080</t>
  </si>
  <si>
    <t>CE/Clean Xpress</t>
  </si>
  <si>
    <t>Meruya</t>
  </si>
  <si>
    <t>240</t>
  </si>
  <si>
    <t>Teguh Pratama</t>
  </si>
  <si>
    <t>081380001804</t>
  </si>
  <si>
    <t>rtplaundry@gmail.com</t>
  </si>
  <si>
    <t>RTP LAUNDRY/RTP LAUNDRY</t>
  </si>
  <si>
    <t>Jl. Kayu Manis Barat No. 42 RT. 1/RW. 3</t>
  </si>
  <si>
    <t>241</t>
  </si>
  <si>
    <t xml:space="preserve">Amalia Laundry </t>
  </si>
  <si>
    <t>Amalia Laundry/Amalia Laundry Thamrin Executive</t>
  </si>
  <si>
    <t>Lantai LB, Thamrin Executif</t>
  </si>
  <si>
    <t>242</t>
  </si>
  <si>
    <t xml:space="preserve">Ruang Laundry </t>
  </si>
  <si>
    <t>082367274421</t>
  </si>
  <si>
    <t>pajohmangatlon@gmail.com</t>
  </si>
  <si>
    <t>ruang laundry/Ruang Laundry Sentra Timur</t>
  </si>
  <si>
    <t>Apartemen Sentra Timur Pulo gebang Cakung Jakarta Timur</t>
  </si>
  <si>
    <t>243</t>
  </si>
  <si>
    <t xml:space="preserve">Maret </t>
  </si>
  <si>
    <t>Yoel Laundry</t>
  </si>
  <si>
    <t>087821825222</t>
  </si>
  <si>
    <t>yoellaundry@gmail.com</t>
  </si>
  <si>
    <t>yoel laundry/yoel laundry</t>
  </si>
  <si>
    <t>jl masjid alwusto Rt 09 RW 007 No 124</t>
  </si>
  <si>
    <t>244</t>
  </si>
  <si>
    <t>Huat Jong/Michael</t>
  </si>
  <si>
    <t>081314586826</t>
  </si>
  <si>
    <t>magnum.store8899@yahoo.com</t>
  </si>
  <si>
    <t>Laundry PTIK/Laundry PTIK</t>
  </si>
  <si>
    <t>Komplek PTIK</t>
  </si>
  <si>
    <t>246</t>
  </si>
  <si>
    <t>Mohammad Basalamah</t>
  </si>
  <si>
    <t>081210797900</t>
  </si>
  <si>
    <t>Qucek &amp; Qinclong/Qucek &amp; Qinclong</t>
  </si>
  <si>
    <t>Tg. Priok</t>
  </si>
  <si>
    <t>247</t>
  </si>
  <si>
    <t>Teguh Adi</t>
  </si>
  <si>
    <t>085601787389</t>
  </si>
  <si>
    <t>teguhadie12@gmail.com</t>
  </si>
  <si>
    <t>Bejo Laundry/Bejo Laundry</t>
  </si>
  <si>
    <t>Gg. ciparai 12 No.3B, RT.7/RW.5, cipinang muara, kecamatan jatinegara, kota jakarta timur, daerah khusus ibukota jakarta 13420, indonesia</t>
  </si>
  <si>
    <t>248</t>
  </si>
  <si>
    <t>Pebrina</t>
  </si>
  <si>
    <t>087878154050</t>
  </si>
  <si>
    <t>pebrinalumbantoruan@gmail.com</t>
  </si>
  <si>
    <t>22PM Laundry/22PM Laundry</t>
  </si>
  <si>
    <t>gandaria</t>
  </si>
  <si>
    <t>249</t>
  </si>
  <si>
    <t>Anneke Dolo Semba</t>
  </si>
  <si>
    <t>085974245105</t>
  </si>
  <si>
    <t>aflaundrydua@gmail.com</t>
  </si>
  <si>
    <t>OmDon Laundry Coin Express (AF)/Papanggo Laundry (AF)</t>
  </si>
  <si>
    <t>Jl. Warakas VI No.69</t>
  </si>
  <si>
    <t>245</t>
  </si>
  <si>
    <t xml:space="preserve">Muhammad Anas </t>
  </si>
  <si>
    <t>085222079997</t>
  </si>
  <si>
    <t>C2Laundry/C2 Clean</t>
  </si>
  <si>
    <t>Apertemen Kalibata City Tower Eboni 15 AL Jakarta Selatan</t>
  </si>
  <si>
    <t>250</t>
  </si>
  <si>
    <t>maria sihombing</t>
  </si>
  <si>
    <t>087809705143</t>
  </si>
  <si>
    <t>mariasihombing792@gmail.com</t>
  </si>
  <si>
    <t>Andaria laundry/Andaria laundry</t>
  </si>
  <si>
    <t>jl.pasir no 32</t>
  </si>
  <si>
    <t>251</t>
  </si>
  <si>
    <t xml:space="preserve">Hafsa Laundry </t>
  </si>
  <si>
    <t>085172039330</t>
  </si>
  <si>
    <t>myjakarta123@gmail.com</t>
  </si>
  <si>
    <t>Hafsa Laundry/Hafsa Laundry</t>
  </si>
  <si>
    <t>Jl. Percetakan Negara II, RT 11/ RW 6 No. 14</t>
  </si>
  <si>
    <t>252</t>
  </si>
  <si>
    <t>Beryan Zee</t>
  </si>
  <si>
    <t>082322452222</t>
  </si>
  <si>
    <t>yanikohar8@gmail.com</t>
  </si>
  <si>
    <t>Gen Z Laundry/Gen Z Laundry</t>
  </si>
  <si>
    <t>Taman Palem Lestari Blok B 17 no 52 Cengkareng jakarta barat</t>
  </si>
  <si>
    <t>253</t>
  </si>
  <si>
    <t>Henny Rahmawati</t>
  </si>
  <si>
    <t>087789491337</t>
  </si>
  <si>
    <t>nira.mahakarya99@gmail.com</t>
  </si>
  <si>
    <t>Barbie Laundry/Barbie Laundry</t>
  </si>
  <si>
    <t>jl.pualam raya no 40 B RT 06/02 .Kel. Sumur Batu</t>
  </si>
  <si>
    <t>254</t>
  </si>
  <si>
    <t>Erika</t>
  </si>
  <si>
    <t>082173593641</t>
  </si>
  <si>
    <t>denantioktav@gmai.com</t>
  </si>
  <si>
    <t>MANY LAUNDRY/MANY LAUNDRY</t>
  </si>
  <si>
    <t>Ranco Indah Jagakarsa Jakarta Selatan</t>
  </si>
  <si>
    <t>255</t>
  </si>
  <si>
    <t xml:space="preserve">amandiah listine </t>
  </si>
  <si>
    <t>087744301878</t>
  </si>
  <si>
    <t>88laundry0706@gmail.com</t>
  </si>
  <si>
    <t>88laundy/88laundy</t>
  </si>
  <si>
    <t>jl.bekasi timur V No.14A</t>
  </si>
  <si>
    <t>256</t>
  </si>
  <si>
    <t>laundry cc</t>
  </si>
  <si>
    <t>085215647507</t>
  </si>
  <si>
    <t>laundrycc26@gmail.com</t>
  </si>
  <si>
    <t>CC Laundry/CC Laundry</t>
  </si>
  <si>
    <t>Komplek Walikota Jl Cendrawasih Blok B1 No 18</t>
  </si>
  <si>
    <t>257</t>
  </si>
  <si>
    <t>Alesha Putri</t>
  </si>
  <si>
    <t>081388322388</t>
  </si>
  <si>
    <t>Putri Laundry/Putri Laundry</t>
  </si>
  <si>
    <t>Jl. Paseban Raya No.68 , Rt 013 Rw 003 Kel. Paseban, Kec. Senen, Jakarta Pusat</t>
  </si>
  <si>
    <t>258</t>
  </si>
  <si>
    <t>08179166777</t>
  </si>
  <si>
    <t>marthalaundry01@gmail.com</t>
  </si>
  <si>
    <t>Martha Laundry/Martha Laundry</t>
  </si>
  <si>
    <t>Jl Mundu Blok N,No35B,Koja Jak Utara</t>
  </si>
  <si>
    <t>259</t>
  </si>
  <si>
    <t>Yohana Puspita</t>
  </si>
  <si>
    <t>087775682568</t>
  </si>
  <si>
    <t>Yo!Laundry/Yo!Laundry</t>
  </si>
  <si>
    <t>Jl. H. Aseni Raya No 123 Semanan, Kalideres, Jakarta Barat</t>
  </si>
  <si>
    <t>260</t>
  </si>
  <si>
    <t>Resti Astuti</t>
  </si>
  <si>
    <t>081188896416</t>
  </si>
  <si>
    <t>dRess'id/dRess'id</t>
  </si>
  <si>
    <t>Jl. Moh. Kahfi 2, No. 50, RT. 010/004, Ciganjur, Kec. Jagakarsa, Kota Jakarta Selatan, DKI Jakarta</t>
  </si>
  <si>
    <t>261</t>
  </si>
  <si>
    <t>Laundry Cc</t>
  </si>
  <si>
    <t>085285199672</t>
  </si>
  <si>
    <t>laundrycc4@gmail.com</t>
  </si>
  <si>
    <t>CC LAUNDRY/CC LAUNDRY</t>
  </si>
  <si>
    <t>KOMPLEK WALIKOTA JL CENDRAWASIH BLOK B1 NO 18</t>
  </si>
  <si>
    <t>262</t>
  </si>
  <si>
    <t xml:space="preserve">LANI </t>
  </si>
  <si>
    <t>081248309509</t>
  </si>
  <si>
    <t>jihanlaundry0808@gmail.com</t>
  </si>
  <si>
    <t>JIHAN LAUNDRY EXPRESS/JIHAN LAUNDRY EXPRESS</t>
  </si>
  <si>
    <t>JL. SABENI</t>
  </si>
  <si>
    <t>263</t>
  </si>
  <si>
    <t xml:space="preserve">Deniansah </t>
  </si>
  <si>
    <t>085959490360</t>
  </si>
  <si>
    <t>Nadzif Fresh Laundry/Nadzif Fresh Laundry</t>
  </si>
  <si>
    <t>jl Mujahidin rt 05/02 No.35</t>
  </si>
  <si>
    <t>264</t>
  </si>
  <si>
    <t xml:space="preserve">Indra </t>
  </si>
  <si>
    <t>085714202524</t>
  </si>
  <si>
    <t>zamzamlaundry.id@gmail.com</t>
  </si>
  <si>
    <t>Zam Zam Laundry/Zam Zam Laundry</t>
  </si>
  <si>
    <t>Jln. Samba No.29 Rt.014 Rw.08 
Tanah Tinggi Johar Baru Jak-Pus</t>
  </si>
  <si>
    <t>265</t>
  </si>
  <si>
    <t xml:space="preserve">Melliyanti 59 </t>
  </si>
  <si>
    <t>081380555651</t>
  </si>
  <si>
    <t>melliyanti336@gmail.com</t>
  </si>
  <si>
    <t>Mama Laundry/Mama Laundry</t>
  </si>
  <si>
    <t>Jl. Raya Centex No 4 RT 7/RW 2 kelurahan kecamatan Ciracas Jakarta Timur</t>
  </si>
  <si>
    <t>266</t>
  </si>
  <si>
    <t>irma masitoh</t>
  </si>
  <si>
    <t>089519999261</t>
  </si>
  <si>
    <t>irmamasitoh@gmail.com</t>
  </si>
  <si>
    <t>Laundry Clear  &amp; Clean/Laundry Clear &amp; Clean</t>
  </si>
  <si>
    <t>Pademangan</t>
  </si>
  <si>
    <t>267</t>
  </si>
  <si>
    <t xml:space="preserve">Imelda rosita dewi </t>
  </si>
  <si>
    <t>081319448686</t>
  </si>
  <si>
    <t>rumahlaundry.co@gmail.com</t>
  </si>
  <si>
    <t>Rumah Laundry/Rumah Laundry</t>
  </si>
  <si>
    <t>jalan komplek rusun rgtc kp baru RT 17 RW 07 no 129 cakung barat cakung jakarta timur</t>
  </si>
  <si>
    <t>269</t>
  </si>
  <si>
    <t xml:space="preserve">Vidya Permana H </t>
  </si>
  <si>
    <t>087832009030</t>
  </si>
  <si>
    <t>vidyviper@gmail.com</t>
  </si>
  <si>
    <t>SHAVARA LAUNDRY/SHAVARA LAUNDRY</t>
  </si>
  <si>
    <t>cempaka baru 6 no 1</t>
  </si>
  <si>
    <t>268</t>
  </si>
  <si>
    <t>08131316332</t>
  </si>
  <si>
    <t>cuciinlaundry07@gmail.com</t>
  </si>
  <si>
    <t>CUCIIN/CUCIIN</t>
  </si>
  <si>
    <t>Jalan Tanjung Barat Gg 100 Nomor 6A</t>
  </si>
  <si>
    <t>270</t>
  </si>
  <si>
    <t>Arga Serena Purba</t>
  </si>
  <si>
    <t>08999110686</t>
  </si>
  <si>
    <t>aflaundry686@gmail.com</t>
  </si>
  <si>
    <t>AF Laundry/AF Laundry</t>
  </si>
  <si>
    <t>Jl. Kerja Bakti No 1A RT 05 RW 04.</t>
  </si>
  <si>
    <t>271</t>
  </si>
  <si>
    <t>tia malinda</t>
  </si>
  <si>
    <t>081999981646</t>
  </si>
  <si>
    <t>Tiamalinda0605@gmail.com</t>
  </si>
  <si>
    <t>Rania Laundry/Rania Laundry</t>
  </si>
  <si>
    <t>jalan kampung sungai begok rt8/3 no 21</t>
  </si>
  <si>
    <t>272</t>
  </si>
  <si>
    <t xml:space="preserve">Aldi </t>
  </si>
  <si>
    <t>087864187818</t>
  </si>
  <si>
    <t>jivvalaundry_99@gmail.com</t>
  </si>
  <si>
    <t>Jivva Laundry/JIVVA LAUNDRY</t>
  </si>
  <si>
    <t>Jl. pengadegan barat raya no 15</t>
  </si>
  <si>
    <t>273</t>
  </si>
  <si>
    <t>16731</t>
  </si>
  <si>
    <t>Mari Cuci</t>
  </si>
  <si>
    <t>0811488330</t>
  </si>
  <si>
    <t>laundrymaricuci@gmail.com</t>
  </si>
  <si>
    <t>Mari Cuci Laundry/Mari Cuci Laundry</t>
  </si>
  <si>
    <t>Kp Bulak Teko</t>
  </si>
  <si>
    <t>274</t>
  </si>
  <si>
    <t xml:space="preserve">Ardi </t>
  </si>
  <si>
    <t>081332852676</t>
  </si>
  <si>
    <t>Sakilo.AF/Sakilo.AF</t>
  </si>
  <si>
    <t>mampang prapatan 4</t>
  </si>
  <si>
    <t>275</t>
  </si>
  <si>
    <t>sez laundry</t>
  </si>
  <si>
    <t>08132265735</t>
  </si>
  <si>
    <t>sezlaundry24@gmail.com</t>
  </si>
  <si>
    <t>sez laundry/sez laundry</t>
  </si>
  <si>
    <t>Jl. kh mudham</t>
  </si>
  <si>
    <t>276</t>
  </si>
  <si>
    <t xml:space="preserve">Ella </t>
  </si>
  <si>
    <t>085714798707</t>
  </si>
  <si>
    <t>ellaela32.ee@gmail.com</t>
  </si>
  <si>
    <t>Fresh Laundry/Fresh Laundry</t>
  </si>
  <si>
    <t>Jl. Inspeksi Kali Sunter No.8</t>
  </si>
  <si>
    <t>277</t>
  </si>
  <si>
    <t>CLEAN STAR</t>
  </si>
  <si>
    <t>0895320501711</t>
  </si>
  <si>
    <t>notoadiputro1987@gmail.com</t>
  </si>
  <si>
    <t>Laundry  Clean star/CLEAN STAR LAUNDRY</t>
  </si>
  <si>
    <t>jl Empang bahagia 4a no 30 rt 005/010</t>
  </si>
  <si>
    <t>278</t>
  </si>
  <si>
    <t xml:space="preserve">Land </t>
  </si>
  <si>
    <t>083808520001</t>
  </si>
  <si>
    <t>coco laundry/COCO LAUNDRY SERDANG</t>
  </si>
  <si>
    <t>279</t>
  </si>
  <si>
    <t>Citra Laundry/Bahagia Laundry</t>
  </si>
  <si>
    <t>280</t>
  </si>
  <si>
    <t>Go! Laundry</t>
  </si>
  <si>
    <t>087768428767</t>
  </si>
  <si>
    <t>go.laundrypademangan@gmail.com</t>
  </si>
  <si>
    <t>Go Laundry Pademangan/Go Laundry Pademangan</t>
  </si>
  <si>
    <t>Jalan Pademangan 4 Gang 22 No. 43A</t>
  </si>
  <si>
    <t>281</t>
  </si>
  <si>
    <t>Endah Setyawati</t>
  </si>
  <si>
    <t>085360399931</t>
  </si>
  <si>
    <t>endahsetyawati2507@gmail.com</t>
  </si>
  <si>
    <t>Family Rezeky Laundry/Family Rezeky Laundry</t>
  </si>
  <si>
    <t>Jl. Manunggal Raya, RT. 013/RW.008</t>
  </si>
  <si>
    <t>282</t>
  </si>
  <si>
    <t>Nurul Laundry/Nurul Laundry Damar</t>
  </si>
  <si>
    <t>283</t>
  </si>
  <si>
    <t>Hi Sary Laundry</t>
  </si>
  <si>
    <t>081517071000</t>
  </si>
  <si>
    <t>hisarylaundry@gmail.com</t>
  </si>
  <si>
    <t>Hi Sary Laundry/Hi Sary Laundry</t>
  </si>
  <si>
    <t>Jl Sunter Hijau Raya Blok s4/12</t>
  </si>
  <si>
    <t>284</t>
  </si>
  <si>
    <t xml:space="preserve">lily </t>
  </si>
  <si>
    <t>085778024944</t>
  </si>
  <si>
    <t>ocoyathaya@gmail.com</t>
  </si>
  <si>
    <t>miwa/MIWA LAUNDRY</t>
  </si>
  <si>
    <t>jl. stm walang jaya no 14</t>
  </si>
  <si>
    <t>285</t>
  </si>
  <si>
    <t xml:space="preserve">Yohana Puspita </t>
  </si>
  <si>
    <t>Yo!Laundry/Yo! Laundry (Kresek)</t>
  </si>
  <si>
    <t>Jl. H. Aseni Raya No. 124Semanan, Kalideres, Jakarta Barat</t>
  </si>
  <si>
    <t>286</t>
  </si>
  <si>
    <t>Mario Ranny</t>
  </si>
  <si>
    <t>081806510685</t>
  </si>
  <si>
    <t>bintang.laundry14@gmail.com</t>
  </si>
  <si>
    <t>Bintang Laundry/Bintang Laundry</t>
  </si>
  <si>
    <t>jln .anda no 40 samping hutan kota ciganjur</t>
  </si>
  <si>
    <t>287</t>
  </si>
  <si>
    <t>Bima putra Fasya aulia</t>
  </si>
  <si>
    <t>08137432627</t>
  </si>
  <si>
    <t>WOSH LAUNDRY/WOSH LAUNDRY</t>
  </si>
  <si>
    <t>Jl. Mulya Jaya No. 41</t>
  </si>
  <si>
    <t>288</t>
  </si>
  <si>
    <t>JIHAN LAUNDRY EXPRESS/JIHAN LAUNDRY LONTAR</t>
  </si>
  <si>
    <t>JL. LONTAR RAYA</t>
  </si>
  <si>
    <t>289</t>
  </si>
  <si>
    <t xml:space="preserve">Ivo </t>
  </si>
  <si>
    <t>085177886505</t>
  </si>
  <si>
    <t>ivokrisna@rocketmail.com</t>
  </si>
  <si>
    <t>Zeline Laundry/Zeline Laundry</t>
  </si>
  <si>
    <t>JL.Semangka IV RT 08 RW 09 No.18</t>
  </si>
  <si>
    <t>291</t>
  </si>
  <si>
    <t xml:space="preserve">Fajar Lazuardiana </t>
  </si>
  <si>
    <t>SABI LAUNDRY/SABY LAUNDRY 2</t>
  </si>
  <si>
    <t>292</t>
  </si>
  <si>
    <t xml:space="preserve">Nana's Laundry </t>
  </si>
  <si>
    <t>0882021701124</t>
  </si>
  <si>
    <t>nanaslaundry182@gmail.com</t>
  </si>
  <si>
    <t>nana's laundry/nana's laundry</t>
  </si>
  <si>
    <t>jl.kampung rawa sawah no.4C RT/RW 006/003</t>
  </si>
  <si>
    <t>293</t>
  </si>
  <si>
    <t>Andini Pratiwi</t>
  </si>
  <si>
    <t>081211778498</t>
  </si>
  <si>
    <t>andinipratiwi280693@gmail.com</t>
  </si>
  <si>
    <t>Ratu Laundry/Ratu Laundry</t>
  </si>
  <si>
    <t>jl Pucung Raya no.2 Rt 02/ RW 11Balekambang, kecamatan kramatjatiJakarta Timur (13530)</t>
  </si>
  <si>
    <t>294</t>
  </si>
  <si>
    <t xml:space="preserve">Rich Va </t>
  </si>
  <si>
    <t>081128020679</t>
  </si>
  <si>
    <t>rich.va2021@gmail.com</t>
  </si>
  <si>
    <t>loundry/RichVa Laundry</t>
  </si>
  <si>
    <t>jl h ten iv no 35 rt 6 rw 1 kel rawamangun kec pulogadung</t>
  </si>
  <si>
    <t>296</t>
  </si>
  <si>
    <t>SILVIA RAMADHANTY</t>
  </si>
  <si>
    <t>081175502604</t>
  </si>
  <si>
    <t>bubblelaundry566@gmail.com</t>
  </si>
  <si>
    <t>BUBBLE LAUNDRY/BUBBLE LAUNDRY</t>
  </si>
  <si>
    <t>Jl. Kartika RT.3/RW.4, Meruya Utara, Kec. Kembangan, Kota Jakarta Barat, Daerah Khusus Ibukota Jakarta 11620</t>
  </si>
  <si>
    <t>297</t>
  </si>
  <si>
    <t xml:space="preserve">Siswanti </t>
  </si>
  <si>
    <t>6281934171109</t>
  </si>
  <si>
    <t>siswantijumari6@gmail.com</t>
  </si>
  <si>
    <t>LOUDRY KOIN WANTI TRY/LOUDRY KOIN WANTI TRY</t>
  </si>
  <si>
    <t>Jalan kayu besar pasar nangka no 3 Rt002/Rw012</t>
  </si>
  <si>
    <t>298</t>
  </si>
  <si>
    <t xml:space="preserve">Imelda Rosita Dewi </t>
  </si>
  <si>
    <t>628132024665</t>
  </si>
  <si>
    <t>imeldarosita04@gmail.com</t>
  </si>
  <si>
    <t>Mama Laundry Taruna/Mama Laundry Taruna</t>
  </si>
  <si>
    <t>Jalan Taruna no 81 RT 12 RW 3 Pulogadung Jakarta Timur</t>
  </si>
  <si>
    <t xml:space="preserve">Fitria Abas </t>
  </si>
  <si>
    <t>0813 56660900</t>
  </si>
  <si>
    <t>fitriaabas961@gmail.com</t>
  </si>
  <si>
    <t>JF Laundry/JF Laundry Gorontalo</t>
  </si>
  <si>
    <t>Kota Gorontalo</t>
  </si>
  <si>
    <t>Jl. Kenangan No.85 Kel. Dulalowo Timur</t>
  </si>
  <si>
    <t xml:space="preserve">Ramlah achmad </t>
  </si>
  <si>
    <t>0852 56668600</t>
  </si>
  <si>
    <t>ramlaahmad217@gmail.com</t>
  </si>
  <si>
    <t>laundry karpet Carawali/laundry carawali</t>
  </si>
  <si>
    <t>jln Husni Thamrin no 39 limbaU2 kec kota selatan</t>
  </si>
  <si>
    <t>winarsih</t>
  </si>
  <si>
    <t>0852 60474084</t>
  </si>
  <si>
    <t>winarsihag@gmail.com</t>
  </si>
  <si>
    <t>Kana Laundry</t>
  </si>
  <si>
    <t>Jl. Anoa V perum tenilo blok H92</t>
  </si>
  <si>
    <t xml:space="preserve">Arifin Lahay </t>
  </si>
  <si>
    <t>081370265858</t>
  </si>
  <si>
    <t>JF Laundry 2/JF Laundry 2</t>
  </si>
  <si>
    <t>Kab. Gorontalo</t>
  </si>
  <si>
    <t>Jl. AA Wahab, Mongolato Kec Telaga</t>
  </si>
  <si>
    <t>kaswatiningsih</t>
  </si>
  <si>
    <t>0819 30828201</t>
  </si>
  <si>
    <t>hosimlaundry@gmail.com</t>
  </si>
  <si>
    <t>saraswati laundry</t>
  </si>
  <si>
    <t>Kab. Tanjung Jabung Barat</t>
  </si>
  <si>
    <t>jalan lintas jambi kuala tungkal</t>
  </si>
  <si>
    <t>PL Jambi</t>
  </si>
  <si>
    <t>0813 77564701</t>
  </si>
  <si>
    <t>payolaundryjambi@gmail.com</t>
  </si>
  <si>
    <t>Payo Laundry Jambi</t>
  </si>
  <si>
    <t>Kota Jambi</t>
  </si>
  <si>
    <t>Jl. Sk. Rd. Syahbudin</t>
  </si>
  <si>
    <t>Hindun_Yahya</t>
  </si>
  <si>
    <t>085266022723</t>
  </si>
  <si>
    <t>PRIMA LAUNDRY JAMBI</t>
  </si>
  <si>
    <t>jalan sunan Giri Rt 05</t>
  </si>
  <si>
    <t>kiki satria</t>
  </si>
  <si>
    <t>089604366131</t>
  </si>
  <si>
    <t>exclean.treatments@gmail.com</t>
  </si>
  <si>
    <t>exclean. id</t>
  </si>
  <si>
    <t>mayang puskes</t>
  </si>
  <si>
    <t xml:space="preserve">Ratu laundry </t>
  </si>
  <si>
    <t>08980982759</t>
  </si>
  <si>
    <t>ratulaundryy.26@gmail.com</t>
  </si>
  <si>
    <t>RATU LAUNDRY</t>
  </si>
  <si>
    <t>jl.sersan Anwar bay,bagan pete</t>
  </si>
  <si>
    <t>Agus Suhendro</t>
  </si>
  <si>
    <t>085217716789</t>
  </si>
  <si>
    <t>supermax.laundry@gmail.com</t>
  </si>
  <si>
    <t>Supermax Laundry Express</t>
  </si>
  <si>
    <t>Kab. Muaro Jambi</t>
  </si>
  <si>
    <t>Jl. Raya Kasang Pudak RT. 002 desa kasang kumpeh muaro Jambi</t>
  </si>
  <si>
    <t>Yohana Nasution</t>
  </si>
  <si>
    <t>08127416720</t>
  </si>
  <si>
    <t>yohanan7441@gmail.com</t>
  </si>
  <si>
    <t>Aisyah Laundry/Aisyah Laundry</t>
  </si>
  <si>
    <t>Jl. Abdurahman Sidik Kel. Tebing Tinggi, Tanjab Barat</t>
  </si>
  <si>
    <t>Salianti Jagi Diri</t>
  </si>
  <si>
    <t>085789154930</t>
  </si>
  <si>
    <t>saliantijagidiri@gmail.com</t>
  </si>
  <si>
    <t>Sally Laundy/Sally Laundry</t>
  </si>
  <si>
    <t>Jalan flamboyan, Rt 3</t>
  </si>
  <si>
    <t>SAGA LAUNDRY</t>
  </si>
  <si>
    <t>082278128083</t>
  </si>
  <si>
    <t>SAGALAUNDRYJAMBI@GMAIL.COM</t>
  </si>
  <si>
    <t>SAGA LAUNDRY JAMBI/SAGA LAUNDRY JAMBI</t>
  </si>
  <si>
    <t>jl. TP. Sriwijaya RT 001 Kel. Beliung Kec. Alam Barajo Kota Jambi</t>
  </si>
  <si>
    <t>BAP</t>
  </si>
  <si>
    <t>081274388765</t>
  </si>
  <si>
    <t>aquafit.since2004@gmail.com</t>
  </si>
  <si>
    <t>mamaJo LAUNDRY/mamaJo LAUNDRY</t>
  </si>
  <si>
    <t>Jl. KH Ismail Malik Pasar Villa Kenali Permai Blok N1 No 1-2</t>
  </si>
  <si>
    <t>Yuwitafaurisia</t>
  </si>
  <si>
    <t>081274730174</t>
  </si>
  <si>
    <t>meranginrita13@gmail.com</t>
  </si>
  <si>
    <t>BW Elegant Laundry/BW Elegant Laundry</t>
  </si>
  <si>
    <t>Kab. Merangin</t>
  </si>
  <si>
    <t>Jl. Lintas Sumatera Dusun Bangko</t>
  </si>
  <si>
    <t>Noona Laundry</t>
  </si>
  <si>
    <t>081274317551</t>
  </si>
  <si>
    <t>noonalaundryy@gmail.com</t>
  </si>
  <si>
    <t>Noona Laundry/Noona Laundry</t>
  </si>
  <si>
    <t>Noona Laundry Jl.sk Rd Syahbudin Mayang Mangurai, Kec Kota Baru. Kota jambi</t>
  </si>
  <si>
    <t>Fitria Irmawati</t>
  </si>
  <si>
    <t>085295123414</t>
  </si>
  <si>
    <t>irham3614@gmail.com</t>
  </si>
  <si>
    <t>Fira Fresh Laundry/Fira Fresh Laundry</t>
  </si>
  <si>
    <t>Jl. Zaidi Saleh Pal 5 Kota Baru
(Depan Keyo Kost)</t>
  </si>
  <si>
    <t>Muhammad Ridwan</t>
  </si>
  <si>
    <t>085266435679</t>
  </si>
  <si>
    <t>Iwantoet16@gmail.com</t>
  </si>
  <si>
    <t>Siap Laundry/Siap Laundry</t>
  </si>
  <si>
    <t>Jl. TP Sriwijaya, Kel. Beliung, Kec. Kota Baru, Kota Jambi</t>
  </si>
  <si>
    <t xml:space="preserve">Esje Laundry </t>
  </si>
  <si>
    <t>08127304104</t>
  </si>
  <si>
    <t>esjelaundry521@gmail.com</t>
  </si>
  <si>
    <t>ESJE LAUNDRY JAMBI/ESJE LAUNDRY JAMBI</t>
  </si>
  <si>
    <t>lorong sawit jaya RT.37 Kel. Bagan Pete Kec. Alam Barajo Kota Jambi</t>
  </si>
  <si>
    <t>heri setiawan</t>
  </si>
  <si>
    <t>082191238329</t>
  </si>
  <si>
    <t>herisetiawanbaru886@gmail.com</t>
  </si>
  <si>
    <t>laundry sahabat 95/laundry sahabat 95</t>
  </si>
  <si>
    <t>eka jaya</t>
  </si>
  <si>
    <t xml:space="preserve">DESNI YANTI </t>
  </si>
  <si>
    <t>081366060660</t>
  </si>
  <si>
    <t>desniyanti0827@gmail.com</t>
  </si>
  <si>
    <t>UTAMA LAUNDRY/UTAMA LAUNDRY</t>
  </si>
  <si>
    <t>Jl.kapt.patimura no.71 RT.01 kel.kenali besar,kec.alam barajo Jambi (depan pemancar RCTI)</t>
  </si>
  <si>
    <t xml:space="preserve">alisya londry </t>
  </si>
  <si>
    <t>082364220614</t>
  </si>
  <si>
    <t>alisyalondry@gmail.com</t>
  </si>
  <si>
    <t>Alisya Londry/Alisya Londry</t>
  </si>
  <si>
    <t>jln manunggal 2,baharek,paret empat nelayan</t>
  </si>
  <si>
    <t xml:space="preserve">DEA </t>
  </si>
  <si>
    <t>081944522433</t>
  </si>
  <si>
    <t>chagiyalaundry@gmail.com</t>
  </si>
  <si>
    <t>chagiya laundry/CHAGIYA LAUNDRY</t>
  </si>
  <si>
    <t>vila kenali, mayang</t>
  </si>
  <si>
    <t>Ts Laundry</t>
  </si>
  <si>
    <t>083169947029</t>
  </si>
  <si>
    <t>tsloundry01@gmail.com</t>
  </si>
  <si>
    <t>TS LOUNDRY/TS LOUNDRY</t>
  </si>
  <si>
    <t>Jl.Jend.sudirman (Sriwijaya), kel,Tungkal Kota</t>
  </si>
  <si>
    <t xml:space="preserve">Meizadiarty </t>
  </si>
  <si>
    <t>085378615126</t>
  </si>
  <si>
    <t>kemalalamsyah098@gmail.com</t>
  </si>
  <si>
    <t>KING LOUNDRY/KING LOUNDRY</t>
  </si>
  <si>
    <t>Jl.TP Sriwijaya</t>
  </si>
  <si>
    <t xml:space="preserve">Owner revajhoni </t>
  </si>
  <si>
    <t>085199701158</t>
  </si>
  <si>
    <t>kidsfour025@gmail.com</t>
  </si>
  <si>
    <t>fourkids laundry/fourkids laundry</t>
  </si>
  <si>
    <t xml:space="preserve">Ahmad ulfi gusli mulya </t>
  </si>
  <si>
    <t>0821 1477 2554</t>
  </si>
  <si>
    <t>ahmadulfi0@gmail.com</t>
  </si>
  <si>
    <t>amira laundry</t>
  </si>
  <si>
    <t>Kab. Bekasi</t>
  </si>
  <si>
    <t>jl pendidikan mangunjaya,tambun selatan</t>
  </si>
  <si>
    <t>Andi priyono</t>
  </si>
  <si>
    <t>0878 2557 7555</t>
  </si>
  <si>
    <t>andi.priyono.007@gmail.com</t>
  </si>
  <si>
    <t>FAHREZA LAUNDRY</t>
  </si>
  <si>
    <t>Kota Bandung</t>
  </si>
  <si>
    <t>Sukarajin 1 No 5 BANDUNG</t>
  </si>
  <si>
    <t>Untung Rohwadi</t>
  </si>
  <si>
    <t>0811 990 686</t>
  </si>
  <si>
    <t>dkucex@gmail.com</t>
  </si>
  <si>
    <t>dkucex/dkucex Villa Asia</t>
  </si>
  <si>
    <t>Kab. Bogor</t>
  </si>
  <si>
    <t>Bojonggede</t>
  </si>
  <si>
    <t xml:space="preserve">wi </t>
  </si>
  <si>
    <t>0852 8100 4519</t>
  </si>
  <si>
    <t>hilwamaryam263@gmail.com</t>
  </si>
  <si>
    <t>MINI laundry</t>
  </si>
  <si>
    <t>Kab. Karawang</t>
  </si>
  <si>
    <t>karawang barat</t>
  </si>
  <si>
    <t xml:space="preserve">GreenLaundry
</t>
  </si>
  <si>
    <t>0812 8331 5588</t>
  </si>
  <si>
    <t>greenlaundry.awn@gmail.com</t>
  </si>
  <si>
    <t>Green Laundry</t>
  </si>
  <si>
    <t>Kab. Cirebon</t>
  </si>
  <si>
    <t>Jl kebon baru no. 01 - Arjawinangun</t>
  </si>
  <si>
    <t>Seni suryaningsih</t>
  </si>
  <si>
    <t>0857 2488 2666</t>
  </si>
  <si>
    <t>senisuryaninnsih@gmail.com</t>
  </si>
  <si>
    <t>Syakir laundry</t>
  </si>
  <si>
    <t>Kota Sukabumi</t>
  </si>
  <si>
    <t>balandongan</t>
  </si>
  <si>
    <t xml:space="preserve">Nur sugiarti </t>
  </si>
  <si>
    <t>0858 7585 8156</t>
  </si>
  <si>
    <t>laundrycleanandfresh2@gmail.com</t>
  </si>
  <si>
    <t>Clean'Fresh Laundry/Clean'Fresh</t>
  </si>
  <si>
    <t>Kp Babakan Sirna Pasir Angin</t>
  </si>
  <si>
    <t>Ririn Lie</t>
  </si>
  <si>
    <t>0877 0008 7779</t>
  </si>
  <si>
    <t>olinolino779@gmail.com</t>
  </si>
  <si>
    <t>OlinoLino Laundry</t>
  </si>
  <si>
    <t>Jl. Gunung Batu 203</t>
  </si>
  <si>
    <t xml:space="preserve">Vera </t>
  </si>
  <si>
    <t>0818 0601 0000</t>
  </si>
  <si>
    <t>verafirmanmaulina@gmail.com</t>
  </si>
  <si>
    <t>Isogu Laundry GDC/ISOGU LAUNDRY</t>
  </si>
  <si>
    <t>Apartemen Grand Dhika City Jatiwarna. Tower Emerald. CE104</t>
  </si>
  <si>
    <t>YDS Cimahi</t>
  </si>
  <si>
    <t>0852 8222 5004</t>
  </si>
  <si>
    <t>laundryamanah0@gmail.com</t>
  </si>
  <si>
    <t>Laundry Amanah</t>
  </si>
  <si>
    <t>Kota Cimahi</t>
  </si>
  <si>
    <t>Jl. Parmindo No. 52</t>
  </si>
  <si>
    <t>Siradja Laundry</t>
  </si>
  <si>
    <t>0838 9564 6448</t>
  </si>
  <si>
    <t>laundrysiradja@gmail.com</t>
  </si>
  <si>
    <t>Laundry Siradja</t>
  </si>
  <si>
    <t>Kota Depok</t>
  </si>
  <si>
    <t>Jl. Kranggan No. 6 (Dpn TPU Pdk Ranggon) Rt. 003/06Harjamukti - Cimanggis, Depok</t>
  </si>
  <si>
    <t xml:space="preserve">Lina N </t>
  </si>
  <si>
    <t>0878 7591 4797</t>
  </si>
  <si>
    <t>linaasmada@gmail.com</t>
  </si>
  <si>
    <t>Umba - Umba Laundry</t>
  </si>
  <si>
    <t>Jl Abdul Gani 2, Kalibaru, Cilodong - Depok</t>
  </si>
  <si>
    <t>Atma wijaya</t>
  </si>
  <si>
    <t>0856 9280 2910</t>
  </si>
  <si>
    <t>atma06841@gmail.com</t>
  </si>
  <si>
    <t>JAYA LAUNDRY CIBINONG</t>
  </si>
  <si>
    <t>jln haji jairan cikempong Rt 04 Rw 09</t>
  </si>
  <si>
    <t>Dede hermawan</t>
  </si>
  <si>
    <t>0821 4614 9616</t>
  </si>
  <si>
    <t>pondokcnc@gmail.com</t>
  </si>
  <si>
    <t>pondok c&amp;c laundry</t>
  </si>
  <si>
    <t>jl masjid nurul falah rt02/03 bojongsari</t>
  </si>
  <si>
    <t>Admin01</t>
  </si>
  <si>
    <t>812 19254425</t>
  </si>
  <si>
    <t>deniyusuf@gmail.com</t>
  </si>
  <si>
    <t>3Z Shoe Treatments/ 3Z Shoe Treatments</t>
  </si>
  <si>
    <t>Jl. H. Dimun Raya No. 31 C</t>
  </si>
  <si>
    <t xml:space="preserve">Faisal Abdillah </t>
  </si>
  <si>
    <t>0896 6232 1780</t>
  </si>
  <si>
    <t>alfatihlaundry.depok17@gmail.com</t>
  </si>
  <si>
    <t>Jl. Kemiri Jaya No. 17 RT 02/01</t>
  </si>
  <si>
    <t xml:space="preserve">Andreas Kurniawan </t>
  </si>
  <si>
    <t>0813 1493 0087</t>
  </si>
  <si>
    <t>sales.intisinergy@gmail.com</t>
  </si>
  <si>
    <t>mr. clean Cabang Pulo Ribung/	Mr. Clean Pulo Sirih</t>
  </si>
  <si>
    <t>JL Pulo Ribung no. 15 A Sebelah Apotik K24 Jakasetia Bekasi</t>
  </si>
  <si>
    <t>Anita</t>
  </si>
  <si>
    <t>0857 7575 7628</t>
  </si>
  <si>
    <t>anita.palmass@gmail.com</t>
  </si>
  <si>
    <t>Happy Laundry</t>
  </si>
  <si>
    <t>Jl. Pulo Ribung Raya BB 46A No. 15</t>
  </si>
  <si>
    <t>Anung Wisnu</t>
  </si>
  <si>
    <t>0812 1232 7366</t>
  </si>
  <si>
    <t>wisnu.anung18@gmail.com</t>
  </si>
  <si>
    <t>layla laundry</t>
  </si>
  <si>
    <t>ka.ceger no.5 rt.10 rw.02</t>
  </si>
  <si>
    <t>LAUNDRY ATO EXCLUSIVE</t>
  </si>
  <si>
    <t>0853 2258 6306</t>
  </si>
  <si>
    <t>ato576344@gmail.com</t>
  </si>
  <si>
    <t>Ato exclusive laundry/LAUNDRY ATO EXCLUSIVE TRIMA CUCI SOFA &amp; SPRINGBEAD</t>
  </si>
  <si>
    <t>Kab. Tasikmalaya</t>
  </si>
  <si>
    <t>jln.perintis kenmerdekaan gana taruna belakang STIA kawalu tasikmalaya</t>
  </si>
  <si>
    <t xml:space="preserve">M Nadjib Nasir </t>
  </si>
  <si>
    <t>0811 868768</t>
  </si>
  <si>
    <t>emnadjib06@gmail.com</t>
  </si>
  <si>
    <t>Bojongkulur</t>
  </si>
  <si>
    <t xml:space="preserve">muhammad yano ferdiansyah </t>
  </si>
  <si>
    <t>0813 8697 6502</t>
  </si>
  <si>
    <t>mbastianalfaro@gmail.com</t>
  </si>
  <si>
    <t>alfaro loundry (muhammad yano ferdiansyah )</t>
  </si>
  <si>
    <t>jalan raya bintaro perwira bekasi utara</t>
  </si>
  <si>
    <t>ELSYI</t>
  </si>
  <si>
    <t>0813 81251246</t>
  </si>
  <si>
    <t>griyaloundry@gmail.com</t>
  </si>
  <si>
    <t>GRIYA LOUNDRY/GRIYA LOUNDRY PERUM PMI</t>
  </si>
  <si>
    <t>Perum Puri Mutiara Indah ,jln Kakap 17 Blok Ds No 26 RT 01/07 KarangRaharja, Cikarang Utara,Kab Bekasi</t>
  </si>
  <si>
    <t>capten iswan fone</t>
  </si>
  <si>
    <t>0813 82374399</t>
  </si>
  <si>
    <t>KaptenIswansyah@gmail.com</t>
  </si>
  <si>
    <t>FONE LAUNDRY</t>
  </si>
  <si>
    <t>perumahan bilabong permai blok D4B no 6 jln gunung Bromo bilabong permai</t>
  </si>
  <si>
    <t xml:space="preserve">Dendi </t>
  </si>
  <si>
    <t>0897 9567717</t>
  </si>
  <si>
    <t>tanoewidjayadendi@gmail.com</t>
  </si>
  <si>
    <t>Mama laundry (Dendi )</t>
  </si>
  <si>
    <t>jl mars raya no 46</t>
  </si>
  <si>
    <t>GERLITA</t>
  </si>
  <si>
    <t>0853 62226746</t>
  </si>
  <si>
    <t>martin226746@gmail.com</t>
  </si>
  <si>
    <t>Smart-In Laundry</t>
  </si>
  <si>
    <t>Tegal Sawah Depan Perumahan Indo Alam Residence</t>
  </si>
  <si>
    <t>Toni Aswan</t>
  </si>
  <si>
    <t>0852 9277 6692</t>
  </si>
  <si>
    <t>toniaswan@gmail.com</t>
  </si>
  <si>
    <t>Home Laundree/Home Laundree Rancasari</t>
  </si>
  <si>
    <t>Kab. Subang</t>
  </si>
  <si>
    <t>Dusun Rancasari RT 05/03</t>
  </si>
  <si>
    <t>0857 76305317</t>
  </si>
  <si>
    <t>millenialbundahalimah@gmail.com</t>
  </si>
  <si>
    <t>Laundry Bunda Halimah/	BUNDA LAUNDRY</t>
  </si>
  <si>
    <t>Cikeas Gardenia blok E 1 no 6 Kel Cikeas Bogor</t>
  </si>
  <si>
    <t>Dessy Monica</t>
  </si>
  <si>
    <t>0878 71413349</t>
  </si>
  <si>
    <t>moniclaundry1112@gmail.com</t>
  </si>
  <si>
    <t>Monic Laundry/Monic Laundry Galaxy</t>
  </si>
  <si>
    <t>Jl Taman Galaxy B 301 Galaxy Bekasi</t>
  </si>
  <si>
    <t>Irwan Sumarko</t>
  </si>
  <si>
    <t>0852 24293031</t>
  </si>
  <si>
    <t>irwanlogien@gmail.com</t>
  </si>
  <si>
    <t>Buntet Laundry/Stasiun Laundry 2</t>
  </si>
  <si>
    <t>Buntet Pesantren Cirebon</t>
  </si>
  <si>
    <t>Wulandari munandar</t>
  </si>
  <si>
    <t>0896 71717272</t>
  </si>
  <si>
    <t>wulandarimunandar1@gmail.com</t>
  </si>
  <si>
    <t>Wulan laundry</t>
  </si>
  <si>
    <t>lingkungan Cipayung no 23 RT 02 RW 22</t>
  </si>
  <si>
    <t>Kia Laundry (Admin)</t>
  </si>
  <si>
    <t>0856 93335150</t>
  </si>
  <si>
    <t>wawan.w1986@gmail.com</t>
  </si>
  <si>
    <t>Kia Laundry</t>
  </si>
  <si>
    <t>Kab. Purwakarta</t>
  </si>
  <si>
    <t>Purwakarta</t>
  </si>
  <si>
    <t>valen dirk</t>
  </si>
  <si>
    <t>0813 2225560</t>
  </si>
  <si>
    <t>paitualaundry@gmail.com</t>
  </si>
  <si>
    <t>Paitua laundry</t>
  </si>
  <si>
    <t>Jl Terusan no 23 Cimahi</t>
  </si>
  <si>
    <t>rudi haerudin</t>
  </si>
  <si>
    <t>0818 08170020</t>
  </si>
  <si>
    <t>d.aliszlaundry@gmail.com</t>
  </si>
  <si>
    <t>D'Alisz</t>
  </si>
  <si>
    <t>jl. Sersan Misnadi no. 1a (depan sdn perwira III) kel. Perwira Kec. Bekasi Utara</t>
  </si>
  <si>
    <t>seni asriani</t>
  </si>
  <si>
    <t>0856 6339444</t>
  </si>
  <si>
    <t>nez_ara@yahoo.com</t>
  </si>
  <si>
    <t>razqiya laundry</t>
  </si>
  <si>
    <t>Kab. Cianjur</t>
  </si>
  <si>
    <t>cikalongkulon-cianjur</t>
  </si>
  <si>
    <t>Buntet Laundry/Stasiun Laundry 3</t>
  </si>
  <si>
    <t>Laundrian Care</t>
  </si>
  <si>
    <t>0877 83263717</t>
  </si>
  <si>
    <t>laundrian.care@gmail.com</t>
  </si>
  <si>
    <t>Jalan Cendana</t>
  </si>
  <si>
    <t>lidya hardianti</t>
  </si>
  <si>
    <t>0858 81009187</t>
  </si>
  <si>
    <t>lidyahardianti20@gmail.com</t>
  </si>
  <si>
    <t>KKLIN LAUNDRY</t>
  </si>
  <si>
    <t>jalan raya susukan rt 04 rw 02</t>
  </si>
  <si>
    <t>Buntet Laundry/Stasiun Laundry Expert</t>
  </si>
  <si>
    <t xml:space="preserve">Khoirul Umam </t>
  </si>
  <si>
    <t>0822 10535463</t>
  </si>
  <si>
    <t>umam1908@gmail.com</t>
  </si>
  <si>
    <t>RAFISQI LAUNDRY</t>
  </si>
  <si>
    <t>ujung harapan gang haji maksum nomer 60 RT 003/004</t>
  </si>
  <si>
    <t>Buntet Laundry/Stasiun Laundry 4</t>
  </si>
  <si>
    <t>Alfatih Laundry/Alfatih Laundry 3</t>
  </si>
  <si>
    <t>Jl. Nurul Ihsan Cipedak</t>
  </si>
  <si>
    <t>Buntet Laundry/Stasiun Laundry Pesantren 1</t>
  </si>
  <si>
    <t>Buntet Laundry/Stasiun Laundry Pesantren 2</t>
  </si>
  <si>
    <t>Buntet Laundry/Stasiun Laundry 5</t>
  </si>
  <si>
    <t>Buntet Laundry/Stasiun Laundry Susukan</t>
  </si>
  <si>
    <t xml:space="preserve">Cahyo Nugroho </t>
  </si>
  <si>
    <t>0811 8623459</t>
  </si>
  <si>
    <t>ihinsolihin67@gmail.com</t>
  </si>
  <si>
    <t>Cozy Laundry/Cozy Laundry Jatinangor</t>
  </si>
  <si>
    <t>Kab. Sumedang</t>
  </si>
  <si>
    <t>Komp. Puri Indah Jatinangor Blok D5 No.12-13</t>
  </si>
  <si>
    <t xml:space="preserve">zenong </t>
  </si>
  <si>
    <t>0815 72846773</t>
  </si>
  <si>
    <t>mamapanda.jenong@gmail.com</t>
  </si>
  <si>
    <t>clean master/chingu laundry</t>
  </si>
  <si>
    <t>Kab. Bandung</t>
  </si>
  <si>
    <t>gba 3 blok 1 no 22</t>
  </si>
  <si>
    <t>Monic Laundry/Monic Laundry Kranji</t>
  </si>
  <si>
    <t>Jl  Raya Patriot No 90 Jakasampurna Bekasi</t>
  </si>
  <si>
    <t>Alfatih Laundry/Laundry Ane</t>
  </si>
  <si>
    <t xml:space="preserve">Fransiska Oktapia S </t>
  </si>
  <si>
    <t>0813 17419198</t>
  </si>
  <si>
    <t>simarmatasizka91@gmail.com</t>
  </si>
  <si>
    <t>Sizka Laundry</t>
  </si>
  <si>
    <t>Jl Radar Auri Km 31 Pasar Cisalak, Cimanggis ,Depok, Jawa Barat</t>
  </si>
  <si>
    <t>MARIANI</t>
  </si>
  <si>
    <t>081283195980</t>
  </si>
  <si>
    <t>mariani.nadapdap123@gmail.com</t>
  </si>
  <si>
    <t>MONASH LAUNDRY</t>
  </si>
  <si>
    <t>Pekayon jaya</t>
  </si>
  <si>
    <t xml:space="preserve">Reyhan Firdaus Ramdhani </t>
  </si>
  <si>
    <t>0896 31389099</t>
  </si>
  <si>
    <t>libra.laundry1708@gmail.com</t>
  </si>
  <si>
    <t>Libra Laundry</t>
  </si>
  <si>
    <t>Jl. Raya Desa Purwadana, Pertokoan Alam Jaya Trans, RT. 007/004, Dusun Jenebin, Desa Purwadana.</t>
  </si>
  <si>
    <t>Tisya Laundry</t>
  </si>
  <si>
    <t>0856 97713286</t>
  </si>
  <si>
    <t>suratisuradi7@gmail.com</t>
  </si>
  <si>
    <t>Jln.Demang Kp.Cipule RT.001 RW.001  Kel.Mulyasari Kec.Ciampel Kab.Karawang Jawa Barat</t>
  </si>
  <si>
    <t>Ibu Titin</t>
  </si>
  <si>
    <t>087874495062</t>
  </si>
  <si>
    <t>kasirotikleen@gmail.com</t>
  </si>
  <si>
    <t>otikleen</t>
  </si>
  <si>
    <t>apartemen evencio</t>
  </si>
  <si>
    <t>mimi</t>
  </si>
  <si>
    <t>0813 11636092</t>
  </si>
  <si>
    <t>melaniehanda11@gmail.com</t>
  </si>
  <si>
    <t>HOME LAUNDRY</t>
  </si>
  <si>
    <t>-</t>
  </si>
  <si>
    <t>Fitriyani Sst</t>
  </si>
  <si>
    <t>0813 16601899</t>
  </si>
  <si>
    <t>Azizahlaundry@gmail.com</t>
  </si>
  <si>
    <t>AzizahLaundry/AzizahLaundry</t>
  </si>
  <si>
    <t>Depan perumahan De living, Jl. R. Sanim Gg. Capung, RT.006 rw002, Tanah Baru</t>
  </si>
  <si>
    <t>mr laundry</t>
  </si>
  <si>
    <t>0859 04519460</t>
  </si>
  <si>
    <t>mrhyw25@gmail.com</t>
  </si>
  <si>
    <t>MR LAUNDRY</t>
  </si>
  <si>
    <t>pondok ungu permai sektor v</t>
  </si>
  <si>
    <t>Iim Himmawan</t>
  </si>
  <si>
    <t>0877 71734447</t>
  </si>
  <si>
    <t>hanania.laundry90@gmail.com</t>
  </si>
  <si>
    <t>Hanania Laundry</t>
  </si>
  <si>
    <t>Kota Cirebon</t>
  </si>
  <si>
    <t>Jl. Perjuangan No. 42  Majasem Kel. Karya Mulya Kec. Kesambi Kota Cirebon</t>
  </si>
  <si>
    <t xml:space="preserve">wiwit </t>
  </si>
  <si>
    <t>081280007176</t>
  </si>
  <si>
    <t>wiwitrahayu274@gmail.com</t>
  </si>
  <si>
    <t>Laudry kiloan/Laudry kiloan chakira</t>
  </si>
  <si>
    <t>pupsa raya blok DE 27Bojong Baru, Bojong Gede</t>
  </si>
  <si>
    <t>Yulianti Pratama Rahayu</t>
  </si>
  <si>
    <t>0896 30018858</t>
  </si>
  <si>
    <t>juliantypratama@gmail.com</t>
  </si>
  <si>
    <t>Roemahcuci Cimahi</t>
  </si>
  <si>
    <t>Jalan Encep Kartawiria Rt 02/06 Citereup Cimahi utara kota Cimahi 40512</t>
  </si>
  <si>
    <t>ummu</t>
  </si>
  <si>
    <t>0857 16352858</t>
  </si>
  <si>
    <t>mu8054564@gmail.com</t>
  </si>
  <si>
    <t>HUME LAUNDRY</t>
  </si>
  <si>
    <t>cilangkap</t>
  </si>
  <si>
    <t>vio</t>
  </si>
  <si>
    <t>0812 14847779</t>
  </si>
  <si>
    <t>gobisnizq@gmail.com</t>
  </si>
  <si>
    <t>LaundryQ</t>
  </si>
  <si>
    <t>jl. Purwakarta no 129C. Antapani</t>
  </si>
  <si>
    <t>faisal</t>
  </si>
  <si>
    <t>0852 55500048</t>
  </si>
  <si>
    <t>ichalhr07@gmail.com</t>
  </si>
  <si>
    <t>avril laundry</t>
  </si>
  <si>
    <t>jln raya padarincang sukaharja</t>
  </si>
  <si>
    <t>Buntet Laundry/Stasiun Laundry Pesantren</t>
  </si>
  <si>
    <t xml:space="preserve">Karisa Septiani </t>
  </si>
  <si>
    <t>0878 86630459</t>
  </si>
  <si>
    <t>karisaseptiani@gmail.com</t>
  </si>
  <si>
    <t>rizky jaya laundry</t>
  </si>
  <si>
    <t>jl. swadaya rt04 rw01 (warung bu rere)</t>
  </si>
  <si>
    <t xml:space="preserve">Koko Naibaho </t>
  </si>
  <si>
    <t>0878 96688863</t>
  </si>
  <si>
    <t>coba.bukan@gmail.com</t>
  </si>
  <si>
    <t>Houou D Laundry/ Qilin Laundry</t>
  </si>
  <si>
    <t>Parung Panjang</t>
  </si>
  <si>
    <t xml:space="preserve">Mia Sari Nurhalimah </t>
  </si>
  <si>
    <t>0813 20392206</t>
  </si>
  <si>
    <t>fatahwash@gmail.com</t>
  </si>
  <si>
    <t>FATAHWASH</t>
  </si>
  <si>
    <t>jl.cijagra 1b no 4</t>
  </si>
  <si>
    <t>Poppy Sumendap</t>
  </si>
  <si>
    <t>0877 88379325</t>
  </si>
  <si>
    <t>popslaundry07@gmail.com</t>
  </si>
  <si>
    <t>Pop'S Laundry and Dry Cleaning</t>
  </si>
  <si>
    <t>Rukan Burgundy Commercial Blok RAL/002, Summarecon Bekasi</t>
  </si>
  <si>
    <t>Rini</t>
  </si>
  <si>
    <t>085281751386</t>
  </si>
  <si>
    <t>rienrazata@gmail.com</t>
  </si>
  <si>
    <t>marisini laundry kiloan</t>
  </si>
  <si>
    <t>jalan. kupu Pasir putih</t>
  </si>
  <si>
    <t xml:space="preserve">suci kurniawati kusumah </t>
  </si>
  <si>
    <t>0821 23502687</t>
  </si>
  <si>
    <t>sucikkusumah@gmail.com</t>
  </si>
  <si>
    <t>Shaliha Laundry Express/Shaliha Laundry Express</t>
  </si>
  <si>
    <t>depan ashidiqiyah</t>
  </si>
  <si>
    <t xml:space="preserve">Titik </t>
  </si>
  <si>
    <t>0813 14291590</t>
  </si>
  <si>
    <t>titiksutiningsih123@gmail.com</t>
  </si>
  <si>
    <t>BERKAH LAUNDRY/BERKAH LAUNDRY</t>
  </si>
  <si>
    <t>Jl. Purigading Raya</t>
  </si>
  <si>
    <t>BERKAH LAUNDRY/BERKAH LAUNDRY PG</t>
  </si>
  <si>
    <t xml:space="preserve">rimasitirahayu </t>
  </si>
  <si>
    <t>089694266324</t>
  </si>
  <si>
    <t>arieftrisuwardana@gmail.com</t>
  </si>
  <si>
    <t>tuan laundry baleendah/Harum laundry Baleendah</t>
  </si>
  <si>
    <t>Jl. Raya Laswi No.44a, RT.001/RW.04, Baleendah, Kec. Baleendah, Bandung, Jawa Barat 40375patokan sebelah komplek menara laswi</t>
  </si>
  <si>
    <t>0813 19254425</t>
  </si>
  <si>
    <t>3Z Shoe Treatments/3Z Shoe Treatments Cab#1</t>
  </si>
  <si>
    <t>Irfan Bagus</t>
  </si>
  <si>
    <t>081386373756</t>
  </si>
  <si>
    <t>irfanbagus777@gmail.com</t>
  </si>
  <si>
    <t>Waroeng Loundry/Waroeng Loundry 1</t>
  </si>
  <si>
    <t>Jln Kp Blok 1 Rt02 Rw06 samping lap pasar malam belakang Polres Cikarang</t>
  </si>
  <si>
    <t>suci kurniawati kusumah</t>
  </si>
  <si>
    <t xml:space="preserve">0821 23502687
</t>
  </si>
  <si>
    <t>Shaliha Laundry Express/Barokah Laundry Suci</t>
  </si>
  <si>
    <t xml:space="preserve">Pyen  </t>
  </si>
  <si>
    <t>081287078508</t>
  </si>
  <si>
    <t>myllaundry@gmail.com</t>
  </si>
  <si>
    <t>MY LAUNDRY</t>
  </si>
  <si>
    <t>Jl. Salak No.5</t>
  </si>
  <si>
    <t>robby wahyudi</t>
  </si>
  <si>
    <t>0813 95751577</t>
  </si>
  <si>
    <t>atmosphere3636@gmail.com</t>
  </si>
  <si>
    <t>atmosphere laundry</t>
  </si>
  <si>
    <t>jalan venus raya no. 32 b metro margahayu raya</t>
  </si>
  <si>
    <t>Monic Laundry/Monic Laundry Galaxy (Online)</t>
  </si>
  <si>
    <t>Ridha Martha</t>
  </si>
  <si>
    <t>0878 71619501</t>
  </si>
  <si>
    <t>Roemah laundry/ Rumah Laundry</t>
  </si>
  <si>
    <t>Stir mobil pesona jaya lantai 2 kota depok</t>
  </si>
  <si>
    <t xml:space="preserve">Admin  </t>
  </si>
  <si>
    <t>0816 338027</t>
  </si>
  <si>
    <t>mamalaundrys88@gmail.com</t>
  </si>
  <si>
    <t>Mama Laundry/Mama Laundry - Kota Bekasi</t>
  </si>
  <si>
    <t>Jalan Perjuangan No 28, Kel Marga Mulya, Bekasi Utara</t>
  </si>
  <si>
    <t xml:space="preserve">Srikandi Laundry </t>
  </si>
  <si>
    <t>0857 77821277</t>
  </si>
  <si>
    <t>srikandilaundry4@gmail.com</t>
  </si>
  <si>
    <t>laundry  srikandi</t>
  </si>
  <si>
    <t>Jln urea 2 ujung no34. Rt 03/16 beji</t>
  </si>
  <si>
    <t>Rabiyul Adawiyah</t>
  </si>
  <si>
    <t>0818 06733654</t>
  </si>
  <si>
    <t>gatra89@gmail.com</t>
  </si>
  <si>
    <t>laundrychat/LaundryChat</t>
  </si>
  <si>
    <t>sentraland paradise cluster Malta blok E11 No 02</t>
  </si>
  <si>
    <t xml:space="preserve">ayyu </t>
  </si>
  <si>
    <t>0857 71749096</t>
  </si>
  <si>
    <t>laundry111121@gmail.com</t>
  </si>
  <si>
    <t>Tri Nur Laundry/Tri Nur Laundry</t>
  </si>
  <si>
    <t>Jl Kp kukun kulon Rt 10 Rw 5 ciantra cikarang selatan</t>
  </si>
  <si>
    <t>Indri</t>
  </si>
  <si>
    <t>0813 22338898</t>
  </si>
  <si>
    <t>aquandrie26@hotmail.com</t>
  </si>
  <si>
    <t>Bindy Laundry</t>
  </si>
  <si>
    <t>Kab. Bandung Barat</t>
  </si>
  <si>
    <t>Jl. Cihanjuang No. 151 Bandung Barat</t>
  </si>
  <si>
    <t xml:space="preserve">Regina </t>
  </si>
  <si>
    <t>081226050292</t>
  </si>
  <si>
    <t>rumahcuciazzura@gmail.com</t>
  </si>
  <si>
    <t>Rumah Cuci Azzura/Azura Laundry</t>
  </si>
  <si>
    <t>Jalan Surya Dharma Blok CE 8 Jatisari Jatiasih</t>
  </si>
  <si>
    <t xml:space="preserve">wawan riswandi </t>
  </si>
  <si>
    <t>0858 61399970</t>
  </si>
  <si>
    <t>wanzriswandy40@gmail.com</t>
  </si>
  <si>
    <t>CUCIQUE LAUNDRY/CUCIQUE LAUNDRY</t>
  </si>
  <si>
    <t>jl babakan ciparay no 73</t>
  </si>
  <si>
    <t>Sri Murniati</t>
  </si>
  <si>
    <t>0813 24727675</t>
  </si>
  <si>
    <t>eniniglaundry@gmail.com</t>
  </si>
  <si>
    <t>ENIN IG Laundry</t>
  </si>
  <si>
    <t>Griya Sunyaragi Permai Jalan Sonokeling Raya No. U6 Karyamulya - Kota Cirebon</t>
  </si>
  <si>
    <t xml:space="preserve">Theresia  </t>
  </si>
  <si>
    <t>0813 80991122</t>
  </si>
  <si>
    <t>ronny21warouw@gmail.com</t>
  </si>
  <si>
    <t>Yum Laundry</t>
  </si>
  <si>
    <t>rawakalonggunung sindurkabupaten bogor</t>
  </si>
  <si>
    <t>Aqila Laundry</t>
  </si>
  <si>
    <t>085890047455</t>
  </si>
  <si>
    <t>she1skandar89@gmail.com</t>
  </si>
  <si>
    <t>Aini Laundry</t>
  </si>
  <si>
    <t>pejuang raya</t>
  </si>
  <si>
    <t>Imas Fatimah</t>
  </si>
  <si>
    <t>0896 13082244</t>
  </si>
  <si>
    <t>imassitifatimah@gmail.com</t>
  </si>
  <si>
    <t>JASTRA LAUNDRY</t>
  </si>
  <si>
    <t>perumahan Puri yasmin blok A2 no 3 Jatiluhur Purwakarta</t>
  </si>
  <si>
    <t>Karina Isabella</t>
  </si>
  <si>
    <t>0851 56435942</t>
  </si>
  <si>
    <t>karinaisabella4@gmail.com</t>
  </si>
  <si>
    <t>NARA LAUNDRY</t>
  </si>
  <si>
    <t>Jl Pamekar Raya 101 A</t>
  </si>
  <si>
    <t>Tri Nur Laundry/Tri Nur Laundry cab 2</t>
  </si>
  <si>
    <t xml:space="preserve">Rahman </t>
  </si>
  <si>
    <t>087804480999</t>
  </si>
  <si>
    <t>ratulaundry001@gmail.com</t>
  </si>
  <si>
    <t>Ratu Laundry</t>
  </si>
  <si>
    <t>jln. Kukun kulon</t>
  </si>
  <si>
    <t xml:space="preserve">Ben clean Laundry </t>
  </si>
  <si>
    <t>0812 10024604</t>
  </si>
  <si>
    <t>bencleanlaundry@gmail.com</t>
  </si>
  <si>
    <t>Ben clean Laundry</t>
  </si>
  <si>
    <t>Kp pabuaran kulon no 87 Ciangsana gunung putri kab Bogor</t>
  </si>
  <si>
    <t xml:space="preserve">HENDRI SUHARTO/001 </t>
  </si>
  <si>
    <t>0812 96417001</t>
  </si>
  <si>
    <t>mutiarasabillahlaundry@gmail.com</t>
  </si>
  <si>
    <t>MUTIARA SABILLAH LAUNDRY</t>
  </si>
  <si>
    <t>Kota Bogor</t>
  </si>
  <si>
    <t>jalan. pangeran sogiri no 315 , kel.tanah baru, kec. bogor utara, kota bogor</t>
  </si>
  <si>
    <t>riezky</t>
  </si>
  <si>
    <t>0812 8772081</t>
  </si>
  <si>
    <t>lightbox.bogor@gmail.com</t>
  </si>
  <si>
    <t>Box Laundry</t>
  </si>
  <si>
    <t>jl Lodaya No. 1 Bogor</t>
  </si>
  <si>
    <t xml:space="preserve">Santi </t>
  </si>
  <si>
    <t>082111372247</t>
  </si>
  <si>
    <t>tri_yatno@hotmail.com</t>
  </si>
  <si>
    <t>NAZ LAUNDRY/NET LAUNDRY</t>
  </si>
  <si>
    <t>jalan rusa raya no 42 cikarang baru</t>
  </si>
  <si>
    <t>HIMAM</t>
  </si>
  <si>
    <t>0852 25071193</t>
  </si>
  <si>
    <t>himballz@gmail.com</t>
  </si>
  <si>
    <t>KIRANA LAUNDRY</t>
  </si>
  <si>
    <t>PONDOK GEDE</t>
  </si>
  <si>
    <t>Budi Santo</t>
  </si>
  <si>
    <t>0812 86986164</t>
  </si>
  <si>
    <t>santobudi893@gmail.com</t>
  </si>
  <si>
    <t xml:space="preserve">sahabat laundry/sahabat laundry </t>
  </si>
  <si>
    <t>jln pertokoan stasiun cikampek nmr 2</t>
  </si>
  <si>
    <t xml:space="preserve">infinity laundry </t>
  </si>
  <si>
    <t>0821 15299429</t>
  </si>
  <si>
    <t>infinitylaundry21@gmail.com</t>
  </si>
  <si>
    <t>INFINITY LAUNDRY</t>
  </si>
  <si>
    <t>Jl jurang No 11A Bandung</t>
  </si>
  <si>
    <t>setiyawan</t>
  </si>
  <si>
    <t>0858 11232722</t>
  </si>
  <si>
    <t>halimahtusasdiah@gmail.com</t>
  </si>
  <si>
    <t>ima loundry</t>
  </si>
  <si>
    <t>jln raya bahkilong kp kandang rt 04/08 serang baru</t>
  </si>
  <si>
    <t xml:space="preserve">Kang Jajat </t>
  </si>
  <si>
    <t>0812 22999861</t>
  </si>
  <si>
    <t>agungsudrajatsoerowardojo@gmail.com</t>
  </si>
  <si>
    <t>Seru Laundry</t>
  </si>
  <si>
    <t>Gardens At Candi Sawangan Seruni Cluster C36 no 26</t>
  </si>
  <si>
    <t>Zaenal</t>
  </si>
  <si>
    <t>0813 85173947</t>
  </si>
  <si>
    <t>zszaenal15@gmail.com</t>
  </si>
  <si>
    <t>ZEFA LAUNDRY</t>
  </si>
  <si>
    <t>jl rambutan kp jaha RT01/011 NO35 JATI MEKAR JATI ASIH BEKASI 17422</t>
  </si>
  <si>
    <t>marcony yoyo agung</t>
  </si>
  <si>
    <t>0816 1984876</t>
  </si>
  <si>
    <t>marcony.yoyo@gmail.com</t>
  </si>
  <si>
    <t>Berkah99 Laundry</t>
  </si>
  <si>
    <t>Jl.kalilicin no5 Pancoran Mas Depok</t>
  </si>
  <si>
    <t>PRETTY ANGELIA</t>
  </si>
  <si>
    <t>089518742856</t>
  </si>
  <si>
    <t>angeliapretty12@gmail.com</t>
  </si>
  <si>
    <t>GO LAUNDRY</t>
  </si>
  <si>
    <t>jl panji no.2 (tempat cuci mobil dan motor PANJI)</t>
  </si>
  <si>
    <t xml:space="preserve">resta yulisa </t>
  </si>
  <si>
    <t>0819 04798874</t>
  </si>
  <si>
    <t>resta.yulisa86@gmail.com</t>
  </si>
  <si>
    <t>fadila laundry</t>
  </si>
  <si>
    <t>jl. raya jamali depan polsek mande</t>
  </si>
  <si>
    <t>Welli Yanda Susanto</t>
  </si>
  <si>
    <t>0818 08237311</t>
  </si>
  <si>
    <t>well_becks07@yahoo.com</t>
  </si>
  <si>
    <t>LaundryMart</t>
  </si>
  <si>
    <t>Jl Harapan Baru Raya</t>
  </si>
  <si>
    <t>Novi Handayani</t>
  </si>
  <si>
    <t>0895 331949898</t>
  </si>
  <si>
    <t>handayaninovi96@gmail.com</t>
  </si>
  <si>
    <t>Nadin Laundry&amp;Dry Cleaning</t>
  </si>
  <si>
    <t>Perumahan Palumbon Tessa Blok C3 no 14</t>
  </si>
  <si>
    <t>Cozy Laundry / Cozy Laundry Tebet Timur</t>
  </si>
  <si>
    <t>Owner Shigoto</t>
  </si>
  <si>
    <t>0878 70240112</t>
  </si>
  <si>
    <t>bbqshigoto@gmail.com</t>
  </si>
  <si>
    <t>SHIGOTO LOUNDRY</t>
  </si>
  <si>
    <t>Kab. Indramayu</t>
  </si>
  <si>
    <t>JL RAYA BARAT KARANGAMPEL</t>
  </si>
  <si>
    <t>Buntet Laundry/Laundry Nadwah</t>
  </si>
  <si>
    <t xml:space="preserve">Chacha </t>
  </si>
  <si>
    <t>0858 88534423</t>
  </si>
  <si>
    <t>marslaundryexpress@gmail.com</t>
  </si>
  <si>
    <t>Mars Laundry Express</t>
  </si>
  <si>
    <t>Jl. Lingkar Lipi Villa Kebun Raya Cibinong tahap 2</t>
  </si>
  <si>
    <t xml:space="preserve">⭐⭐BINTANG LAUNDRY </t>
  </si>
  <si>
    <t>0878 80614780</t>
  </si>
  <si>
    <t>jajanansosmed23bn@gmail.com</t>
  </si>
  <si>
    <t xml:space="preserve">BINTANG LAUNDRY/☆☆BINTANG LAUNDRY
</t>
  </si>
  <si>
    <t>JAKARTA</t>
  </si>
  <si>
    <t xml:space="preserve">Bambang Suharto </t>
  </si>
  <si>
    <t>0816 715 364</t>
  </si>
  <si>
    <t>mutiarasentul@gmail.com</t>
  </si>
  <si>
    <t>Mutiara Sentul Laundry/Mutiara Sentul Laundry 1</t>
  </si>
  <si>
    <t>jl.raya citaringgul, kec. babakan madang, kab. bogor</t>
  </si>
  <si>
    <t xml:space="preserve">Dessy Monica </t>
  </si>
  <si>
    <t>0878 7141 3349</t>
  </si>
  <si>
    <t>Monic Laundry/Monic Laundry Kranji Online</t>
  </si>
  <si>
    <t xml:space="preserve">Oppa Laundry </t>
  </si>
  <si>
    <t>0821 1872 8163</t>
  </si>
  <si>
    <t>denykuswandi400@gmail.com</t>
  </si>
  <si>
    <t>OPPA LOUNDRY</t>
  </si>
  <si>
    <t>Jl.Raya Laswi No.45</t>
  </si>
  <si>
    <t>0857 7575 7329</t>
  </si>
  <si>
    <t>Mr. Clean Shoes Laundry</t>
  </si>
  <si>
    <t>JL. Pulo Ribung Raya Blok BB46A no. 15 Jakasetia Bekasi</t>
  </si>
  <si>
    <t>Azka K R</t>
  </si>
  <si>
    <t>0895414066655</t>
  </si>
  <si>
    <t>azka.laundry.tsm@gmail.com</t>
  </si>
  <si>
    <t>AZKA LAUNDRY EXPRESS</t>
  </si>
  <si>
    <t>Kota Tasikmalaya</t>
  </si>
  <si>
    <t>Jln. Rumah Sakit Gg. Sukarasa No. 7 Tasikmalaya</t>
  </si>
  <si>
    <t>Priyo Utomo</t>
  </si>
  <si>
    <t>0877 8863 0578</t>
  </si>
  <si>
    <t>upriyo68@gmail.com</t>
  </si>
  <si>
    <t>SERBA LAUNDRY</t>
  </si>
  <si>
    <t>Jl.Pekapuran Rt.05 Rw.07 No.245 (Pabuaran Mekar)</t>
  </si>
  <si>
    <t xml:space="preserve">Rehan Ginanjar Saputra </t>
  </si>
  <si>
    <t>0852 1627 3283</t>
  </si>
  <si>
    <t>rehansmi92@gmail.com</t>
  </si>
  <si>
    <t>Mutiara Sentul laundry 3</t>
  </si>
  <si>
    <t>Jl.Raya Karanggan RT 05 RW 08 Kel. Karanggan Kec. Citeurep kab. Bogor (Samping Mesjid AT.TAQWA)</t>
  </si>
  <si>
    <t>Annisa Vikasari</t>
  </si>
  <si>
    <t>0878 219 08147</t>
  </si>
  <si>
    <t>solusiberkahbersama@gmail.com</t>
  </si>
  <si>
    <t>Solusi Nyuci Laundry</t>
  </si>
  <si>
    <t>Jl. Ranca Oray No. 1 Bandung</t>
  </si>
  <si>
    <t xml:space="preserve">Lestari Aryaningsih </t>
  </si>
  <si>
    <t>0813 8158 0778</t>
  </si>
  <si>
    <t>nasrulpontoh16@gmail.com</t>
  </si>
  <si>
    <t>Vidin loundry &amp; Dry Clean/VIDIN Laundry &amp; Dry Cleaning Service</t>
  </si>
  <si>
    <t>Ruko Food Plaza (RFS) 6 No.6Cibubur Country</t>
  </si>
  <si>
    <t xml:space="preserve">Vidin loundry &amp; Dry Clean/Telaga Bambu Fishing	</t>
  </si>
  <si>
    <t>Mutiara Sentul Laundry/Mutiara Sentul Laundry 2</t>
  </si>
  <si>
    <t>Waroeng Loundry/Waroeng Loundry 2</t>
  </si>
  <si>
    <t>Monic Laundry/Monic Laundry GG</t>
  </si>
  <si>
    <t xml:space="preserve">Elisabeth P. Desiani </t>
  </si>
  <si>
    <t>0896 39843456</t>
  </si>
  <si>
    <t>Baladewa Laundry/Green Laundry 2</t>
  </si>
  <si>
    <t>Jl. Menati 1 No.27 Puserjaya Kec. Telukjambe Timur Kab. Karawang</t>
  </si>
  <si>
    <t xml:space="preserve">Rumahku Jarddin Apartment Cihampelas </t>
  </si>
  <si>
    <t>0877 29718239</t>
  </si>
  <si>
    <t>Rumahku.co@gmail.com</t>
  </si>
  <si>
    <t>Apartemen Jarrdin CihampelasKOA.03-07 (Kantor RumahKu)</t>
  </si>
  <si>
    <t xml:space="preserve">Indra Cipta </t>
  </si>
  <si>
    <t>0815 778 8865</t>
  </si>
  <si>
    <t>indracipta65@gmail.com</t>
  </si>
  <si>
    <t>Haruming Laundry</t>
  </si>
  <si>
    <t>Jl. Ir Soekarno KM 20. Jatinangor - Sumedang</t>
  </si>
  <si>
    <t xml:space="preserve">admin </t>
  </si>
  <si>
    <t>085893553984</t>
  </si>
  <si>
    <t>rohimlesmana55@gmail.com</t>
  </si>
  <si>
    <t>AMANDA LAUNDRY EXPRESS</t>
  </si>
  <si>
    <t>kp kamurang</t>
  </si>
  <si>
    <t xml:space="preserve">Arjuna Kusuma Firnawan </t>
  </si>
  <si>
    <t>0811 1377 993</t>
  </si>
  <si>
    <t>Java Laundry</t>
  </si>
  <si>
    <t>Jl H baron no 77B Jakasetia Bekasi Selatan</t>
  </si>
  <si>
    <t>Saefurohman</t>
  </si>
  <si>
    <t>0853 2022 1112</t>
  </si>
  <si>
    <t>saefulrohman1991@gmail.com</t>
  </si>
  <si>
    <t>Shan Laundry/Shan Laundry Cibogo</t>
  </si>
  <si>
    <t>Pertigaan Babakan Bandung - Cibogo - Subang</t>
  </si>
  <si>
    <t>Arinda</t>
  </si>
  <si>
    <t>0812 8593 3172</t>
  </si>
  <si>
    <t>priyantob4@gmail.com</t>
  </si>
  <si>
    <t>Qianna Laundry</t>
  </si>
  <si>
    <t>jalan inpres 1 rawageni</t>
  </si>
  <si>
    <t>anjas chevi mulyana</t>
  </si>
  <si>
    <t>0813 1223 2020</t>
  </si>
  <si>
    <t>kangchevi5@gmail.com</t>
  </si>
  <si>
    <t>Sabda Laundry</t>
  </si>
  <si>
    <t>jl. somawinata no D18 pakusarakan</t>
  </si>
  <si>
    <t>Mutiara Sentul Laundry/on line mutiara sentul laundry</t>
  </si>
  <si>
    <t xml:space="preserve">Yeni Johari </t>
  </si>
  <si>
    <t>0821 2265 6967</t>
  </si>
  <si>
    <t>yennysjouwke@gmail.com</t>
  </si>
  <si>
    <t>THE SHINE LAUNDRY</t>
  </si>
  <si>
    <t>Jl. Babakan Raya No.104 Dramaga Bogor</t>
  </si>
  <si>
    <t>Shan Laundry/Shan Laundry Cibarola</t>
  </si>
  <si>
    <t>Lariza Laundry Reborn</t>
  </si>
  <si>
    <t>0813 8598944</t>
  </si>
  <si>
    <t>larizalaundrybanjar@gmail.com</t>
  </si>
  <si>
    <t>lariza laundry</t>
  </si>
  <si>
    <t>Kota Banjar</t>
  </si>
  <si>
    <t>Perum Pintusinga Rt 6/18 No 4</t>
  </si>
  <si>
    <t>khanza laundry express 01</t>
  </si>
  <si>
    <t>08820087705037</t>
  </si>
  <si>
    <t>kaffahaedar0@gmail.com</t>
  </si>
  <si>
    <t>khanza laundry Express</t>
  </si>
  <si>
    <t>Kp Kukun rt 11/06 Ciantra cikarang selatan bekasi</t>
  </si>
  <si>
    <t>Home Laundree/Home Laundree Legokulon</t>
  </si>
  <si>
    <t>azzahra</t>
  </si>
  <si>
    <t>089668228316</t>
  </si>
  <si>
    <t>umuumair@gmail.com</t>
  </si>
  <si>
    <t>ummi laundry/IBU LAUNDRY</t>
  </si>
  <si>
    <t>perum bip blok de 19 no 1perum halim blok c14 no 8</t>
  </si>
  <si>
    <t>Dhewor J</t>
  </si>
  <si>
    <t>081223104987</t>
  </si>
  <si>
    <t>laundry/RUMAH LAUNDRY</t>
  </si>
  <si>
    <t>bedahan sawangan Depok</t>
  </si>
  <si>
    <t>yudhi</t>
  </si>
  <si>
    <t>082122288052</t>
  </si>
  <si>
    <t>find.me1924@gmail.com</t>
  </si>
  <si>
    <t>alfaro loundry (yudhi)</t>
  </si>
  <si>
    <t>jl. Bintaro Raya rt04 rw15 bulak perwira</t>
  </si>
  <si>
    <t>Erhart Tobing</t>
  </si>
  <si>
    <t>08125309996</t>
  </si>
  <si>
    <t>blackspartan.laundry@gmail.com</t>
  </si>
  <si>
    <t>Black Spartan Laundry/Florence Laundry</t>
  </si>
  <si>
    <t>Jl. Raya Ciangsana No. 19 B, Ciangsana</t>
  </si>
  <si>
    <t xml:space="preserve">Isep Ismayadi </t>
  </si>
  <si>
    <t>0813 2020 2544</t>
  </si>
  <si>
    <t>Klambi Laundry</t>
  </si>
  <si>
    <t>Komplek PDK</t>
  </si>
  <si>
    <t>Admin Cantik</t>
  </si>
  <si>
    <t>089656932023</t>
  </si>
  <si>
    <t>rewashbandung@gmail.com</t>
  </si>
  <si>
    <t>Washlab Setiabudi/WASHLAB 90MIN JARRDIN</t>
  </si>
  <si>
    <t>Jl. Setiabudi No. 130 - 134 ( Blossom 4 ) Hegarmanah, Kec. Cidadap, Kota Bandung - 40141</t>
  </si>
  <si>
    <t>me</t>
  </si>
  <si>
    <t>0895320477814</t>
  </si>
  <si>
    <t>meiamelia070581@gmail.com</t>
  </si>
  <si>
    <t>me_laundry</t>
  </si>
  <si>
    <t>JL. TITIRAN NO 10 ( depan danoufa hotel )</t>
  </si>
  <si>
    <t>Washlab Setiabudi/SPOTLESS SMART LAUNDRY</t>
  </si>
  <si>
    <t xml:space="preserve">Hernandia Kusumaputri </t>
  </si>
  <si>
    <t>0819 5248 0222</t>
  </si>
  <si>
    <t>cucisikat.id@gmail.com</t>
  </si>
  <si>
    <t>cucisikat.id</t>
  </si>
  <si>
    <t>Jl. Lumbu Barat Raya No.13, RT.005/RW.009</t>
  </si>
  <si>
    <t>Restu Septiani</t>
  </si>
  <si>
    <t>0813 8239 0544</t>
  </si>
  <si>
    <t>BuBu Laundry</t>
  </si>
  <si>
    <t>kp. pamengpeuk</t>
  </si>
  <si>
    <t xml:space="preserve">Humala Siagian </t>
  </si>
  <si>
    <t>082111240408</t>
  </si>
  <si>
    <t>humala.prio.ho@gmail.com</t>
  </si>
  <si>
    <t>WAL's LAUNDRY</t>
  </si>
  <si>
    <t>Perumahan Panorama Bali Residence Ruko Blok D No. 26 Jl. Putat Nutuv Ciseeng Bogor</t>
  </si>
  <si>
    <t>WENNI MALLAROS HUTAHAEAN</t>
  </si>
  <si>
    <t>0813 86105465</t>
  </si>
  <si>
    <t>mamasuryati31@gmai.com</t>
  </si>
  <si>
    <t>UMMI LAUNDRY</t>
  </si>
  <si>
    <t>PERUMAHAN HALIM BLOK C4 NO7 CIKAMPEK</t>
  </si>
  <si>
    <t>BERKAH LAUNDRY/BERKAH LAUNDRY RB</t>
  </si>
  <si>
    <t>HASTO PRIYO SAPUTRO</t>
  </si>
  <si>
    <t>08989891187</t>
  </si>
  <si>
    <t>saputro0110@gmail.com</t>
  </si>
  <si>
    <t>SINAR LAUNDRY</t>
  </si>
  <si>
    <t>Kab. Ciamis</t>
  </si>
  <si>
    <t>CIHAURBEUTI</t>
  </si>
  <si>
    <t>Brushandwax Ciangsana</t>
  </si>
  <si>
    <t>0821 1465 6432</t>
  </si>
  <si>
    <t>brushandwaxciangsana@gmail.com</t>
  </si>
  <si>
    <t>brushandwax ciangsana</t>
  </si>
  <si>
    <t>Jl.Gn. Putri No.108,RT.02/RW.07Ciangsana, Kec.Gn.Putri , Kabupaten Bogor,Jawa Barat</t>
  </si>
  <si>
    <t xml:space="preserve">Soekaer Jatiwaringin </t>
  </si>
  <si>
    <t>0813 2599 1584</t>
  </si>
  <si>
    <t>soekaerjtw@gmail.com</t>
  </si>
  <si>
    <t>Jl. Raya Jatiwaringin No.81C</t>
  </si>
  <si>
    <t xml:space="preserve">nora purba </t>
  </si>
  <si>
    <t>0821 1770 5506</t>
  </si>
  <si>
    <t>marlamm2509@gmail.com</t>
  </si>
  <si>
    <t>AnuGrah laundry</t>
  </si>
  <si>
    <t>Jl. Pasar Kecapi No.34C, RT.002/RW.001, Jatiwarna</t>
  </si>
  <si>
    <t xml:space="preserve">ayu </t>
  </si>
  <si>
    <t>0813 8938 0003</t>
  </si>
  <si>
    <t>kiranisa30@gmail.com</t>
  </si>
  <si>
    <t>java laundry 2/Kireynisa Laundry</t>
  </si>
  <si>
    <t>jl. sawo jakasampurna bekasi barat</t>
  </si>
  <si>
    <t>Febby satryo</t>
  </si>
  <si>
    <t>0859 7278 3734</t>
  </si>
  <si>
    <t>iko.laundry@gmail.com</t>
  </si>
  <si>
    <t>iko laundry</t>
  </si>
  <si>
    <t>Jln.papan mas raya tambun selatan</t>
  </si>
  <si>
    <t>081286986164</t>
  </si>
  <si>
    <t>dwilesatari09@gmail.com</t>
  </si>
  <si>
    <t>sahabat laundry / sultan laundry</t>
  </si>
  <si>
    <t>farhan alfatan</t>
  </si>
  <si>
    <t>0821 25008245</t>
  </si>
  <si>
    <t>rabbittank02@gmail.com</t>
  </si>
  <si>
    <t>juragan laundry</t>
  </si>
  <si>
    <t>kp.krajan1 ds.jayamukti kec.banyusari kab.karawang rt03/rw01</t>
  </si>
  <si>
    <t>sahabat laundry/nyonya laundry cariu</t>
  </si>
  <si>
    <t>Fio</t>
  </si>
  <si>
    <t>088213533742</t>
  </si>
  <si>
    <t>nissaholisah915@gmail.com</t>
  </si>
  <si>
    <t>Audrey Laundry Express</t>
  </si>
  <si>
    <t>jl.jatiwangi kp.cibarengkok RT 01 RW 02 Cikarang barat</t>
  </si>
  <si>
    <t>Nabila</t>
  </si>
  <si>
    <t>0895 333545443</t>
  </si>
  <si>
    <t>chingu</t>
  </si>
  <si>
    <t>haji anwar no 10</t>
  </si>
  <si>
    <t>Nalasendja Muhammad</t>
  </si>
  <si>
    <t>0818 0605 7152</t>
  </si>
  <si>
    <t>Cozzy Laundry</t>
  </si>
  <si>
    <t>Jalan Raya Batara</t>
  </si>
  <si>
    <t>Hanes Suharto</t>
  </si>
  <si>
    <t>085714799300</t>
  </si>
  <si>
    <t>bentbiru@gmail.com</t>
  </si>
  <si>
    <t>Hoki Laundry</t>
  </si>
  <si>
    <t>Perum Griya Bukit Jaya Blok H3A No.4Gunung Putri</t>
  </si>
  <si>
    <t>sahabatlaundrybaru@gmail.com</t>
  </si>
  <si>
    <t>sahabat laundry/ceuk mamah laundry</t>
  </si>
  <si>
    <t>ATP Laundry</t>
  </si>
  <si>
    <t>0812 1900 0151</t>
  </si>
  <si>
    <t>atp.laundry1@gmail.com</t>
  </si>
  <si>
    <t>Jalan raya parung aleng rt.03 rw.03 cikeas - sukaraja</t>
  </si>
  <si>
    <t xml:space="preserve">SRI WAHYUNINGSIH </t>
  </si>
  <si>
    <t>0812 1813 9554</t>
  </si>
  <si>
    <t>ayoeni.84@gmail.com</t>
  </si>
  <si>
    <t>waroeng laundry/Cleans laundry</t>
  </si>
  <si>
    <t>Kp. Blok I Ds.simpangan cikarang utara</t>
  </si>
  <si>
    <t>Admin</t>
  </si>
  <si>
    <t>0812 8383 9219</t>
  </si>
  <si>
    <t>Inas Anin Laundry/Inas Anin Laundry</t>
  </si>
  <si>
    <t>Jl. Curug Agung No. 3, RT 6, RW 10</t>
  </si>
  <si>
    <t xml:space="preserve">Fery Yanti </t>
  </si>
  <si>
    <t>0812 1953 5499</t>
  </si>
  <si>
    <t>laundryku5123@gmail.com</t>
  </si>
  <si>
    <t>Laundryku</t>
  </si>
  <si>
    <t>Jl. Pahlwan No. 9A RT 04/03 Cinangka Sawangan Depok</t>
  </si>
  <si>
    <t xml:space="preserve">Get Laundry Villa Pamulang </t>
  </si>
  <si>
    <t>085773459383</t>
  </si>
  <si>
    <t>intanpuspitasari21@gmail.com</t>
  </si>
  <si>
    <t>Get Laundry</t>
  </si>
  <si>
    <t>Villa pamulang jl. pandu 1</t>
  </si>
  <si>
    <t>0818 0845 9470</t>
  </si>
  <si>
    <t>vidinlaundry@yahoo.com</t>
  </si>
  <si>
    <t>VIDIN LAUNDRY</t>
  </si>
  <si>
    <t>Ruko Vidin WaterspringsJl.Benda Raya No.99</t>
  </si>
  <si>
    <t xml:space="preserve">zea_aristya </t>
  </si>
  <si>
    <t>085794097922</t>
  </si>
  <si>
    <t>zea_aristya06@gmail.com</t>
  </si>
  <si>
    <t>laundry/Laundry Susukan</t>
  </si>
  <si>
    <t>DS.susukan tonggoh kec. susukan lebak kab.cirebin</t>
  </si>
  <si>
    <t>Baladewa Laundry/Green Laundry 3</t>
  </si>
  <si>
    <t>Inas Anin Laundry/Inas Anin Laundry #2</t>
  </si>
  <si>
    <t>sahabat laundry/akang cuan laundry</t>
  </si>
  <si>
    <t>Michael setligt</t>
  </si>
  <si>
    <t>085724502934</t>
  </si>
  <si>
    <t>pay2back@gmail.com</t>
  </si>
  <si>
    <t>BeeONE shoes Laundry</t>
  </si>
  <si>
    <t>jl. merkuri utara V no 12 Margahayu Raya</t>
  </si>
  <si>
    <t xml:space="preserve">Hermina putri </t>
  </si>
  <si>
    <t>0813 1587 4471</t>
  </si>
  <si>
    <t>kitalaundryuk@gmail.com</t>
  </si>
  <si>
    <t>Kita Laundrt</t>
  </si>
  <si>
    <t>Harapan indah blok CA no 9b,rt08/rw19,kel pejuang kec medan satria 17131</t>
  </si>
  <si>
    <t xml:space="preserve">Adin </t>
  </si>
  <si>
    <t>081578078296</t>
  </si>
  <si>
    <t>adincayank18@yahoo.com</t>
  </si>
  <si>
    <t>felicia londry/felicia londry</t>
  </si>
  <si>
    <t>Cifest blok AB.49. desa ciantra.</t>
  </si>
  <si>
    <t xml:space="preserve">PA </t>
  </si>
  <si>
    <t>0812 4190 8288</t>
  </si>
  <si>
    <t>IAM LAUNDRY/ IAM LAUNDRY BP</t>
  </si>
  <si>
    <t>komp. Bumi Panyawangan, Jl Puspa Kencana, Cileunyi, kab Bandung, Jawa Barat</t>
  </si>
  <si>
    <t>AL Laundry</t>
  </si>
  <si>
    <t xml:space="preserve">081932366072
</t>
  </si>
  <si>
    <t>AL LAUNDRY</t>
  </si>
  <si>
    <t>jl.alfalah cikaret samping TEGUK</t>
  </si>
  <si>
    <t>sahabat laundry/omah laundry</t>
  </si>
  <si>
    <t>Dion</t>
  </si>
  <si>
    <t>0812 9425 9596</t>
  </si>
  <si>
    <t>catursukmaknt@gmail.com</t>
  </si>
  <si>
    <t>Dokter Cuci Laundry 2</t>
  </si>
  <si>
    <t>Perumnas Bumi telukjambe Blok I No. 63</t>
  </si>
  <si>
    <t>Pribadi Hartono</t>
  </si>
  <si>
    <t>0857 19311968</t>
  </si>
  <si>
    <t>tonifeb1968@gmail.com</t>
  </si>
  <si>
    <t>Wash 2 Clean</t>
  </si>
  <si>
    <t>Ruko Grand Wisata, Jl. Celebration Boulevard AA15 NO 39</t>
  </si>
  <si>
    <t>Baladewa Laundry/Green Laundry 1</t>
  </si>
  <si>
    <t>Yosi</t>
  </si>
  <si>
    <t>081818888705</t>
  </si>
  <si>
    <t>yosikevin597@gmail.com</t>
  </si>
  <si>
    <t>yosi laundry</t>
  </si>
  <si>
    <t>jl.alternatif cibubur no 5 legenda wisata</t>
  </si>
  <si>
    <t>Windi</t>
  </si>
  <si>
    <t>085774875919</t>
  </si>
  <si>
    <t>altha laundry</t>
  </si>
  <si>
    <t>jln .raya situ wanayasa</t>
  </si>
  <si>
    <t xml:space="preserve">Daniel Situmorang </t>
  </si>
  <si>
    <t>0853 7325 5600</t>
  </si>
  <si>
    <t>laundryhara@gmail.com</t>
  </si>
  <si>
    <t>Hara Laundry</t>
  </si>
  <si>
    <t>Jl. Masjid Almuhajirin No.4-1, Cinangka, Kec. Sawangan, Kota Depok, Jawa Barat 16516</t>
  </si>
  <si>
    <t>Monic Laundry/Monic Laundry GG Online</t>
  </si>
  <si>
    <t>Tri Nopik Arjo</t>
  </si>
  <si>
    <t>0851 5645 7261</t>
  </si>
  <si>
    <t>trinopikarjo@gmail.com</t>
  </si>
  <si>
    <t>Faris Laundry</t>
  </si>
  <si>
    <t>Jl. Siaga RT 08 RW 02, Cimandala, Sukaraja, Kab. Bogor</t>
  </si>
  <si>
    <t>Yadi Mulyawarman</t>
  </si>
  <si>
    <t>628982172000</t>
  </si>
  <si>
    <t>y.mulyawarman@gmail.com</t>
  </si>
  <si>
    <t>Ceuk Mamah/Nurul Fattah Laundry Express</t>
  </si>
  <si>
    <t>Ps. Ramertuk</t>
  </si>
  <si>
    <t>0878 2054 1995</t>
  </si>
  <si>
    <t>alfayadhdika20@gmail.com</t>
  </si>
  <si>
    <t>titik balik laundry</t>
  </si>
  <si>
    <t>Jl. HS Ronggo Waluyo, puseurjaya, telukjambe timur kab. karawang Jawa Barat</t>
  </si>
  <si>
    <t>Waroeng Cuci</t>
  </si>
  <si>
    <t>0878 4411 5748</t>
  </si>
  <si>
    <t>Jl. Suhut Hidayat No. 77</t>
  </si>
  <si>
    <t>Claret</t>
  </si>
  <si>
    <t>081297130732</t>
  </si>
  <si>
    <t>Cariu, Wancimekar</t>
  </si>
  <si>
    <t>laundrychat/LaundryChat cab. KANA</t>
  </si>
  <si>
    <t>Bu Sri</t>
  </si>
  <si>
    <t>087834425601</t>
  </si>
  <si>
    <t>KARUNIA</t>
  </si>
  <si>
    <t>Darmaga Regensi 1 Blok B No. 1, 003/009, Balumbang Jaya, Bogor Barat- Kota Bogor 16116.</t>
  </si>
  <si>
    <t>Debora Yan</t>
  </si>
  <si>
    <t>081242083777</t>
  </si>
  <si>
    <t>dekayan41@gmail.com</t>
  </si>
  <si>
    <t>DEBORA LAUNDRY</t>
  </si>
  <si>
    <t>jln mampir barat</t>
  </si>
  <si>
    <t>Arfat Ardiansyah</t>
  </si>
  <si>
    <t>085212339595</t>
  </si>
  <si>
    <t>Aqila's Laundry</t>
  </si>
  <si>
    <t>Jl. Nangka No.5 RT.4 / RW.2 , Sukamaju Baru , Kec.Tapos - Depok</t>
  </si>
  <si>
    <t xml:space="preserve">LAUNDRY KILAT X SPOT CLEAN </t>
  </si>
  <si>
    <t>0819 3995 1312</t>
  </si>
  <si>
    <t>timserviceid@gmail.com</t>
  </si>
  <si>
    <t>Laundry Kilat/Laundry Kilat X Spot Clean</t>
  </si>
  <si>
    <t>Jl. Raya Jatinangor No 02</t>
  </si>
  <si>
    <t xml:space="preserve">Mutia Citra </t>
  </si>
  <si>
    <t>0853 1377 8080</t>
  </si>
  <si>
    <t>mutiacitra@gmail.com</t>
  </si>
  <si>
    <t>Ncuci yuuk!</t>
  </si>
  <si>
    <t>Jl. Burangrang No. 1 Karang Indah</t>
  </si>
  <si>
    <t xml:space="preserve">Rita </t>
  </si>
  <si>
    <t>0813 7308 9449</t>
  </si>
  <si>
    <t>gosokterus.yuk@gmail.com</t>
  </si>
  <si>
    <t>GOSOK TERUS</t>
  </si>
  <si>
    <t>Jl Sukaraja No.069A Ciluar BogorDepan Toko Bangunan Adil Jaya</t>
  </si>
  <si>
    <t>felicia londry/Felicia Laundry #2</t>
  </si>
  <si>
    <t>IAM LAUNDRY/IAM LAUNDRY KAWALUYAAN</t>
  </si>
  <si>
    <t>Laundry Geulis</t>
  </si>
  <si>
    <t>0838 7260 6948</t>
  </si>
  <si>
    <t>laundrygeulis62@gmail.com</t>
  </si>
  <si>
    <t>geulis laundry</t>
  </si>
  <si>
    <t>kapung suka tani dusun cariu timur rt02/rw01</t>
  </si>
  <si>
    <t xml:space="preserve">Muhammad Tri Ariandi </t>
  </si>
  <si>
    <t>0823 8841 4628</t>
  </si>
  <si>
    <t>arianditri@gmail.com</t>
  </si>
  <si>
    <t>AR LAUNDRY</t>
  </si>
  <si>
    <t>Jl. Citanduy Raya No.A.1b-38, simpangan,Kec.Cikarang Utara, Cikarang, Kabupaten Bekasi, Jawa Barat 17530</t>
  </si>
  <si>
    <t>Rinawindiyani</t>
  </si>
  <si>
    <t>0896700571638</t>
  </si>
  <si>
    <t>Faheel Laundry</t>
  </si>
  <si>
    <t>Jalan Raya Laswi Andir Pasir Cina No. 01 Manggahang Rt.04 Rw.04 Kelurahan Manggahang Kecamatan Baleendah</t>
  </si>
  <si>
    <t>Afif</t>
  </si>
  <si>
    <t>087879087274</t>
  </si>
  <si>
    <t>Laundry at Summer</t>
  </si>
  <si>
    <t xml:space="preserve">Tiara Laundry </t>
  </si>
  <si>
    <t>089514695590</t>
  </si>
  <si>
    <t>zsiddiqia@gmail.com</t>
  </si>
  <si>
    <t>Tiara Laundry</t>
  </si>
  <si>
    <t>Jl Mustika Jaya Komplek Mutiara Gading Blok T3 No 38</t>
  </si>
  <si>
    <t xml:space="preserve">Syarif Hidayat </t>
  </si>
  <si>
    <t>081213157445</t>
  </si>
  <si>
    <t>komasnulaundry@gmail.com</t>
  </si>
  <si>
    <t>Kodry/ *KODRY PONPES NURUL HUDA*</t>
  </si>
  <si>
    <t>Jl. Cikarageman Setu, Cikarageman, Kec. Setu, Kabupaten Bekasi, Jawa Barat 17320</t>
  </si>
  <si>
    <t>Agustina Simbolon</t>
  </si>
  <si>
    <t>081399348617</t>
  </si>
  <si>
    <t>Loundry "Qu"</t>
  </si>
  <si>
    <t>Perumahan Citra Swarna Riverside blok A2 no3</t>
  </si>
  <si>
    <t>CUCIQUE LAUNDRY/D'CUCiiN laundry</t>
  </si>
  <si>
    <t>Ceuk Mamah/Ceuk Mamah Doel</t>
  </si>
  <si>
    <t xml:space="preserve">Redhi </t>
  </si>
  <si>
    <t>0852 2888 8236</t>
  </si>
  <si>
    <t>redhikaunang@gmail.com</t>
  </si>
  <si>
    <t>Berkah Laundry &amp; Water</t>
  </si>
  <si>
    <t>Ruko Descada Blok RSC. 16.06 Komplek Segaracity</t>
  </si>
  <si>
    <t xml:space="preserve">Restu Iman suci </t>
  </si>
  <si>
    <t>087843003369</t>
  </si>
  <si>
    <t>rereuci85@gmail.com</t>
  </si>
  <si>
    <t>Deter_gent Laundry/Deter_gent Laundry Bekasi</t>
  </si>
  <si>
    <t>Harapan Jaya 2 Jl. Kapuas No 1</t>
  </si>
  <si>
    <t>Inas Anin Laundry/Andiwash</t>
  </si>
  <si>
    <t xml:space="preserve">Rama Laundry </t>
  </si>
  <si>
    <t>0858 17095236</t>
  </si>
  <si>
    <t>ramalaundry75@gmail.com</t>
  </si>
  <si>
    <t>Rama laundry</t>
  </si>
  <si>
    <t>kelapa 2, Citayam</t>
  </si>
  <si>
    <t>Yogra Clean And Fast</t>
  </si>
  <si>
    <t>0812 77867272</t>
  </si>
  <si>
    <t>yosiamahardinan@gmail.com</t>
  </si>
  <si>
    <t>depok</t>
  </si>
  <si>
    <t>Ariani Ariani</t>
  </si>
  <si>
    <t>081331333122</t>
  </si>
  <si>
    <t>arianiiariani6@gmail.com</t>
  </si>
  <si>
    <t>Madame Clean</t>
  </si>
  <si>
    <t>Cluster the awa by Jagorawi Golf Estate Blok B1 NO 5 Ciriung, Cibinong, Bogor, Jawa Barat 16918</t>
  </si>
  <si>
    <t>Laundryku Laundrymu</t>
  </si>
  <si>
    <t>085312837381</t>
  </si>
  <si>
    <t>Laundry-Ku Laundry-Mu</t>
  </si>
  <si>
    <t>Jl. Masjid Nurul Huda no.126 Tambun Selatan Kab. Bekasi Jawa Barat</t>
  </si>
  <si>
    <t>Asep Sugianto</t>
  </si>
  <si>
    <t>089604590267</t>
  </si>
  <si>
    <t>asepdharto82@gmail.com</t>
  </si>
  <si>
    <t>Akang Laundry</t>
  </si>
  <si>
    <t>Kampung Wirasaba, Cikampek</t>
  </si>
  <si>
    <t xml:space="preserve">riski rahmat </t>
  </si>
  <si>
    <t>0858 93452402</t>
  </si>
  <si>
    <t>laundrycall8@gmail.com</t>
  </si>
  <si>
    <t>laundry call</t>
  </si>
  <si>
    <t>taman dramaga permai 7 M14 no 2</t>
  </si>
  <si>
    <t>Muhammad Fauzan</t>
  </si>
  <si>
    <t>085811744998</t>
  </si>
  <si>
    <t>mhmmdfzn866@gmail.com</t>
  </si>
  <si>
    <t>Laundry Yuk/Rumah Laundry</t>
  </si>
  <si>
    <t xml:space="preserve">Kab. Bogor </t>
  </si>
  <si>
    <t>Ita Bonita sari</t>
  </si>
  <si>
    <t>0858 11000269</t>
  </si>
  <si>
    <t>Wash 2 Clean MGT</t>
  </si>
  <si>
    <t>Jl. Mutiara Gading Timur F2 no 9</t>
  </si>
  <si>
    <t>TWENTY LAUNDRY</t>
  </si>
  <si>
    <t>0812 84661900</t>
  </si>
  <si>
    <t>octhosanbein@gmail.com</t>
  </si>
  <si>
    <t>Jl. Rancabali Wetan No.3</t>
  </si>
  <si>
    <t xml:space="preserve">ella </t>
  </si>
  <si>
    <t>0899 2159508</t>
  </si>
  <si>
    <t>ninaraisa2@gmail.com</t>
  </si>
  <si>
    <t>Nina laundry</t>
  </si>
  <si>
    <t>Jl. Singasari, Karawang Kulon, Kec. Karawang Bar., Karawang, Jawa Barat 41311</t>
  </si>
  <si>
    <t xml:space="preserve">Efa Fauziah </t>
  </si>
  <si>
    <t>0812 87220908</t>
  </si>
  <si>
    <t>fauziahefa93@gmail.com</t>
  </si>
  <si>
    <t>Aksara Q-won Laundry</t>
  </si>
  <si>
    <t>Ruko Cibentang Indah Residence blok AB</t>
  </si>
  <si>
    <t xml:space="preserve">Owner Sawangan </t>
  </si>
  <si>
    <t>0852 19981882</t>
  </si>
  <si>
    <t>ownersawangan88@gmail.com</t>
  </si>
  <si>
    <t>D'Daily Laundry Sawangan</t>
  </si>
  <si>
    <t>Jl. Raya Sawangan No. 36 Pancoran Mas Depok</t>
  </si>
  <si>
    <t>Hilda Yuliani</t>
  </si>
  <si>
    <t>0822 97240654</t>
  </si>
  <si>
    <t>beblaundry.id@gmail.com</t>
  </si>
  <si>
    <t>Beb! Laundry</t>
  </si>
  <si>
    <t>Jl pemuda no 8 , rt04  / rw08, kelurahan depok, kecamatan pancoran mas, 16431</t>
  </si>
  <si>
    <t xml:space="preserve">cinta </t>
  </si>
  <si>
    <t>0812 80190035</t>
  </si>
  <si>
    <t>cintalaundry08@gmail.com</t>
  </si>
  <si>
    <t>cinta laundry</t>
  </si>
  <si>
    <t>jl.bintara 12, bekasi barat</t>
  </si>
  <si>
    <t>Tressya Priatna</t>
  </si>
  <si>
    <t>08161878126</t>
  </si>
  <si>
    <t>tressyapriatna@gmail.com</t>
  </si>
  <si>
    <t>Bless Laundry</t>
  </si>
  <si>
    <t>Jl Gondang cimuning</t>
  </si>
  <si>
    <t>okta</t>
  </si>
  <si>
    <t>085888882169</t>
  </si>
  <si>
    <t>INCESSA LAUNDRY</t>
  </si>
  <si>
    <t>Jl. Raya Perjuangan Bekasi Utara</t>
  </si>
  <si>
    <t>Juragan Loundry</t>
  </si>
  <si>
    <t>085219600433</t>
  </si>
  <si>
    <t>juragan laundry sarimulya</t>
  </si>
  <si>
    <t>jln kolam berenang Tirta Sari RT/RW: 18/08</t>
  </si>
  <si>
    <t xml:space="preserve">Andri Ginanjar </t>
  </si>
  <si>
    <t>081324523749</t>
  </si>
  <si>
    <t>naznazlaundry@gmail.com</t>
  </si>
  <si>
    <t>Naz Naz Laundry</t>
  </si>
  <si>
    <t>Kab. Majalengka</t>
  </si>
  <si>
    <t>Desa Sindangwangi</t>
  </si>
  <si>
    <t xml:space="preserve">Kiki Dwi apriani </t>
  </si>
  <si>
    <t>085219528684</t>
  </si>
  <si>
    <t>procleanlaundry9@gmail.com</t>
  </si>
  <si>
    <t>Proclean laundry</t>
  </si>
  <si>
    <t>Griya Asri 2 Blok E2 No 26 Tambun-Bekasi</t>
  </si>
  <si>
    <t>Kingwash Laundry</t>
  </si>
  <si>
    <t>0857 59158200</t>
  </si>
  <si>
    <t>kingwashlaundry99@gmail.com</t>
  </si>
  <si>
    <t>Jl. Karang Jalak (depan tower)</t>
  </si>
  <si>
    <t>Tini Hendriyani</t>
  </si>
  <si>
    <t>082121762981</t>
  </si>
  <si>
    <t>tinihendriyani@gmail.com</t>
  </si>
  <si>
    <t>juragan laundry pabuaran</t>
  </si>
  <si>
    <t>jln raya pabuaran subang nmr 1</t>
  </si>
  <si>
    <t xml:space="preserve">ponpes tahfidz quran mahasantri </t>
  </si>
  <si>
    <t>0895326107103</t>
  </si>
  <si>
    <t>nurfachri03@gmail.com</t>
  </si>
  <si>
    <t>LAUNDRY WARNA WARNI</t>
  </si>
  <si>
    <t xml:space="preserve">Danny Ralian Soehoed </t>
  </si>
  <si>
    <t>08111043299</t>
  </si>
  <si>
    <t>danny.ralian@gmail.com</t>
  </si>
  <si>
    <t>Mamikha Laundry</t>
  </si>
  <si>
    <t>Pondok Ungu Permai, Sektor 5 Blok M1 No.15, Kelurahan Bahagia, Kecamatan Babelan, Kabupaten Bekasi 17610</t>
  </si>
  <si>
    <t xml:space="preserve">Ira Andriana </t>
  </si>
  <si>
    <t>081294521657</t>
  </si>
  <si>
    <t>iraandriana680@gmail.com</t>
  </si>
  <si>
    <t>Aila Laundry</t>
  </si>
  <si>
    <t>Perumnas Bumi Teluk Jambe</t>
  </si>
  <si>
    <t xml:space="preserve">Arif </t>
  </si>
  <si>
    <t>0895620085200</t>
  </si>
  <si>
    <t>aripkhimlie2@gmail.com</t>
  </si>
  <si>
    <t>Zoom Laundry</t>
  </si>
  <si>
    <t>Kp. Nyangegeng RT/08/04, Desa Cipenjo</t>
  </si>
  <si>
    <t>Laundry Express21</t>
  </si>
  <si>
    <t>085217392033</t>
  </si>
  <si>
    <t>laundry21ekspress@gmail.com</t>
  </si>
  <si>
    <t>Laundry21+</t>
  </si>
  <si>
    <t>Jl Muchtar raya No 8</t>
  </si>
  <si>
    <t>JESSIKA</t>
  </si>
  <si>
    <t>087778345758</t>
  </si>
  <si>
    <t>azizpurbadi5758@gmail.com</t>
  </si>
  <si>
    <t xml:space="preserve">Jessika/Cideng City       </t>
  </si>
  <si>
    <t>jl cideng indah no 131</t>
  </si>
  <si>
    <t xml:space="preserve">Owner Mama laundry </t>
  </si>
  <si>
    <t>082113723399</t>
  </si>
  <si>
    <t>ownermamalaundryjatinangor@gmail.com</t>
  </si>
  <si>
    <t>mama laundry (Owner Mama laundry )</t>
  </si>
  <si>
    <t>jl.raya jatinangor no 186</t>
  </si>
  <si>
    <t xml:space="preserve">sri wahyuni </t>
  </si>
  <si>
    <t>08998071338</t>
  </si>
  <si>
    <t>revika.afsheen2009@gmail.com</t>
  </si>
  <si>
    <t>Revika loundry Express</t>
  </si>
  <si>
    <t>jalan raya wibawa mukti II ,Rt 03 Rw 03 kp.payangan jatisari jatiasih</t>
  </si>
  <si>
    <t>Nurwaningsih nuur</t>
  </si>
  <si>
    <t>08975799958</t>
  </si>
  <si>
    <t>nurwaningsihnuur@gmail.com</t>
  </si>
  <si>
    <t>Nuur laundry</t>
  </si>
  <si>
    <t>jl.kali baru barat</t>
  </si>
  <si>
    <t>Bagus Setiawan</t>
  </si>
  <si>
    <t>081911511687</t>
  </si>
  <si>
    <t>malikhacoinlaundry@gmail.com</t>
  </si>
  <si>
    <t>malikha coin laundry</t>
  </si>
  <si>
    <t>jl pasir jati utama no. 24A samping polsek</t>
  </si>
  <si>
    <t>NATAMA</t>
  </si>
  <si>
    <t>081387422849</t>
  </si>
  <si>
    <t>zakisrg@gmail.com</t>
  </si>
  <si>
    <t>NATAMA LOUNDRY</t>
  </si>
  <si>
    <t>RUKO CRV NO 4 CIOMAS RAHAYU</t>
  </si>
  <si>
    <t>Rumah Laundry Jababeka</t>
  </si>
  <si>
    <t>082277990202</t>
  </si>
  <si>
    <t>cicicuci222@gmail.com</t>
  </si>
  <si>
    <t>Ruko Trace Jababeka, Jl.Dr. Cipto Mangunkusumo No.31 Blok B17 No, Simpangan, Cikarang Utara, Bekasi Regency</t>
  </si>
  <si>
    <t xml:space="preserve">DETI PERMATA SARI </t>
  </si>
  <si>
    <t>081321981676</t>
  </si>
  <si>
    <t>wisnuanharap@gmail.com</t>
  </si>
  <si>
    <t>TILANSA LAUNDRY</t>
  </si>
  <si>
    <t>JL.TERUSAN CIBADUYUT NO.129</t>
  </si>
  <si>
    <t xml:space="preserve">Ayu Widyasari primanda </t>
  </si>
  <si>
    <t>082197946038</t>
  </si>
  <si>
    <t>HAWP LAUNDRY</t>
  </si>
  <si>
    <t>Jln. Kemang Raya RT/RW 02/09 Kel/Kec Sukmajaya</t>
  </si>
  <si>
    <t xml:space="preserve">sopici </t>
  </si>
  <si>
    <t>085773208402</t>
  </si>
  <si>
    <t>zaenablaundry@gmail.com</t>
  </si>
  <si>
    <t>Zaenab Laundry</t>
  </si>
  <si>
    <t>PPC5 klapanunggal</t>
  </si>
  <si>
    <t>Hendriya Binawa</t>
  </si>
  <si>
    <t>082234183413</t>
  </si>
  <si>
    <t>brushandwax@gmail.com</t>
  </si>
  <si>
    <t>BRUSH AND WAX CIKARANG/BRUSH AND WAX</t>
  </si>
  <si>
    <t>Jl. Kasurai VI No 75Jababeka, Cikarang</t>
  </si>
  <si>
    <t>Nurhasanah</t>
  </si>
  <si>
    <t>081213063450</t>
  </si>
  <si>
    <t>Nadzha Laundry</t>
  </si>
  <si>
    <t>Jl ps kecapi, rt 006/rw 013, jatirahayu, kec pondok melati, kota bekasi</t>
  </si>
  <si>
    <t>Alan Syah Rahman</t>
  </si>
  <si>
    <t>085220808518</t>
  </si>
  <si>
    <t>alansyahrahman22@gmail.com</t>
  </si>
  <si>
    <t>86 LAUNDRY</t>
  </si>
  <si>
    <t>JL. LETDA NATSIR KP. TLAJUNG RT 02 RW 9,CIKEAS UDIK BOGOR</t>
  </si>
  <si>
    <t xml:space="preserve">Mona </t>
  </si>
  <si>
    <t>Proclean laundry/clean laundry</t>
  </si>
  <si>
    <t xml:space="preserve">rizky dwi apriani </t>
  </si>
  <si>
    <t>082111392020</t>
  </si>
  <si>
    <t>hhdberry@gmail.com</t>
  </si>
  <si>
    <t>Proclean Laundry</t>
  </si>
  <si>
    <t>Griya Asri 2 Blok E 2 No 26</t>
  </si>
  <si>
    <t>retno widya</t>
  </si>
  <si>
    <t>081213906686</t>
  </si>
  <si>
    <t>adalaundry88@gmail.com</t>
  </si>
  <si>
    <t>ada laundry</t>
  </si>
  <si>
    <t>jl lurah namat no.12 Jatirangga Jatisampurna Bekasi17434</t>
  </si>
  <si>
    <t>Al Haadi</t>
  </si>
  <si>
    <t>0811204800</t>
  </si>
  <si>
    <t>Bucintest laundry/Bucin Laundry</t>
  </si>
  <si>
    <t>Inhoftank</t>
  </si>
  <si>
    <t>OWNER</t>
  </si>
  <si>
    <t>085776896504</t>
  </si>
  <si>
    <t>Amanda Laundry</t>
  </si>
  <si>
    <t>kp kamurang rt001 rw001</t>
  </si>
  <si>
    <t>ikem manangkot</t>
  </si>
  <si>
    <t>081318738440</t>
  </si>
  <si>
    <t>kemri1981@gmail.com</t>
  </si>
  <si>
    <t>D'DAILY LAUNDRY</t>
  </si>
  <si>
    <t>Jl Merdeka blok Aa no.22 D Depok 2 Timur.</t>
  </si>
  <si>
    <t xml:space="preserve">Lazy Laundry </t>
  </si>
  <si>
    <t>081295959716</t>
  </si>
  <si>
    <t>lazylaundryindonesia@gmail.com</t>
  </si>
  <si>
    <t>Lazy Laundry</t>
  </si>
  <si>
    <t>Jalan Raya Cibanteng No.27 RT. 003 RW. 001, Ciampea, Kabupaten Bogor</t>
  </si>
  <si>
    <t xml:space="preserve">Juragan Loundry </t>
  </si>
  <si>
    <t>juragan laundry sarimulya/nyonya laundry Cikampek barat</t>
  </si>
  <si>
    <t xml:space="preserve">Ibu Sri wahyuningsih </t>
  </si>
  <si>
    <t>0881010838854</t>
  </si>
  <si>
    <t>narulyssaving@gmail.com</t>
  </si>
  <si>
    <t>laundrylabs</t>
  </si>
  <si>
    <t>jl karang tineung dalam no. 105 RT 05 RW 05</t>
  </si>
  <si>
    <t>ryanna anggiyanto</t>
  </si>
  <si>
    <t>085860007556</t>
  </si>
  <si>
    <t>anggibondan45@gmail.com</t>
  </si>
  <si>
    <t>dewi laundry</t>
  </si>
  <si>
    <t>jl.kramat  pondok petir rt03 rw 02</t>
  </si>
  <si>
    <t>Alfiyani Aulia putri 005</t>
  </si>
  <si>
    <t>085218297944</t>
  </si>
  <si>
    <t>D Clean Laundry</t>
  </si>
  <si>
    <t>jl. Hs ronggowaluyo desa peuserjaya karawang timur jawa barat</t>
  </si>
  <si>
    <t xml:space="preserve">Vey </t>
  </si>
  <si>
    <t>081322214424</t>
  </si>
  <si>
    <t>qweenlaundry8@gmail.com</t>
  </si>
  <si>
    <t>Qween Laundry</t>
  </si>
  <si>
    <t>jalan RH Umar rt001/rw018jalan Baru Kp utan ceger jakasetia bekasi selatan</t>
  </si>
  <si>
    <t>Agung Septiadi Sangaji</t>
  </si>
  <si>
    <t>085697259599</t>
  </si>
  <si>
    <t>tempatlaundry01@gmail.com</t>
  </si>
  <si>
    <t>Tempat Laundry</t>
  </si>
  <si>
    <t>Jl. Ketapang Raya DD38 No.10, RT.008/RW.001. Pekayon Jaya, Kec. Bekasi Selatan, Kota Bekasi</t>
  </si>
  <si>
    <t>Wiwin Bunda Yuki</t>
  </si>
  <si>
    <t>081806002784</t>
  </si>
  <si>
    <t>Yuki Laundry</t>
  </si>
  <si>
    <t>Jl. Mbah Jangkung Kp. Panjalin RT.02/RW.01, Pasir Sari</t>
  </si>
  <si>
    <t>Angelia Vonny</t>
  </si>
  <si>
    <t>081808890321</t>
  </si>
  <si>
    <t>klaundrykarawang@gmail.com</t>
  </si>
  <si>
    <t xml:space="preserve">K Laundry and Dry Clean	</t>
  </si>
  <si>
    <t>Jl. Arteri Galuhmas Peruri, Ruko Teras Blok 9C, No. 2</t>
  </si>
  <si>
    <t>Reni Setiani</t>
  </si>
  <si>
    <t>089602516179</t>
  </si>
  <si>
    <t>fazri laundry</t>
  </si>
  <si>
    <t>dusun kaum jaya RT 09/04</t>
  </si>
  <si>
    <t xml:space="preserve">NABIL </t>
  </si>
  <si>
    <t>085772002656</t>
  </si>
  <si>
    <t>myusuprickyhartawan@yahoo.com</t>
  </si>
  <si>
    <t>N&amp;N Laundry</t>
  </si>
  <si>
    <t>jl pringgondani</t>
  </si>
  <si>
    <t xml:space="preserve">Ratih Kemala </t>
  </si>
  <si>
    <t>08158769841</t>
  </si>
  <si>
    <t>brushandwaxpekapuran@gmail.com</t>
  </si>
  <si>
    <t>Brush And Wax Pekapuran</t>
  </si>
  <si>
    <t>Jl Pekapuran No 113</t>
  </si>
  <si>
    <t>juragan laundry sarimulya/juragan pawarengan</t>
  </si>
  <si>
    <t>pawarengan dpn bebek jambak</t>
  </si>
  <si>
    <t>Yanti Sulastry</t>
  </si>
  <si>
    <t>08888413675</t>
  </si>
  <si>
    <t>yantisulastry87@gmail.com</t>
  </si>
  <si>
    <t>FAHRY LAUNDRY</t>
  </si>
  <si>
    <t>puri nirwana residencejl.gading IIblok QG no.04</t>
  </si>
  <si>
    <t>Ervi Dirnawulan</t>
  </si>
  <si>
    <t>08197901990</t>
  </si>
  <si>
    <t>momo90.laundry@gmail.com</t>
  </si>
  <si>
    <t>Momo Laundry</t>
  </si>
  <si>
    <t>Jalan Roda Pembangunan No. 52</t>
  </si>
  <si>
    <t>Maya Yovita</t>
  </si>
  <si>
    <t>081311262631</t>
  </si>
  <si>
    <t>sporalaundry@gmail.com</t>
  </si>
  <si>
    <t>spora</t>
  </si>
  <si>
    <t>Jl. Bojong Menteng, RT 04/RW 06 Pasir Kuda</t>
  </si>
  <si>
    <t xml:space="preserve">Silaundry </t>
  </si>
  <si>
    <t>082228999109</t>
  </si>
  <si>
    <t>silaundry.id@gmail.com</t>
  </si>
  <si>
    <t>SILAUNDRY</t>
  </si>
  <si>
    <t>Jl Raya Cisauk</t>
  </si>
  <si>
    <t>F&amp;N</t>
  </si>
  <si>
    <t>087838009802</t>
  </si>
  <si>
    <t>muhammadnabilhidayat371@gmail.com</t>
  </si>
  <si>
    <t>JL KEDIRI V NO. 284</t>
  </si>
  <si>
    <t>Owner</t>
  </si>
  <si>
    <t>081398971968</t>
  </si>
  <si>
    <t>titik balik laundry/kenwa laundry 2</t>
  </si>
  <si>
    <t>juragan laundry sarimulya/deuh'Gemoy</t>
  </si>
  <si>
    <t>pawarengan dpn masjid Baitul rohim</t>
  </si>
  <si>
    <t xml:space="preserve">Habli </t>
  </si>
  <si>
    <t>081310860320</t>
  </si>
  <si>
    <t>Tendi Laundry</t>
  </si>
  <si>
    <t xml:space="preserve">Kab. Bandung </t>
  </si>
  <si>
    <t>Jl. Adipati Agung No 25B, Baleendah</t>
  </si>
  <si>
    <t>banyu sagara</t>
  </si>
  <si>
    <t>081572846773</t>
  </si>
  <si>
    <t>Banyu Sagara/BANYU SAGARA</t>
  </si>
  <si>
    <t>jl.anwar no 10</t>
  </si>
  <si>
    <t>Tita Herliana</t>
  </si>
  <si>
    <t>085220735260</t>
  </si>
  <si>
    <t>Delta Laundry/DELTA LAUNDRY</t>
  </si>
  <si>
    <t>Jl. Ismaya, Cinere, Kota Depok.</t>
  </si>
  <si>
    <t xml:space="preserve">Dewi </t>
  </si>
  <si>
    <t>085141537474</t>
  </si>
  <si>
    <t>bestlaundry0580@gmail.com</t>
  </si>
  <si>
    <t>BEST LAUNDRY</t>
  </si>
  <si>
    <t>Jl.H.Adih</t>
  </si>
  <si>
    <t>085861399970</t>
  </si>
  <si>
    <t>CUCIQUE LAUNDRY/CUCIQUE LAUNDRY 2</t>
  </si>
  <si>
    <t>Yanti2024</t>
  </si>
  <si>
    <t>087822766293</t>
  </si>
  <si>
    <t>yantiraffa994@gmail.com</t>
  </si>
  <si>
    <t>laundry/Delis'Laundry</t>
  </si>
  <si>
    <t>Jl.Cihampelas Gg swadaya IV No.56/25B RT.10 Rw.02 Bandung</t>
  </si>
  <si>
    <t>290</t>
  </si>
  <si>
    <t>Laundry Neng gemoy</t>
  </si>
  <si>
    <t>085210865593</t>
  </si>
  <si>
    <t>budisantosori24@gmail.com</t>
  </si>
  <si>
    <t>Eneng gemoy/LAUNDRY ENENG GEMOY</t>
  </si>
  <si>
    <t>jln alternatif cigelam bicsamping SDN 1 cigelam</t>
  </si>
  <si>
    <t>Fee Abdul</t>
  </si>
  <si>
    <t>081219535499</t>
  </si>
  <si>
    <t>Laundryku/Laundry-Ku Pondok Petir</t>
  </si>
  <si>
    <t>Jl. Terusan H.Nawi Malik Serua - Pondok Petir</t>
  </si>
  <si>
    <t>felicia londry/Felicia_ksb</t>
  </si>
  <si>
    <t>Jln Raya Perum KSB, Blok C71, No. 22.</t>
  </si>
  <si>
    <t xml:space="preserve">Sophia </t>
  </si>
  <si>
    <t>08119966374</t>
  </si>
  <si>
    <t>sophia.alphons@gmail.com</t>
  </si>
  <si>
    <t>SOFT LAUNDRY</t>
  </si>
  <si>
    <t>Jl. Panggung Raya,Kompl.AL,Jatibening</t>
  </si>
  <si>
    <t>AMANDA LAUNDRY 2</t>
  </si>
  <si>
    <t>087841295896</t>
  </si>
  <si>
    <t>Amandalaundry3@gmail.com</t>
  </si>
  <si>
    <t>Amanda laundry</t>
  </si>
  <si>
    <t>JL.Ratna Gg H.Nelin Rt 004/001 Depan Smk Insan mulia/TK Nurul Ikhsan</t>
  </si>
  <si>
    <t>295</t>
  </si>
  <si>
    <t xml:space="preserve">Ahmad N </t>
  </si>
  <si>
    <t>085133841814</t>
  </si>
  <si>
    <t>Kamila Laundry</t>
  </si>
  <si>
    <t>Jl. Abdul Wahab No 64</t>
  </si>
  <si>
    <t xml:space="preserve">Mom's Laundry </t>
  </si>
  <si>
    <t>081213800977</t>
  </si>
  <si>
    <t>Mom's Laundry</t>
  </si>
  <si>
    <t>JL GURAME RAYA PERUMNAS 1 BEKASI</t>
  </si>
  <si>
    <t>Mico Virdianto</t>
  </si>
  <si>
    <t>081336127609</t>
  </si>
  <si>
    <t>mililaundry1@gmail.com</t>
  </si>
  <si>
    <t>Mili Laundry</t>
  </si>
  <si>
    <t>Kp. Tambun Rt.003 Rw.002</t>
  </si>
  <si>
    <t>Alus Laundry</t>
  </si>
  <si>
    <t>081460234089</t>
  </si>
  <si>
    <t>aluslaundry1@gmail.com</t>
  </si>
  <si>
    <t>jl. Cibaduyut raya no. 39</t>
  </si>
  <si>
    <t>299</t>
  </si>
  <si>
    <t>081952480222</t>
  </si>
  <si>
    <r>
      <rPr>
        <rFont val="Calibri"/>
        <color rgb="FF1155CC"/>
        <sz val="9.0"/>
        <u/>
      </rPr>
      <t>cucisikat.id/Laundry</t>
    </r>
    <r>
      <rPr>
        <rFont val="Calibri"/>
        <sz val="9.0"/>
      </rPr>
      <t xml:space="preserve"> Cucisikat</t>
    </r>
  </si>
  <si>
    <t>Rawalumbu jembatan 9</t>
  </si>
  <si>
    <t>300</t>
  </si>
  <si>
    <t>Juwita marsa</t>
  </si>
  <si>
    <t>082226668597</t>
  </si>
  <si>
    <t>marshajuwita5@gmail.com</t>
  </si>
  <si>
    <t>J.clean laundry</t>
  </si>
  <si>
    <t>jln.mitra batik pas lampu merah mitra batik</t>
  </si>
  <si>
    <t>301</t>
  </si>
  <si>
    <t xml:space="preserve">Numa Laundry </t>
  </si>
  <si>
    <t>0881011124378</t>
  </si>
  <si>
    <t>numalaundry11@gmail.com</t>
  </si>
  <si>
    <t>Numa Laundry</t>
  </si>
  <si>
    <t>Jl. Masjid Al Faruq No.3</t>
  </si>
  <si>
    <t>302</t>
  </si>
  <si>
    <t>juragan laundry sarimulya/Gemoy kampung baru</t>
  </si>
  <si>
    <t>dpn masjid Darussalam</t>
  </si>
  <si>
    <t>303</t>
  </si>
  <si>
    <t>juragan laundry sarimulya/Bali laundry</t>
  </si>
  <si>
    <t>Dpn tokma Cikampek utara</t>
  </si>
  <si>
    <t>304</t>
  </si>
  <si>
    <t>juragan laundry sarimulya/gemoy 2 kampung baru</t>
  </si>
  <si>
    <t>305</t>
  </si>
  <si>
    <t>081110590999</t>
  </si>
  <si>
    <t>bblpop.laundry@gmail.com</t>
  </si>
  <si>
    <t>Bubblepop Laundry</t>
  </si>
  <si>
    <t>Jl Dipatiukur No 48/60</t>
  </si>
  <si>
    <t>306</t>
  </si>
  <si>
    <t xml:space="preserve">Blue Laundry </t>
  </si>
  <si>
    <t>087742213308</t>
  </si>
  <si>
    <t>bluelaundry4@gmail.com</t>
  </si>
  <si>
    <t>Blue Laundry</t>
  </si>
  <si>
    <t>Jl. H dehir RT 01 RW 02 kp pedurenan, kel jatiluhur kec jatiasih kota bekasi</t>
  </si>
  <si>
    <t>307</t>
  </si>
  <si>
    <t xml:space="preserve">Famiti Nuya </t>
  </si>
  <si>
    <t>08129535977</t>
  </si>
  <si>
    <t>nuya.famiti@gmail.com</t>
  </si>
  <si>
    <t>MAMA LAUNDRY</t>
  </si>
  <si>
    <t>Jln. Setia IIA Rt. 007/04 No. 53 Jatiwaringin , Pondok Gede ,Bekasi</t>
  </si>
  <si>
    <t>308</t>
  </si>
  <si>
    <t xml:space="preserve">karina </t>
  </si>
  <si>
    <t>085880308448</t>
  </si>
  <si>
    <t>karinaagustien@gmail.com</t>
  </si>
  <si>
    <t>K &amp; A Laundry</t>
  </si>
  <si>
    <t>Jl H Ibrohim</t>
  </si>
  <si>
    <t>309</t>
  </si>
  <si>
    <t>NAZ LAUNDRY/APIC Laundry</t>
  </si>
  <si>
    <t>Jln. Cipagadungan Raya No. 156</t>
  </si>
  <si>
    <t>310</t>
  </si>
  <si>
    <t xml:space="preserve">Annisa Vikasari </t>
  </si>
  <si>
    <t>087821908147</t>
  </si>
  <si>
    <t>Solusi Nyuci Laundry/Solusi Nyuci Laundry Derwati</t>
  </si>
  <si>
    <t>Jl. Raya Derwati No 129</t>
  </si>
  <si>
    <t>311</t>
  </si>
  <si>
    <t xml:space="preserve">Alif Muhamad Yusuf </t>
  </si>
  <si>
    <t>0895704800801</t>
  </si>
  <si>
    <t>alifmuhamadyusuf009@gmail.com</t>
  </si>
  <si>
    <t>4pelangi laundri</t>
  </si>
  <si>
    <t>jln.raya Laswi Andir pasir cina no.01 RT 04/RW 06 manggahang</t>
  </si>
  <si>
    <t>312</t>
  </si>
  <si>
    <t xml:space="preserve">Asep Sugianto </t>
  </si>
  <si>
    <t>Akang Laundry/Akang Laundry 2</t>
  </si>
  <si>
    <t>313</t>
  </si>
  <si>
    <t>malikha coin laundry/b&amp;d laundry</t>
  </si>
  <si>
    <t>314</t>
  </si>
  <si>
    <t xml:space="preserve">cacang supriatna </t>
  </si>
  <si>
    <t>08164807733</t>
  </si>
  <si>
    <t>BTR 3 Ruko Garnet 2 No 15ABekasi Timur</t>
  </si>
  <si>
    <t>315</t>
  </si>
  <si>
    <t>316</t>
  </si>
  <si>
    <t xml:space="preserve">maya </t>
  </si>
  <si>
    <t>085779583033</t>
  </si>
  <si>
    <t>mayasriwardani9@gmail.com</t>
  </si>
  <si>
    <t>Cemara Laundry</t>
  </si>
  <si>
    <t>perum bwi 2 blok b2 no 31, gang melati</t>
  </si>
  <si>
    <t>317</t>
  </si>
  <si>
    <t xml:space="preserve">KEVIN JAYA SAPUTRA JAMUR </t>
  </si>
  <si>
    <t>085724591167</t>
  </si>
  <si>
    <t>sevenslaundry7@hotmail.com</t>
  </si>
  <si>
    <t>SEVEN's LAUNDRY</t>
  </si>
  <si>
    <t>Jl. Raya Sirkuit Sentul No.4, RT.3/RW.1, Sentul, Kec. Babakan Madang, Kabupaten Bogor, Jawa Barat 16810</t>
  </si>
  <si>
    <t>318</t>
  </si>
  <si>
    <t>Widia Septiana</t>
  </si>
  <si>
    <t>082310955716</t>
  </si>
  <si>
    <t>widyanana2312@gmail.com</t>
  </si>
  <si>
    <t>WIRA LAUNDRY</t>
  </si>
  <si>
    <t>Pangkalanjati Baru, Jl. Cilobak No.17 Rt. 02/01, Pangkalan Jati, Kec. Cinere, Kota Depok, Jawa Barat 16513</t>
  </si>
  <si>
    <t>319</t>
  </si>
  <si>
    <t>QueenHome Laundry</t>
  </si>
  <si>
    <t>087777989870</t>
  </si>
  <si>
    <t>queenhome611@gmail.com</t>
  </si>
  <si>
    <t>Queen Home Laundry/Queen Laundry</t>
  </si>
  <si>
    <t>Apartment Jarrdin Cihampelas Ko b02 ( Queen Home)</t>
  </si>
  <si>
    <t>320</t>
  </si>
  <si>
    <t>Adin</t>
  </si>
  <si>
    <t>felicia londry/Felicia_BCM</t>
  </si>
  <si>
    <t>321</t>
  </si>
  <si>
    <t xml:space="preserve">Audrey laundry </t>
  </si>
  <si>
    <t>0881024739076</t>
  </si>
  <si>
    <t>Audrey laundry</t>
  </si>
  <si>
    <t>jalan Jatiwangi kp cibarengkok Rt/RW 001/002 kec Cikarang barat</t>
  </si>
  <si>
    <t>322</t>
  </si>
  <si>
    <t xml:space="preserve">Oray Laundry </t>
  </si>
  <si>
    <t>0895384172353</t>
  </si>
  <si>
    <t>Oray laundry</t>
  </si>
  <si>
    <t>jln prabu geusan ulun no 194, regol wetan , sumedang 45311</t>
  </si>
  <si>
    <t>323</t>
  </si>
  <si>
    <t>Queen Laundry</t>
  </si>
  <si>
    <t>085716368669</t>
  </si>
  <si>
    <t>queenlaundry90@gmail.com</t>
  </si>
  <si>
    <t>jln Mashudi No. 17 RT 001 RW 003 Kp Krajan Desa Pucung Kec. Kotabaru Kab. Karawang Jawa barat 41374</t>
  </si>
  <si>
    <t>324</t>
  </si>
  <si>
    <t xml:space="preserve">Yulianingsih </t>
  </si>
  <si>
    <t>085691113009</t>
  </si>
  <si>
    <t>rikayulimitratri@gmail.com</t>
  </si>
  <si>
    <t>KMM Laundry</t>
  </si>
  <si>
    <t>perumahan Cibiru Cikarang</t>
  </si>
  <si>
    <t>325</t>
  </si>
  <si>
    <t>WIRA LAUNDRY/Wira Laundry Priuk</t>
  </si>
  <si>
    <t>326</t>
  </si>
  <si>
    <t xml:space="preserve">Tri Martini </t>
  </si>
  <si>
    <t>081517851294</t>
  </si>
  <si>
    <t>trimartiniloundry@gmail.com</t>
  </si>
  <si>
    <t>loundry/Octo loundry</t>
  </si>
  <si>
    <t>jl raya keadilan</t>
  </si>
  <si>
    <t>327</t>
  </si>
  <si>
    <t>Aqila's Laundry/Aqila's Laundry 2</t>
  </si>
  <si>
    <t>329</t>
  </si>
  <si>
    <t>Nonyx</t>
  </si>
  <si>
    <t>082242025101</t>
  </si>
  <si>
    <t>nonykonys@gmail.com</t>
  </si>
  <si>
    <t>Roemah laundry/Rumah Laundry PP</t>
  </si>
  <si>
    <t>330</t>
  </si>
  <si>
    <t>Amelia</t>
  </si>
  <si>
    <t>08568430456</t>
  </si>
  <si>
    <t>amelia.ginting86@yahoo.com</t>
  </si>
  <si>
    <t>Taman Sentosa Blok i1 No. 33A</t>
  </si>
  <si>
    <t>328</t>
  </si>
  <si>
    <t xml:space="preserve">Admin Nena </t>
  </si>
  <si>
    <t>082311000688</t>
  </si>
  <si>
    <t>nenalaundry@gmail.com</t>
  </si>
  <si>
    <t>Nena Laundry</t>
  </si>
  <si>
    <t>jl. cemara no. 1. Perumahan Komp IPB I Loji Bogor</t>
  </si>
  <si>
    <t>Caroline</t>
  </si>
  <si>
    <t>085211487880</t>
  </si>
  <si>
    <t>agusnagisha@gmail.com</t>
  </si>
  <si>
    <t>GREEN LAUNDRY/Green Laundry</t>
  </si>
  <si>
    <t>jalan majalaya raya Krajan 2 bengle klari karawang timur</t>
  </si>
  <si>
    <t>Owner Mama laundry</t>
  </si>
  <si>
    <t>081717175658</t>
  </si>
  <si>
    <t>mama laundry/168 Laundry</t>
  </si>
  <si>
    <t>jl jatinangor raya 101</t>
  </si>
  <si>
    <t>331</t>
  </si>
  <si>
    <t xml:space="preserve">M nazwar taufik </t>
  </si>
  <si>
    <t>081225262709</t>
  </si>
  <si>
    <t>9thlaundrytajur@gmail.com</t>
  </si>
  <si>
    <t>9'th Laundry</t>
  </si>
  <si>
    <t>jl.muara Tegal RT.01/RW.01, desa Sindangrasa</t>
  </si>
  <si>
    <t>332</t>
  </si>
  <si>
    <t xml:space="preserve">Tita Sugihartati </t>
  </si>
  <si>
    <t>082217797971</t>
  </si>
  <si>
    <t>sugihartatitita354@gmail.com</t>
  </si>
  <si>
    <t>OMG Laundry/OMG Laundry</t>
  </si>
  <si>
    <t>333</t>
  </si>
  <si>
    <t>OMG Laundry/OMG Laundry BRP-Bojong</t>
  </si>
  <si>
    <t>Bumi Resik Panglayungan-Bojong</t>
  </si>
  <si>
    <t>334</t>
  </si>
  <si>
    <t>Rizky Cahya Amellin</t>
  </si>
  <si>
    <t>081328341343</t>
  </si>
  <si>
    <t>kliklaundry24@gmail.com</t>
  </si>
  <si>
    <t>Klik Laundry</t>
  </si>
  <si>
    <t>Jalan Ciherang Raya Depan Gang Buntu, Seberang Warkop Pasundan</t>
  </si>
  <si>
    <t>335</t>
  </si>
  <si>
    <t>yndra</t>
  </si>
  <si>
    <t>08122223712</t>
  </si>
  <si>
    <t>delakedai@gmail.com</t>
  </si>
  <si>
    <t>GEAN LAUNDRY</t>
  </si>
  <si>
    <t>ruko hana bussines BVO01-27</t>
  </si>
  <si>
    <t>336</t>
  </si>
  <si>
    <t xml:space="preserve">Yulie Romdanie Ajeng Ariyanie </t>
  </si>
  <si>
    <t>082298027112</t>
  </si>
  <si>
    <t>Mylaundry</t>
  </si>
  <si>
    <t>kampung pabuaran Rt003/01 no101 kel.cimuning kec.mustika jaya.kota bekasi. kode pos 17155</t>
  </si>
  <si>
    <t>337</t>
  </si>
  <si>
    <t>Agung Gunawan</t>
  </si>
  <si>
    <t>083899290378</t>
  </si>
  <si>
    <t>gunawanindonesia92@gmail.com</t>
  </si>
  <si>
    <t>guns laundry/GUNS LAUNDRY</t>
  </si>
  <si>
    <t>Jl. MT Haryono 005/008 Ciledug</t>
  </si>
  <si>
    <t>338</t>
  </si>
  <si>
    <t xml:space="preserve">Asih Jaya </t>
  </si>
  <si>
    <t>081284104680</t>
  </si>
  <si>
    <t>asihjaya13@gmail.com</t>
  </si>
  <si>
    <t>SAUDARA LAUNDRY</t>
  </si>
  <si>
    <t>Kp. Tunggilis</t>
  </si>
  <si>
    <t>339</t>
  </si>
  <si>
    <t>Fyns Laundry</t>
  </si>
  <si>
    <t>082258525687</t>
  </si>
  <si>
    <t>fynslaundry1.8@gmail.com</t>
  </si>
  <si>
    <t>FYNS LAUNDRY</t>
  </si>
  <si>
    <t>Villa Nusa Indah, Jl. Wijaya Kusuma B No.195, RT.003/RW.012, Pekayon Jaya, Kec. Bekasi Selatan,. Kota Bks, Jawa Barat 17147</t>
  </si>
  <si>
    <t>340</t>
  </si>
  <si>
    <t xml:space="preserve">nuranura </t>
  </si>
  <si>
    <t>082320655655</t>
  </si>
  <si>
    <t>nuraammonia@gmail.com</t>
  </si>
  <si>
    <t>Laundry/Ruang Laundry Cikopak</t>
  </si>
  <si>
    <t>jl alternative bukit indah no 11, mulyamekar Purwakarta, kec babakancikao kab Purwakarta, Jawabarat, 41115</t>
  </si>
  <si>
    <t>341</t>
  </si>
  <si>
    <t>TaWash</t>
  </si>
  <si>
    <t>085137908401</t>
  </si>
  <si>
    <t>tawashtal@gmail.com</t>
  </si>
  <si>
    <t>TAWASH</t>
  </si>
  <si>
    <t>jalan rajabrana Curug Tapos, Curug, kec Cimanggis, kota Depok, Jawa barat.</t>
  </si>
  <si>
    <t>342</t>
  </si>
  <si>
    <t xml:space="preserve">Yadi </t>
  </si>
  <si>
    <t>081296263373</t>
  </si>
  <si>
    <t>yadisuryadi.epro@gmail.com</t>
  </si>
  <si>
    <t>MAMY Laundry/MAMI LAUNDRY</t>
  </si>
  <si>
    <t>cinangka</t>
  </si>
  <si>
    <t>343</t>
  </si>
  <si>
    <t>Diah</t>
  </si>
  <si>
    <t>081283704904</t>
  </si>
  <si>
    <t>pdlaundry48@gmail.com</t>
  </si>
  <si>
    <t>PD Laundry Express/PD Laundry Express</t>
  </si>
  <si>
    <t>Perum Grand Cikarang CityBlok G41/14ACikarang Utara - Bekasi</t>
  </si>
  <si>
    <t>344</t>
  </si>
  <si>
    <t>syndicate.shoesclean</t>
  </si>
  <si>
    <t>08988884712</t>
  </si>
  <si>
    <t>Syndicate shoes clean/Syndicate shoes clean</t>
  </si>
  <si>
    <t>jln.kol ediyoso martadipura pakansari cibinong bogor 16915</t>
  </si>
  <si>
    <t>345</t>
  </si>
  <si>
    <t>Nur Fadhillah Octavia</t>
  </si>
  <si>
    <t>08978979866</t>
  </si>
  <si>
    <t>seravisual@gmail.com</t>
  </si>
  <si>
    <t>Sera Laundry/Sera Laundry</t>
  </si>
  <si>
    <t>Jl.Raya Pasir Putih</t>
  </si>
  <si>
    <t>346</t>
  </si>
  <si>
    <t xml:space="preserve">Mentari Laundry 001 </t>
  </si>
  <si>
    <t>081315875977</t>
  </si>
  <si>
    <t>mentari.laundry001@gmail.com</t>
  </si>
  <si>
    <t xml:space="preserve">Mentari Laundry/Mentari Laundry </t>
  </si>
  <si>
    <t>Jl. Ki Mangun Sarkoro</t>
  </si>
  <si>
    <t>347</t>
  </si>
  <si>
    <t xml:space="preserve">WINARYO </t>
  </si>
  <si>
    <t>083846214855</t>
  </si>
  <si>
    <t>oviamerlin34@gmail.com</t>
  </si>
  <si>
    <t>MADONA LAUNDRY/Counter : V M C</t>
  </si>
  <si>
    <t>Jl. Boulevard Vila Mutiara Cinere No.9</t>
  </si>
  <si>
    <t>348</t>
  </si>
  <si>
    <t>CuCumbah Laundry</t>
  </si>
  <si>
    <t>082120006502</t>
  </si>
  <si>
    <t>raisha.050918@gmail.com</t>
  </si>
  <si>
    <t>Cucumbah Laundry/Cucumbah Laundry</t>
  </si>
  <si>
    <t>jl.Gamprit Raya no 10 Jatiwaringin -Pondok gede kota Bekasi</t>
  </si>
  <si>
    <t>349</t>
  </si>
  <si>
    <t>NAZ LAUNDRY/Air Laundri</t>
  </si>
  <si>
    <t>Kp Rawasentul</t>
  </si>
  <si>
    <t>350</t>
  </si>
  <si>
    <t>Ricki Kurniawan</t>
  </si>
  <si>
    <t>082125594599</t>
  </si>
  <si>
    <t>klaundry26@gmail.com</t>
  </si>
  <si>
    <t>K Laundry/K Laundry</t>
  </si>
  <si>
    <t>Kemang View Apartment Tower Flamboyan GF No.19</t>
  </si>
  <si>
    <t>351</t>
  </si>
  <si>
    <t>yenni lim</t>
  </si>
  <si>
    <t>082298008080</t>
  </si>
  <si>
    <t>Momo Laundry/Momo Laundry</t>
  </si>
  <si>
    <t>perum. Griya alam sentosa Blok D5 no.1</t>
  </si>
  <si>
    <t>352</t>
  </si>
  <si>
    <t xml:space="preserve">Shalwa Laundry </t>
  </si>
  <si>
    <t>08561991225</t>
  </si>
  <si>
    <t>shalwalaundry@gmail.com</t>
  </si>
  <si>
    <t>Shalwa Laundry &amp; Dry Cleaning/Shalwa Laundry &amp; Dry Cleaning</t>
  </si>
  <si>
    <t>Selang Bulak Cibitung</t>
  </si>
  <si>
    <t>353</t>
  </si>
  <si>
    <t>Endah kumalasari</t>
  </si>
  <si>
    <t>08128653102</t>
  </si>
  <si>
    <t>ummuibrohim11@gmail.com</t>
  </si>
  <si>
    <t>ummu laundry/ummu laundry</t>
  </si>
  <si>
    <t>Ruko Pinangsia blkk b no.22 graha asri samping Indomaret jl Citanduy raya</t>
  </si>
  <si>
    <t>354</t>
  </si>
  <si>
    <t>Puput</t>
  </si>
  <si>
    <t>082220609045</t>
  </si>
  <si>
    <t>laundrynyaalmahyra@gmail.com</t>
  </si>
  <si>
    <t>Almahyra Laundry/Almahyra Laundry</t>
  </si>
  <si>
    <t>Jl Cinere Raya no 202</t>
  </si>
  <si>
    <t>355</t>
  </si>
  <si>
    <t>085775757628</t>
  </si>
  <si>
    <t>Happy Laundry/Zona Laundry - PHR</t>
  </si>
  <si>
    <t>Ruko Prima Harapan Regency Blok A No. 2</t>
  </si>
  <si>
    <t>356</t>
  </si>
  <si>
    <t>Novie</t>
  </si>
  <si>
    <t>081228374972</t>
  </si>
  <si>
    <t>laundrybestie92@gmail.com</t>
  </si>
  <si>
    <t>Laundrybestie/Laundrybestie</t>
  </si>
  <si>
    <t>Jl Semar no k6 RT 4 RW 5Kel Arjunakec Cicendobandung</t>
  </si>
  <si>
    <t>357</t>
  </si>
  <si>
    <t>arie ginting</t>
  </si>
  <si>
    <t>081322493162</t>
  </si>
  <si>
    <t>OC LAUNDRY/DELIVERY</t>
  </si>
  <si>
    <t>jl.cirengot</t>
  </si>
  <si>
    <t>358</t>
  </si>
  <si>
    <t>082297240654</t>
  </si>
  <si>
    <t>Beb! Laundry/BEB! Laundry</t>
  </si>
  <si>
    <t>Jl Pemuda no 8 Depok Lama</t>
  </si>
  <si>
    <t>359</t>
  </si>
  <si>
    <t>IRHAM NUGRAHA</t>
  </si>
  <si>
    <t>082225858882</t>
  </si>
  <si>
    <t>brushnwaxrawalumbu@gmail.com</t>
  </si>
  <si>
    <t>Brush&amp;Wax Rawalumbu/Brush&amp;Wax Rawalumbu</t>
  </si>
  <si>
    <t>Jl. Lumbu Bar. Raya Jembatan 7 No.20, RT.003/RW.010, Bojong Rawalumbu, Kec. Rawalumbu, Kota Bks, Jawa Barat 17116</t>
  </si>
  <si>
    <t>360</t>
  </si>
  <si>
    <t>Asih Jaya</t>
  </si>
  <si>
    <t>SAUDARA LAUNDRY/Saudara Laundry Cabang 1 Mukti Jaya</t>
  </si>
  <si>
    <t>Mukti jaya</t>
  </si>
  <si>
    <t>361</t>
  </si>
  <si>
    <t>malikha coin laundry/veluna laundry</t>
  </si>
  <si>
    <t>jl jatibaru no.26</t>
  </si>
  <si>
    <t>362</t>
  </si>
  <si>
    <t>Rika Yulia</t>
  </si>
  <si>
    <t>085343850662</t>
  </si>
  <si>
    <t>yrika5498@gmail.com</t>
  </si>
  <si>
    <t>kmm/kmm</t>
  </si>
  <si>
    <t>perumahan Lippo Cikarang jalan Surya kencana 2 no 60</t>
  </si>
  <si>
    <t>363</t>
  </si>
  <si>
    <t>Sera Laundry/Sera Laundry Bedahan</t>
  </si>
  <si>
    <t>364</t>
  </si>
  <si>
    <t>Rachel</t>
  </si>
  <si>
    <t>081296444738</t>
  </si>
  <si>
    <t>Cuci Sendiri/Lause (Laundry Sendiri)</t>
  </si>
  <si>
    <t>Dukuh zamrud Ruko D'Green Blok D2 No. 25</t>
  </si>
  <si>
    <t>365</t>
  </si>
  <si>
    <t xml:space="preserve">Kintan Deska Sasono Putri </t>
  </si>
  <si>
    <t>08118108077</t>
  </si>
  <si>
    <t>sasonoputrikintandeska@gmail.com</t>
  </si>
  <si>
    <t>Jl Permai Raya No 49 Perum harapan jaya Bekasi Utara</t>
  </si>
  <si>
    <t>366</t>
  </si>
  <si>
    <t>Berkat Laundry</t>
  </si>
  <si>
    <t>082128285567</t>
  </si>
  <si>
    <t>berkat.laundry.co.id@gmail.com</t>
  </si>
  <si>
    <t>Berkat Laundry/Berkat Laundry</t>
  </si>
  <si>
    <t>Apartemen The Springlake, Jl. Boulevard Ahmad Yani No. 08, Tower Basella</t>
  </si>
  <si>
    <t>367</t>
  </si>
  <si>
    <t>Suka Clean Service</t>
  </si>
  <si>
    <t>0811959835</t>
  </si>
  <si>
    <t>Suka Clean Service/Suka Clean Service</t>
  </si>
  <si>
    <t>Bekasi Timur</t>
  </si>
  <si>
    <t>368</t>
  </si>
  <si>
    <t>puspita</t>
  </si>
  <si>
    <t>081247351229</t>
  </si>
  <si>
    <t>laundryazha2025@gmail.com</t>
  </si>
  <si>
    <t>Laundry Azha/Laundry Azha</t>
  </si>
  <si>
    <t>komp. PU sapta taruna IV blok C 17 (samping bakso lek min)</t>
  </si>
  <si>
    <t>369</t>
  </si>
  <si>
    <t xml:space="preserve">Topan Wariz Jubaeri </t>
  </si>
  <si>
    <t>081230059100</t>
  </si>
  <si>
    <t>washkitalaundri@gmail.com</t>
  </si>
  <si>
    <t>Washkita Laundry/Washkita Laundry Panyileukan</t>
  </si>
  <si>
    <t>jl.raya panyileukan kav 5 no.13</t>
  </si>
  <si>
    <t>370</t>
  </si>
  <si>
    <t>Washkita Laundry/Washkita Laundry Telkom</t>
  </si>
  <si>
    <t>jl.sukapura no.9</t>
  </si>
  <si>
    <t>371</t>
  </si>
  <si>
    <t>D&amp;V Laundry</t>
  </si>
  <si>
    <t>083194845477</t>
  </si>
  <si>
    <t>geofanylumbangaol@gmail.com</t>
  </si>
  <si>
    <t>D&amp;V loundry/D&amp;V loundry</t>
  </si>
  <si>
    <t>Jalan Gemalapik Cell, RT.15/RW.5, Kp. Pasirkonci, Pasirsari, Cikarang Selatan (warung D&amp;V mie ayam), KAB. BEKASI, CIKARANG SELATAN, JAWA BARAT, ID, 17532</t>
  </si>
  <si>
    <t>372</t>
  </si>
  <si>
    <t>Laundry_1945 Merdeka</t>
  </si>
  <si>
    <t>0817448234</t>
  </si>
  <si>
    <t>laundry.1945@gmail.com</t>
  </si>
  <si>
    <t>laundry 1945/laundry 1945</t>
  </si>
  <si>
    <t>373</t>
  </si>
  <si>
    <t>CC Laundry/CC laundry</t>
  </si>
  <si>
    <t>Jl Limo Raya no 53 A</t>
  </si>
  <si>
    <t>374</t>
  </si>
  <si>
    <t xml:space="preserve">Cahya </t>
  </si>
  <si>
    <t>082216941475</t>
  </si>
  <si>
    <t>windicahya07@gmail.com</t>
  </si>
  <si>
    <t>Cahya Laundry/Cahya Laundry</t>
  </si>
  <si>
    <t>kp Cimahi Desa Sukamahi RT/RW 06/03 Kec.Cikarang Pusat Kab.Bekasi Kontrakan Ibu Demang</t>
  </si>
  <si>
    <t>375</t>
  </si>
  <si>
    <t>Wefki Reza</t>
  </si>
  <si>
    <t>081374278337</t>
  </si>
  <si>
    <t>A &amp; U loundry/A &amp; U loundry</t>
  </si>
  <si>
    <t>jalan raya kailuddin no.4 rt.02 rw.03 kel. kalibaru kec. cilodong depok</t>
  </si>
  <si>
    <t>376</t>
  </si>
  <si>
    <t xml:space="preserve">Aji </t>
  </si>
  <si>
    <t>087777119871</t>
  </si>
  <si>
    <t>pyenarrdi@gmail.com</t>
  </si>
  <si>
    <t>KLIK LAUNDRY/KLIK LAUNDRY</t>
  </si>
  <si>
    <t>JL. Mahali Pdk Cina Depok</t>
  </si>
  <si>
    <t>377</t>
  </si>
  <si>
    <t>HAWP LAUNDRY/Hawp Laundry 2</t>
  </si>
  <si>
    <t>jln kemang I, RT/RW 06/10 Sukmajaya, Depok</t>
  </si>
  <si>
    <t>378</t>
  </si>
  <si>
    <t>Hilmi Diwijaya</t>
  </si>
  <si>
    <t>085814413060</t>
  </si>
  <si>
    <t>hilmidiwijaya071095@gmail.com</t>
  </si>
  <si>
    <t>SULTAN LAUNDRY/SULTAN LAUNDRY</t>
  </si>
  <si>
    <t>jl. mashudi, pucung, kab. karawang,</t>
  </si>
  <si>
    <t>379</t>
  </si>
  <si>
    <t>Ferlin Surendra Damanik</t>
  </si>
  <si>
    <t>085270933018</t>
  </si>
  <si>
    <t>cucianmamalaundry@gmail.com</t>
  </si>
  <si>
    <t>Cucian Mama Laundry/Cucian Mama Laundry</t>
  </si>
  <si>
    <t>Jl. KH Mas Mansyur, RT7/RW3 No.6, Bekasi</t>
  </si>
  <si>
    <t>380</t>
  </si>
  <si>
    <t>INGE B.M.D</t>
  </si>
  <si>
    <t>081806666009</t>
  </si>
  <si>
    <t>sambudibungajaya@gmail.com</t>
  </si>
  <si>
    <t>Setiawan Laundry/SETIAWAN LAUNDRY</t>
  </si>
  <si>
    <t>Jl. Raya Muchtar No.61 Sawangan - Kota Depok 16511</t>
  </si>
  <si>
    <t>381</t>
  </si>
  <si>
    <t xml:space="preserve">Fitriyani,SST </t>
  </si>
  <si>
    <t>081316601899</t>
  </si>
  <si>
    <t>AzizahLaundry/Kemiri Laundry</t>
  </si>
  <si>
    <t>Jl irigasi no.63 rt.03/07 kelurahan kemiri muka kecamatan Beji kota Depok</t>
  </si>
  <si>
    <t>382</t>
  </si>
  <si>
    <t>Riri Lahiriyah</t>
  </si>
  <si>
    <t>08381006972</t>
  </si>
  <si>
    <t>ririlahiriyah06@gmail.com</t>
  </si>
  <si>
    <t>Riri Laundry/Riri Laundry</t>
  </si>
  <si>
    <t>Kab. Sukabumi</t>
  </si>
  <si>
    <t>Kp. Jalan Pangsor Jembatan 2 Palabuhanratu</t>
  </si>
  <si>
    <t>383</t>
  </si>
  <si>
    <t>Rizky Dwi Apriani</t>
  </si>
  <si>
    <t>rizkydwiapriani97@gmail.com</t>
  </si>
  <si>
    <t>Proclean Laundry/Proclean Laundry</t>
  </si>
  <si>
    <t>griya asri 2 blok E2 no 26</t>
  </si>
  <si>
    <t>384</t>
  </si>
  <si>
    <t>evie ismanto</t>
  </si>
  <si>
    <t>085720094566</t>
  </si>
  <si>
    <t>evieismanto@gmail.com</t>
  </si>
  <si>
    <t>detergent laundry sukabumi/detergent laundry sukabumi</t>
  </si>
  <si>
    <t>Jl. Pelabuhan II No. 601 Kel. Cipanengah Kel. Lembursitu Kota Sukabumi</t>
  </si>
  <si>
    <t>385</t>
  </si>
  <si>
    <t>Kesya Laundry</t>
  </si>
  <si>
    <t>085864871111</t>
  </si>
  <si>
    <t>Kesya Laundry/Kesya Laundry</t>
  </si>
  <si>
    <t>Jln. Samba No.29 Rt.014 Rw.08 Tanah Tinggi Johar Baru Jakarta Pusat</t>
  </si>
  <si>
    <t>386</t>
  </si>
  <si>
    <t xml:space="preserve">Yudhistira dwi putra </t>
  </si>
  <si>
    <t>082308236716</t>
  </si>
  <si>
    <t>Flash and Clean Laundry/Flash and Clean Laundry</t>
  </si>
  <si>
    <t>Jl. Nangka No.5 RT.4 / RW.2, Sukamaju Baru, Kec. Tapi- Depok</t>
  </si>
  <si>
    <t>387</t>
  </si>
  <si>
    <t>Brush and Wax/BRUSH AND WAX KOTA WISATA</t>
  </si>
  <si>
    <t>Jl Canadian Broadway CBF no 3 Kota Wisata Cibubur</t>
  </si>
  <si>
    <t>388</t>
  </si>
  <si>
    <t>Rade S</t>
  </si>
  <si>
    <t>085178146851</t>
  </si>
  <si>
    <t>bersihlaundrymangunjaya@gmail.com</t>
  </si>
  <si>
    <t>Bersih Laundry Mangun Jaya/Bersih Laundry Mangun Jaya</t>
  </si>
  <si>
    <t>mangun jaya tambun selatan no 14 rt 3 rt 18</t>
  </si>
  <si>
    <t>389</t>
  </si>
  <si>
    <t xml:space="preserve">Hi clean Laundry </t>
  </si>
  <si>
    <t>088220222827</t>
  </si>
  <si>
    <t>hicleanlaundry1@gmail.com</t>
  </si>
  <si>
    <t>hi clean laundry/hi clean laundry</t>
  </si>
  <si>
    <t>jalan raya Andini sakti RT 1 RW 1 Cibitung Bekasi</t>
  </si>
  <si>
    <t>390</t>
  </si>
  <si>
    <t>Maria Martina Sulastri</t>
  </si>
  <si>
    <t>082372082220</t>
  </si>
  <si>
    <t>mariamartinasoemawinata@gmail.com</t>
  </si>
  <si>
    <t>Roemah Laundry/Roemah Laundry</t>
  </si>
  <si>
    <t>Kab. Kuningan</t>
  </si>
  <si>
    <t>Jalan Raya Cisantana No.94, RT 4/RW 1, Desa Cisantana, Kecamatan Cigugur (Samping Senta Coffe), Kabupaten Kuningan, Jawa Barat 45552</t>
  </si>
  <si>
    <t>391</t>
  </si>
  <si>
    <t>085863731397</t>
  </si>
  <si>
    <t>berkatlaundry55@gmail.com</t>
  </si>
  <si>
    <t>Kp Pasir Konci RT 14, RW 05 Desa Pasir Sari Kecamatan Cikarang Selatan Kabupaten Bekasi</t>
  </si>
  <si>
    <t>392</t>
  </si>
  <si>
    <t xml:space="preserve">Lina </t>
  </si>
  <si>
    <t>082118656837</t>
  </si>
  <si>
    <t>cleanlite.sadangserang@gmail.com</t>
  </si>
  <si>
    <t xml:space="preserve">Cleanlite Laundry Bandung/Cleanlite Laundry Bandung	</t>
  </si>
  <si>
    <t>Jln. Cibeunying Kolot No. 26, Kel. Cigadung, Kec. Cibeunying Kaler. Bandung</t>
  </si>
  <si>
    <t>393</t>
  </si>
  <si>
    <t>Admin-me.laundry</t>
  </si>
  <si>
    <t>081216667554</t>
  </si>
  <si>
    <t>melaundry25052025@gmail.com</t>
  </si>
  <si>
    <t>me.laundry/me.laundry</t>
  </si>
  <si>
    <t>Jl. Mawar No. 35, RT. 004/002, Padurenan, Mustika Jaya, Kota Bekasi</t>
  </si>
  <si>
    <t>394</t>
  </si>
  <si>
    <t>Klik Laundry/Klik Laundry Sukatani</t>
  </si>
  <si>
    <t>395</t>
  </si>
  <si>
    <t>Januar Ramadhan</t>
  </si>
  <si>
    <t>085817387673</t>
  </si>
  <si>
    <t>naviramadhini@gmail.com</t>
  </si>
  <si>
    <t xml:space="preserve">Rama Laundry 2/Rama Laundry 2	</t>
  </si>
  <si>
    <t>perumahan nuansa Indah bambon asri Blok A.21 rt 03/07</t>
  </si>
  <si>
    <t>396</t>
  </si>
  <si>
    <t>Bagas Rahmat Gunarto</t>
  </si>
  <si>
    <t>085921119361</t>
  </si>
  <si>
    <t>bagasrahmatgunarto17@gmail.com</t>
  </si>
  <si>
    <t>Bagas Laundry/Bagas Laundry</t>
  </si>
  <si>
    <t>Jalan Bima sakti perumahan graha karya kampung Cibeureum Desa mekarmukti Cikarang Utara</t>
  </si>
  <si>
    <t>397</t>
  </si>
  <si>
    <t>ROSS PUJİAT</t>
  </si>
  <si>
    <t>085775223446</t>
  </si>
  <si>
    <t>kenzioxavier1@gmail.com</t>
  </si>
  <si>
    <t>ROMUS laundry/ROMUS laundry</t>
  </si>
  <si>
    <t>jalan raya kali busa satria jaya</t>
  </si>
  <si>
    <t>398</t>
  </si>
  <si>
    <t>0895616503235</t>
  </si>
  <si>
    <t>Syndicate shoes clean/Syndicate SC Metland</t>
  </si>
  <si>
    <t>399</t>
  </si>
  <si>
    <t xml:space="preserve">Budi Santo </t>
  </si>
  <si>
    <t>sahabat laundry/9 Naga laundry bakpin</t>
  </si>
  <si>
    <t>400</t>
  </si>
  <si>
    <t xml:space="preserve">Mathias </t>
  </si>
  <si>
    <t>08137837571</t>
  </si>
  <si>
    <t>rumahlaundycstn@gmail.com</t>
  </si>
  <si>
    <t>rumah laundry Cisantana/rumah laundry Cisantana</t>
  </si>
  <si>
    <t>jalan Raya Cisantana no 15 Cisantana Kuningan</t>
  </si>
  <si>
    <t>401</t>
  </si>
  <si>
    <t>087871413349</t>
  </si>
  <si>
    <t>Monic Laundry/MONIC Apparel &amp; Home Service</t>
  </si>
  <si>
    <t>402</t>
  </si>
  <si>
    <t>Wahyu Kurniawan</t>
  </si>
  <si>
    <t>081398912135</t>
  </si>
  <si>
    <t>yuliuswahyu2222@gmail.com</t>
  </si>
  <si>
    <t>Laundry Kurniawan/Laundry Kurniawan</t>
  </si>
  <si>
    <t>Jembatan Satu Desa Rt 03 Rw 01, Jl. Raya Karanggan Jl. Puspasari Raya, Puspasari, Kec. Citeureup, Kabupaten Bogor, Jawa Barat 16810</t>
  </si>
  <si>
    <t>403</t>
  </si>
  <si>
    <t xml:space="preserve">Speed Laundry </t>
  </si>
  <si>
    <t>085219928889</t>
  </si>
  <si>
    <t>laundryspeed9@gmail.com</t>
  </si>
  <si>
    <t>speed laundry/speed laundry</t>
  </si>
  <si>
    <t>jl ukongsutaatmadja subang</t>
  </si>
  <si>
    <t>404</t>
  </si>
  <si>
    <t>Speed Laundry</t>
  </si>
  <si>
    <t>speed laundry/Speed Laundry</t>
  </si>
  <si>
    <t>405</t>
  </si>
  <si>
    <t xml:space="preserve">Epih </t>
  </si>
  <si>
    <t>088802179943</t>
  </si>
  <si>
    <t>ervitarahayuputri9@gmail.com</t>
  </si>
  <si>
    <t>Umi laundry/Umi laundry</t>
  </si>
  <si>
    <t>jl. taman cibaduyut indah no 3 ruko R</t>
  </si>
  <si>
    <t>406</t>
  </si>
  <si>
    <t xml:space="preserve">Septy </t>
  </si>
  <si>
    <t>085656157885</t>
  </si>
  <si>
    <t>amahlaundry768@gmail.com</t>
  </si>
  <si>
    <t>amah laundry/Amah laundry</t>
  </si>
  <si>
    <t>jl.h. Sulaiman no.50 RT.04 RW.06 bedahan,sawangan-depok</t>
  </si>
  <si>
    <t>407</t>
  </si>
  <si>
    <t xml:space="preserve">riki </t>
  </si>
  <si>
    <t>082121618880</t>
  </si>
  <si>
    <t>rikidoank069@gmail.com</t>
  </si>
  <si>
    <t>winner laundry/winner laundry</t>
  </si>
  <si>
    <t>jl Cibaduyut no 2H</t>
  </si>
  <si>
    <t>408</t>
  </si>
  <si>
    <t xml:space="preserve">Myra </t>
  </si>
  <si>
    <t>085314557552</t>
  </si>
  <si>
    <t>miranipebriani123@gmail.com</t>
  </si>
  <si>
    <t>My Laundry/My Laundry</t>
  </si>
  <si>
    <t>jl. bintara pradana no. 9 rt007 rw04</t>
  </si>
  <si>
    <t>409</t>
  </si>
  <si>
    <t xml:space="preserve">Astriana Sahrida Harahap </t>
  </si>
  <si>
    <t>081213736880</t>
  </si>
  <si>
    <t>Harnas Laundry/Harnas Laundry</t>
  </si>
  <si>
    <t>Ruko Hijau JL Sirojul Munir No. 31A RT. 01/ RW. 03</t>
  </si>
  <si>
    <t>410</t>
  </si>
  <si>
    <t xml:space="preserve">Nuranura </t>
  </si>
  <si>
    <t>nuryatii010690@gmail.com</t>
  </si>
  <si>
    <t>Laundry/Ruang Laundry 2</t>
  </si>
  <si>
    <t>411</t>
  </si>
  <si>
    <t xml:space="preserve">Oddyna loundry </t>
  </si>
  <si>
    <t>082177983164</t>
  </si>
  <si>
    <t>oddynaloundry@gmail.com</t>
  </si>
  <si>
    <t>Laundry/Laundry</t>
  </si>
  <si>
    <t>Kp. Penggilingan Tengah RT 05 / RW 04 No. 61</t>
  </si>
  <si>
    <t>412</t>
  </si>
  <si>
    <t xml:space="preserve">Aris Kurniawan </t>
  </si>
  <si>
    <t>08135741481</t>
  </si>
  <si>
    <t>Nice Laundry Express/Nice Laundry Express</t>
  </si>
  <si>
    <t>Jalan point Mas Raya  Depan TK Anak Salih</t>
  </si>
  <si>
    <t>413</t>
  </si>
  <si>
    <t>Kin's Laundry</t>
  </si>
  <si>
    <t>081931735165</t>
  </si>
  <si>
    <t>kinslaundry1@gmail.com</t>
  </si>
  <si>
    <t>Kin's Laundry/Kin's Laundry</t>
  </si>
  <si>
    <t>Jl. Kapten Yusuf, RT.06/RW.05, Cikaret, Kec. Bogor Sel, RT.06/RW.05, Jawa, Barat, Kota Bogor, Jawa Barat 16132</t>
  </si>
  <si>
    <t>414</t>
  </si>
  <si>
    <t>082122829094</t>
  </si>
  <si>
    <t>Queen Laundry/Queen 2 Laundry</t>
  </si>
  <si>
    <t>Jl Pawarengan, Depa perum Pesona Grand Karawang 2, desa Dawuan Timur Kec. cikampek Kab. karawang Jawabarat 41373</t>
  </si>
  <si>
    <t>415</t>
  </si>
  <si>
    <t>aceng ulumuddin</t>
  </si>
  <si>
    <t>082130124288</t>
  </si>
  <si>
    <t>Vara Laundry/Vara Laundry</t>
  </si>
  <si>
    <t>jl.ciganitri raya 37</t>
  </si>
  <si>
    <t>416</t>
  </si>
  <si>
    <t>6282220609045</t>
  </si>
  <si>
    <t>Almahyra Laundry/Almahyra Fresh Lab</t>
  </si>
  <si>
    <t>417</t>
  </si>
  <si>
    <t xml:space="preserve">Pyen </t>
  </si>
  <si>
    <t>MY LAUNDRY/MY LAUNDRY n DRY CLEANING</t>
  </si>
  <si>
    <t>J. Salak No.9</t>
  </si>
  <si>
    <t>418</t>
  </si>
  <si>
    <t>Abe Matthew</t>
  </si>
  <si>
    <t>088294766208</t>
  </si>
  <si>
    <t>K Laundry and Dry Clean/The Laundry, Canggu</t>
  </si>
  <si>
    <t>419</t>
  </si>
  <si>
    <t>mama laundry/88 Laundry</t>
  </si>
  <si>
    <t>420</t>
  </si>
  <si>
    <t xml:space="preserve">syndicate.shoesclean </t>
  </si>
  <si>
    <t>Syndicate shoes clean/Syndicate SC Sentul</t>
  </si>
  <si>
    <t>421</t>
  </si>
  <si>
    <t>winner laundry/Incu Laundry</t>
  </si>
  <si>
    <t>422</t>
  </si>
  <si>
    <t>423</t>
  </si>
  <si>
    <t>Villy Desreyni</t>
  </si>
  <si>
    <t>085163036060</t>
  </si>
  <si>
    <t>desreynivilly9@gmail.com</t>
  </si>
  <si>
    <t>Resik Laundry/Setia Laundry</t>
  </si>
  <si>
    <t>Ruko Graha Asri Residence 2 Blok A No. 8</t>
  </si>
  <si>
    <t>424</t>
  </si>
  <si>
    <t>Perumnas Blok PA Kios No. 5</t>
  </si>
  <si>
    <t>KEVIN SEVEN's</t>
  </si>
  <si>
    <t>6285724591167</t>
  </si>
  <si>
    <t>SEVEN's LAUNDRY/SEVEN's LAUNDRY 2</t>
  </si>
  <si>
    <t>425</t>
  </si>
  <si>
    <t>Brush And Wax Pekapuran/Brush and Wax Tapos</t>
  </si>
  <si>
    <t>Amma M.S</t>
  </si>
  <si>
    <t>0821 33471313</t>
  </si>
  <si>
    <t>gajahbeach@gmail.com</t>
  </si>
  <si>
    <t>SNAPY LAUNDRY</t>
  </si>
  <si>
    <t>Kota Semarang</t>
  </si>
  <si>
    <t>Jl. Gajah raya no. 134 Gayamsari semarang</t>
  </si>
  <si>
    <t>Eldea</t>
  </si>
  <si>
    <t>0896 7161 8415</t>
  </si>
  <si>
    <t>eldea.indonesia@gmail.com</t>
  </si>
  <si>
    <t>ELDEA LAUNDRY/ We Clean We Care</t>
  </si>
  <si>
    <t>Kab. Wonosobo</t>
  </si>
  <si>
    <t>Gg kenari 320 rt.003 rw.005 Wonobungkah Jlamprang Wonosobo</t>
  </si>
  <si>
    <t>Lilis Handayani</t>
  </si>
  <si>
    <t>0877 8611 6755</t>
  </si>
  <si>
    <t>nanangjunior232@gmail.com</t>
  </si>
  <si>
    <t>Junior laundry/JUNIOR LAUNDRY</t>
  </si>
  <si>
    <t>Kab. Sukoharjo</t>
  </si>
  <si>
    <t>jl.parangkesit , Ngruki 02/17 , cemani</t>
  </si>
  <si>
    <t>Suwarty Tri</t>
  </si>
  <si>
    <t>0815 7684 094</t>
  </si>
  <si>
    <t>trisuwarty@gmail.com</t>
  </si>
  <si>
    <t>TU-TY laundry</t>
  </si>
  <si>
    <t>Kab. Cilacap</t>
  </si>
  <si>
    <t>jl.jambu 2 kalisabuk rt04rw01</t>
  </si>
  <si>
    <t>Ancala Sekar RM</t>
  </si>
  <si>
    <t>0821 3322 9508</t>
  </si>
  <si>
    <t>arenalaundrykendal@gmail.com</t>
  </si>
  <si>
    <t>ARENA LAUNDRY KLW</t>
  </si>
  <si>
    <t>Kab. Kendal</t>
  </si>
  <si>
    <t>kp. Podowaras Rt 2. Rw 1.⁸</t>
  </si>
  <si>
    <t>Rois Akbar Fauzi</t>
  </si>
  <si>
    <t>0822 6666 6083</t>
  </si>
  <si>
    <t>washlaundry178@gmail.com</t>
  </si>
  <si>
    <t>Wash.co</t>
  </si>
  <si>
    <t>plamongan sari raya no 8</t>
  </si>
  <si>
    <t>Utami</t>
  </si>
  <si>
    <t>0857 2769 5927</t>
  </si>
  <si>
    <t>sihhutmi@gmail.com</t>
  </si>
  <si>
    <t>Utami Loundry</t>
  </si>
  <si>
    <t>Kab. Karanganyar</t>
  </si>
  <si>
    <t>Jl. adi sumarmo , malangjiwan colomadu</t>
  </si>
  <si>
    <t>zidny</t>
  </si>
  <si>
    <t>0858 77777631</t>
  </si>
  <si>
    <t>zidni.assidiqi270214@gmail.com</t>
  </si>
  <si>
    <t>fast laundry</t>
  </si>
  <si>
    <t>Kota Tegal</t>
  </si>
  <si>
    <t>jl.hangtuah 48,</t>
  </si>
  <si>
    <t>lina</t>
  </si>
  <si>
    <t>0813 90426472</t>
  </si>
  <si>
    <t>charolinar@gmail.com</t>
  </si>
  <si>
    <t>Lentera laundry</t>
  </si>
  <si>
    <t>Kab. Semarang</t>
  </si>
  <si>
    <t>jl.kaligarang 306 ungaran barat</t>
  </si>
  <si>
    <t xml:space="preserve">Tiara </t>
  </si>
  <si>
    <t>0878 3018 3355</t>
  </si>
  <si>
    <t>dutalaundryklampok@gmail.com</t>
  </si>
  <si>
    <t>duta laundry klampok</t>
  </si>
  <si>
    <t>Kab. Brebes</t>
  </si>
  <si>
    <t>jln. manijah raya 02 Rt 12/04kec wanasari kab brebes</t>
  </si>
  <si>
    <t xml:space="preserve">april </t>
  </si>
  <si>
    <t>0877 7599 0475</t>
  </si>
  <si>
    <t>saputra.ab@gmail.com</t>
  </si>
  <si>
    <t>Aisy Laundry</t>
  </si>
  <si>
    <t>Kab. Banyumas</t>
  </si>
  <si>
    <t>jalan beji no.10</t>
  </si>
  <si>
    <t>Didik Adi Purnomo</t>
  </si>
  <si>
    <t>0852 90439202</t>
  </si>
  <si>
    <t>didikadipurnomo5@gmail.com</t>
  </si>
  <si>
    <t>Radist Laundry</t>
  </si>
  <si>
    <t>Gergaji Balekambang Raya no 16</t>
  </si>
  <si>
    <t>Eni Suprihatin</t>
  </si>
  <si>
    <t>0878 24051416</t>
  </si>
  <si>
    <t>suprihatineni005@gmail.com</t>
  </si>
  <si>
    <t>Anggita Laundry</t>
  </si>
  <si>
    <t>Kab. Wonogiri</t>
  </si>
  <si>
    <t>ruko Mama Mia nguluh mlopoharjo wuryantoro</t>
  </si>
  <si>
    <t>Rofiq</t>
  </si>
  <si>
    <t>0851 61351610</t>
  </si>
  <si>
    <t>pratiwi.ibnu@gmail.com</t>
  </si>
  <si>
    <t>Sahabat Laundry</t>
  </si>
  <si>
    <t>Jl. Menoreh Tengah VIII No 6</t>
  </si>
  <si>
    <t xml:space="preserve">Brama Ariesta </t>
  </si>
  <si>
    <t>085226019963</t>
  </si>
  <si>
    <t>cuahblora@gmail.com</t>
  </si>
  <si>
    <t>Fadhilah Loundry</t>
  </si>
  <si>
    <t>Kab. Blora</t>
  </si>
  <si>
    <t>Depan SMK 1 Blora Jawa Tengah</t>
  </si>
  <si>
    <t>dea</t>
  </si>
  <si>
    <t>0812 27647115</t>
  </si>
  <si>
    <t>rottanmaskalimantan@gmail.com</t>
  </si>
  <si>
    <t>Hijau laundry</t>
  </si>
  <si>
    <t>jl mangesti raya no10d</t>
  </si>
  <si>
    <t xml:space="preserve">pelangi Owner </t>
  </si>
  <si>
    <t>0821 35771818</t>
  </si>
  <si>
    <t>pelangilaundrygentan@gmail.com</t>
  </si>
  <si>
    <t>pelangi laundry gentan</t>
  </si>
  <si>
    <t>jl songgolangit 30b</t>
  </si>
  <si>
    <t>herry kurniawan</t>
  </si>
  <si>
    <t>0896 70982278</t>
  </si>
  <si>
    <t>ratihherry7@gmail.com</t>
  </si>
  <si>
    <t>orchid laundry/Orchid Laundry Kemiri Raya</t>
  </si>
  <si>
    <t>Kota Salatiga</t>
  </si>
  <si>
    <t>jalan kemiri raya no 7 salatiga</t>
  </si>
  <si>
    <t xml:space="preserve">Yuli astuti </t>
  </si>
  <si>
    <t>0813 93656346</t>
  </si>
  <si>
    <t>yuliagritech@gmail.com</t>
  </si>
  <si>
    <t>Naufal Omah Laundry</t>
  </si>
  <si>
    <t>Kab. Klaten</t>
  </si>
  <si>
    <t>wonorejo, ngemplak, karangnongko, klaten,</t>
  </si>
  <si>
    <t>Abaz Zhafran</t>
  </si>
  <si>
    <t>0857 01345538</t>
  </si>
  <si>
    <t>abaz.zhafran.49@gmail.com</t>
  </si>
  <si>
    <t>Omah Laundry</t>
  </si>
  <si>
    <t xml:space="preserve">Kota Pekalongan </t>
  </si>
  <si>
    <t>JL. Terate no. 126 poncol Pekalongan timur</t>
  </si>
  <si>
    <t>Afika</t>
  </si>
  <si>
    <t>0812 15542426</t>
  </si>
  <si>
    <t>istinurfika13@gmail.com</t>
  </si>
  <si>
    <t>Feflanela/Feflanela Laundry</t>
  </si>
  <si>
    <t>Jl Raya Selatan Depan Batalion 405</t>
  </si>
  <si>
    <t xml:space="preserve">Yuliana </t>
  </si>
  <si>
    <t>085865975976</t>
  </si>
  <si>
    <t>mnuramin2@gmail.com</t>
  </si>
  <si>
    <t>Ruang Laundry</t>
  </si>
  <si>
    <t xml:space="preserve">Kota Surakarta </t>
  </si>
  <si>
    <t>Perum Penca Rt02/14 banjarsari</t>
  </si>
  <si>
    <t>alvindo</t>
  </si>
  <si>
    <t>0856 43734348</t>
  </si>
  <si>
    <t>alvindovicto@gmail.com</t>
  </si>
  <si>
    <t>arise/Arise Laundry</t>
  </si>
  <si>
    <t>Kab. Temanggung</t>
  </si>
  <si>
    <t>pringsurat</t>
  </si>
  <si>
    <t>azzahra laundry</t>
  </si>
  <si>
    <t>0821 35993610</t>
  </si>
  <si>
    <t>gunantoandangcatur@gmail.com</t>
  </si>
  <si>
    <t>Azzahra laundry</t>
  </si>
  <si>
    <t>Kab. Purworejo</t>
  </si>
  <si>
    <t>Gg Brengkelan Rt03 Rw04 No01 Purworejo</t>
  </si>
  <si>
    <t xml:space="preserve">Devi </t>
  </si>
  <si>
    <t>0813 90447800</t>
  </si>
  <si>
    <t>dewilaundry6@gmail.com</t>
  </si>
  <si>
    <t>Dewi laundry</t>
  </si>
  <si>
    <t>krotok 002/002</t>
  </si>
  <si>
    <t xml:space="preserve">Levi </t>
  </si>
  <si>
    <t>0896 87064468</t>
  </si>
  <si>
    <t>nurdita1821@gmail.com</t>
  </si>
  <si>
    <t>jojo laundry/" JOJO LAUNDRY "</t>
  </si>
  <si>
    <t>Jalan klampisan RT.07 ,RW.02</t>
  </si>
  <si>
    <t>QAF</t>
  </si>
  <si>
    <t>0895 09302989</t>
  </si>
  <si>
    <t>zamodani48@gmail.com</t>
  </si>
  <si>
    <t>QAFF LAUNDRY</t>
  </si>
  <si>
    <t>Kab. Tegal</t>
  </si>
  <si>
    <t>Jl. Cut Nyak Dien RT 01 RW 05</t>
  </si>
  <si>
    <t>SanSan</t>
  </si>
  <si>
    <t>0812 32935438</t>
  </si>
  <si>
    <t>kurniawantheresia@gmail.com</t>
  </si>
  <si>
    <t>Daily Wash Sragen/Daily Wash Sragen</t>
  </si>
  <si>
    <t>Kab. Sragen</t>
  </si>
  <si>
    <t>Jl Raya Sukowati 176 Sragen</t>
  </si>
  <si>
    <t>KLININ</t>
  </si>
  <si>
    <t>0821 35690234</t>
  </si>
  <si>
    <t>klininlaundry@gmail.com</t>
  </si>
  <si>
    <t>Jl. Benoyo no.76</t>
  </si>
  <si>
    <t>Rina Handayani</t>
  </si>
  <si>
    <t>0899 0919567</t>
  </si>
  <si>
    <t>beemalaundry@gmail.com</t>
  </si>
  <si>
    <t>Beema Laundry</t>
  </si>
  <si>
    <t>Jalan Lurik RT 3/RW 16, Ngruki, Cemani, Sukoharjo</t>
  </si>
  <si>
    <t>Rizqi Mauliyani</t>
  </si>
  <si>
    <t>0857 00842197</t>
  </si>
  <si>
    <t>mauliyanirizqi@gmail.com</t>
  </si>
  <si>
    <t>RIZQI LOUNDRY</t>
  </si>
  <si>
    <t>jl. dagan raya 42/09tembok luwung no 08.adiwerna tegal</t>
  </si>
  <si>
    <t>Weni Pujiyanti</t>
  </si>
  <si>
    <t>0812 27466192</t>
  </si>
  <si>
    <t>pujiyantiweni@gmail.com</t>
  </si>
  <si>
    <t>WB Laundry</t>
  </si>
  <si>
    <t>Kab. Demak</t>
  </si>
  <si>
    <t>Perum Kauman Regency blok Giok 5 no.20, Mranggen ,Demak</t>
  </si>
  <si>
    <t>boender</t>
  </si>
  <si>
    <t>0821 44708850</t>
  </si>
  <si>
    <t>rboender113@gmail.com</t>
  </si>
  <si>
    <t>Space Laundry</t>
  </si>
  <si>
    <t>Turiharjo Rt02/Rw05,Madegondo,Grogol,Sukoharjo</t>
  </si>
  <si>
    <t>Nugroho</t>
  </si>
  <si>
    <t>0821 34199552</t>
  </si>
  <si>
    <t>noegroho.sumarsono@gmail.com</t>
  </si>
  <si>
    <t>Rosela Laundry/SARAS Laundry</t>
  </si>
  <si>
    <t>Perumahan Puri Hijau P5</t>
  </si>
  <si>
    <t xml:space="preserve">Ibu Presiden </t>
  </si>
  <si>
    <t>0858 56908493</t>
  </si>
  <si>
    <t>hadiid.hcl@gmail.com</t>
  </si>
  <si>
    <t>Moms Laundry/MOMmy Laundry Purple</t>
  </si>
  <si>
    <t>Kaliwungu</t>
  </si>
  <si>
    <t>Dk laundry</t>
  </si>
  <si>
    <t>0813 94642414</t>
  </si>
  <si>
    <t>rizkydafa819@gmail.com</t>
  </si>
  <si>
    <t>DK Laundry</t>
  </si>
  <si>
    <t>bunderan sukorejo</t>
  </si>
  <si>
    <t xml:space="preserve">herman prasetyo </t>
  </si>
  <si>
    <t>0813 26201213</t>
  </si>
  <si>
    <t>hermanprasetyo137@gmail.com</t>
  </si>
  <si>
    <t>Hammams Laundry</t>
  </si>
  <si>
    <t>Kab. Magelang</t>
  </si>
  <si>
    <t>Jl.Wirodigdo Km 04, Dusun Gebayan, Rt05/02, Sirahan, Salam, Magelang.</t>
  </si>
  <si>
    <t>APril</t>
  </si>
  <si>
    <t>Rukmi Widiarti</t>
  </si>
  <si>
    <t>0813 63757266</t>
  </si>
  <si>
    <t>management.familylaundry@gmail.com</t>
  </si>
  <si>
    <t>Family Laundry</t>
  </si>
  <si>
    <t>Padepokan Ganesha Blok C No.11</t>
  </si>
  <si>
    <t>Markus arya pratama</t>
  </si>
  <si>
    <t>0851 7310 559</t>
  </si>
  <si>
    <t>galaxylaundry72@gmail.com</t>
  </si>
  <si>
    <t>Galaxy Laundry</t>
  </si>
  <si>
    <t>jln majapahit 3 Nayu Barat Rt05/Rw14</t>
  </si>
  <si>
    <t>Laundry Pelangi</t>
  </si>
  <si>
    <t>0813 2626 1126</t>
  </si>
  <si>
    <t>pelangilaundry2012@gmail.com</t>
  </si>
  <si>
    <t>Pelangi Laundry</t>
  </si>
  <si>
    <t>Jalan Magelang-Jogja Rejosari, Mungkid, Kabupaten Magelang</t>
  </si>
  <si>
    <t xml:space="preserve">Rosati </t>
  </si>
  <si>
    <t>0857 864 05574</t>
  </si>
  <si>
    <t>ratusdedes.rosati@gmail.com</t>
  </si>
  <si>
    <t>3N Laundry</t>
  </si>
  <si>
    <t>jl. parang kusumo</t>
  </si>
  <si>
    <t>hermawan dwi susanto</t>
  </si>
  <si>
    <t>0857 25235583</t>
  </si>
  <si>
    <t>hermawandwisusanto99@gmail.com</t>
  </si>
  <si>
    <t>keisha laundry/KEISHA LAUNDRY #1</t>
  </si>
  <si>
    <t>kraton</t>
  </si>
  <si>
    <t xml:space="preserve">Yoel Bilal </t>
  </si>
  <si>
    <t>0857 0093 9495</t>
  </si>
  <si>
    <t>yoelpremiumcare@gmail.com</t>
  </si>
  <si>
    <t>Yoel Premium Care</t>
  </si>
  <si>
    <t>Kota Pekalongan</t>
  </si>
  <si>
    <t>Jl. Parang Garuda Raya no.8</t>
  </si>
  <si>
    <t>Endah Puji Utami</t>
  </si>
  <si>
    <t>0857 26021891</t>
  </si>
  <si>
    <t>hompimpa_laundry@gmail.com</t>
  </si>
  <si>
    <t>Hompimpa Laundry</t>
  </si>
  <si>
    <t>Jl Semanggi Raya No 19 Mejasem Barat Kramat Kab. Tegal</t>
  </si>
  <si>
    <t>orchid laundry/Orchid Laundry Cab Merak</t>
  </si>
  <si>
    <t>0856 0040 7334</t>
  </si>
  <si>
    <t>laundrybots@gmail.com</t>
  </si>
  <si>
    <t>laundry bots</t>
  </si>
  <si>
    <t>pusponjolo tengah raya</t>
  </si>
  <si>
    <t xml:space="preserve">Wiwied </t>
  </si>
  <si>
    <t>0812 2723 1200</t>
  </si>
  <si>
    <t>MentaRi Anjelou</t>
  </si>
  <si>
    <t>Bulusan Selatan VII RT 7 RW 5Perumahan Grand Diponegoro No.9</t>
  </si>
  <si>
    <t>WOW LAUNDRY</t>
  </si>
  <si>
    <t>0882008218200</t>
  </si>
  <si>
    <t>w.o.w laundry/jl kapas timur 8G/1078</t>
  </si>
  <si>
    <t>jl k i.am faruqi 2 rt04/07 karang roto Genuk semarang timur</t>
  </si>
  <si>
    <t xml:space="preserve">Express Laundry </t>
  </si>
  <si>
    <t>0821 3853 2352</t>
  </si>
  <si>
    <t>express.laundry2019@gmail.com</t>
  </si>
  <si>
    <t>Express Laundry</t>
  </si>
  <si>
    <t>Kab. Pemalang</t>
  </si>
  <si>
    <t>Jl. Melati no. 38 Pekunden</t>
  </si>
  <si>
    <t xml:space="preserve">iik </t>
  </si>
  <si>
    <t>0812 2872 8000</t>
  </si>
  <si>
    <t>LILY LAUNDRY/LILY LAUNDRY ARGOSARI</t>
  </si>
  <si>
    <t>JL. Argosari Raya No.7 Argomulyo Salatiga</t>
  </si>
  <si>
    <t>LILY LAUNDRY/LILY LAUNDRY NAKULA</t>
  </si>
  <si>
    <t xml:space="preserve">Kasir labuan suci </t>
  </si>
  <si>
    <t>087890909755</t>
  </si>
  <si>
    <t>lareslaundry@gmail.com</t>
  </si>
  <si>
    <t>Lares Laundry</t>
  </si>
  <si>
    <t>jl. labuhan raya no 9</t>
  </si>
  <si>
    <t>Resik Wangi Bojongbata</t>
  </si>
  <si>
    <t>0811 282 8797</t>
  </si>
  <si>
    <t>resikwangi.bojongbata@gmail.com</t>
  </si>
  <si>
    <t>Resik Wangi Laundry/ Bojongbata</t>
  </si>
  <si>
    <t>jl. Anggur no.22 Bojongbata</t>
  </si>
  <si>
    <t>Daily Wash Sragen/Superstar Laundry Koin Plumbungan</t>
  </si>
  <si>
    <t>orchid laundry/STAR RENTAL</t>
  </si>
  <si>
    <t>LILY LAUNDRY/anugerahrental</t>
  </si>
  <si>
    <t>orchid laundry/Orchid Laundry Pandansari</t>
  </si>
  <si>
    <t>Resik Wangi Laundry / Resik Wangi Banjardawa</t>
  </si>
  <si>
    <t>Novita Dyah Swastiningrum</t>
  </si>
  <si>
    <t>0813 2631 1175</t>
  </si>
  <si>
    <t>berkahlaundryAL@gmail.com</t>
  </si>
  <si>
    <t>Berkah Laundry Al Amin</t>
  </si>
  <si>
    <t>Jl Bendungan no 23 Semarang</t>
  </si>
  <si>
    <t>Daily Wash Sragen/Superstar Laundry Koin Puro</t>
  </si>
  <si>
    <t xml:space="preserve">bavarian </t>
  </si>
  <si>
    <t>0877 2284 7463</t>
  </si>
  <si>
    <t>vaholic11@gmail.com</t>
  </si>
  <si>
    <t>princess/princess</t>
  </si>
  <si>
    <t>karangrejo raya 30</t>
  </si>
  <si>
    <t>princess/Princess laundry jangli</t>
  </si>
  <si>
    <t>princess/Princess Clean Kauman</t>
  </si>
  <si>
    <t xml:space="preserve">Fajar Rohman </t>
  </si>
  <si>
    <t>0812 1566 4887</t>
  </si>
  <si>
    <t>fajarr128@gmail.com</t>
  </si>
  <si>
    <t>Delawu Laundry</t>
  </si>
  <si>
    <t>Jl. Bengawan RT 04 RW 02 Nglawu Telukan Grogol Sukoharjo</t>
  </si>
  <si>
    <t>keisha laundry/KEISHA LAUNDRY #2</t>
  </si>
  <si>
    <t>Nizar Trias Modani</t>
  </si>
  <si>
    <t>0877 4447 0996</t>
  </si>
  <si>
    <t>nizarmodani@gmail.com</t>
  </si>
  <si>
    <t>QAFF LAUNDRY EXPRESS</t>
  </si>
  <si>
    <t>Jl. Raya Lebaksiu - Kab. Tegal</t>
  </si>
  <si>
    <t xml:space="preserve">Latief </t>
  </si>
  <si>
    <t>0821 9190 1440</t>
  </si>
  <si>
    <t>noermalatief@gmail.com</t>
  </si>
  <si>
    <t>JOGAN LAUNDRY</t>
  </si>
  <si>
    <t>Jalan Darma Bakti No 78</t>
  </si>
  <si>
    <t>0813 2963 2255</t>
  </si>
  <si>
    <t>laundrybarsoc@gmail.com</t>
  </si>
  <si>
    <t>LaundryBar</t>
  </si>
  <si>
    <t>Jl. Menco raya, ruko menco city no3</t>
  </si>
  <si>
    <t>Amey</t>
  </si>
  <si>
    <t>085600574686</t>
  </si>
  <si>
    <t>mzedishter@gmail.com</t>
  </si>
  <si>
    <t>BERKAH LAUNDRY</t>
  </si>
  <si>
    <t>klero,RT 1.RW 1 kec.tengaran.kab.semarang</t>
  </si>
  <si>
    <t>Andreas Surya Wirawan SE</t>
  </si>
  <si>
    <t>0881 01145 0876</t>
  </si>
  <si>
    <t>suryawirawanandreas@gmail.com</t>
  </si>
  <si>
    <t>Tasha Laundry</t>
  </si>
  <si>
    <t>perumahan taman mandiri blok B31 belakang toko material</t>
  </si>
  <si>
    <t>CHYNTIA LAUNDRY</t>
  </si>
  <si>
    <t>081802390946</t>
  </si>
  <si>
    <t>Chyntia Laundry</t>
  </si>
  <si>
    <t>Jatisari indah blok A1 no. 15</t>
  </si>
  <si>
    <t xml:space="preserve">IVAN </t>
  </si>
  <si>
    <t>0856 6901 6003</t>
  </si>
  <si>
    <t>barokahlaundry6463@gmail.com</t>
  </si>
  <si>
    <t>BAROKAH</t>
  </si>
  <si>
    <t>Jl. Pakis, Turi Baru</t>
  </si>
  <si>
    <t xml:space="preserve">Alie </t>
  </si>
  <si>
    <t>0853 2911 9837</t>
  </si>
  <si>
    <t>muhamalfin05@gmail.com</t>
  </si>
  <si>
    <t>Alvin laundry</t>
  </si>
  <si>
    <t>jln papagan rt01/14 no 9kedungwuni pekalongan</t>
  </si>
  <si>
    <t>Anik Aqidah</t>
  </si>
  <si>
    <t>0877 0004 0422</t>
  </si>
  <si>
    <t>papa laundry</t>
  </si>
  <si>
    <t>Kota Surakarta</t>
  </si>
  <si>
    <t>mojosongo</t>
  </si>
  <si>
    <t>Ayu Hapsari</t>
  </si>
  <si>
    <t>0898 4115646</t>
  </si>
  <si>
    <t>ayufarrel15@gmail.com</t>
  </si>
  <si>
    <t>Jl. Ahmad Yani no.388 Kerten, Laweyan, Solo</t>
  </si>
  <si>
    <t>Danu Mey Kirono</t>
  </si>
  <si>
    <t>082326351485</t>
  </si>
  <si>
    <t>Kirana Laundry n Dry Cleaning</t>
  </si>
  <si>
    <t>Kab. Purwerejo</t>
  </si>
  <si>
    <t>Kedunglo Kemiri Purworejo</t>
  </si>
  <si>
    <t>Windarti Rahardjo</t>
  </si>
  <si>
    <t>08161998464</t>
  </si>
  <si>
    <t>windartirahardjo66@gmail.com</t>
  </si>
  <si>
    <t>Bella Vista Laundry</t>
  </si>
  <si>
    <t>Jl. Supriyadi 88 Purwokerto</t>
  </si>
  <si>
    <t xml:space="preserve">lukman ardi </t>
  </si>
  <si>
    <t>0857 8679 9828</t>
  </si>
  <si>
    <t>friend shoes</t>
  </si>
  <si>
    <t>jl. srigunting V, gremet, manahan</t>
  </si>
  <si>
    <t>Albirru</t>
  </si>
  <si>
    <t>082223118031</t>
  </si>
  <si>
    <t>albirrulaundry@gmail.com</t>
  </si>
  <si>
    <t>Albirru Laundry</t>
  </si>
  <si>
    <t>jl timoho raya no 24</t>
  </si>
  <si>
    <t>Satriyo Budi Utomo</t>
  </si>
  <si>
    <t>0818 08766216</t>
  </si>
  <si>
    <t>kinglondry@gmail.com</t>
  </si>
  <si>
    <t>King Laundry/King Laundry</t>
  </si>
  <si>
    <t>jl.Honggowongso Solo</t>
  </si>
  <si>
    <t>Princess</t>
  </si>
  <si>
    <t>0819 33889551</t>
  </si>
  <si>
    <t>putrinadilapss@gmail.com</t>
  </si>
  <si>
    <t>PRINCESS LAUNDRY/PRINCESS LAUNDRY</t>
  </si>
  <si>
    <t>jl Timoho barat no 03 , Bulusan  kota Semarang</t>
  </si>
  <si>
    <t>081808766216</t>
  </si>
  <si>
    <t>King Laundry/Happy Laundry</t>
  </si>
  <si>
    <t>khusnul khuluq</t>
  </si>
  <si>
    <t>08562655354</t>
  </si>
  <si>
    <t>selly laundry pekalongan</t>
  </si>
  <si>
    <t>jl pelita 1 kradenan gang 3 perum buaran indah</t>
  </si>
  <si>
    <t xml:space="preserve">LANCAR JAYA LAUNDRY </t>
  </si>
  <si>
    <t>0857 99855321</t>
  </si>
  <si>
    <t>akhmad.saiin123@gmail.comd</t>
  </si>
  <si>
    <t>Lancar Jaya Laundry</t>
  </si>
  <si>
    <t>Jalan Melati RT 01/08 Kuripan Kidul Kesugihan Cilacap 53274</t>
  </si>
  <si>
    <t>Taloks Rental Motor</t>
  </si>
  <si>
    <t>085727444211</t>
  </si>
  <si>
    <t>jl.domas salatiga</t>
  </si>
  <si>
    <t xml:space="preserve">ponpes nurul quran simo </t>
  </si>
  <si>
    <t>0856 40787074</t>
  </si>
  <si>
    <t>nurul quran laundry</t>
  </si>
  <si>
    <t>Kab. Boyolali</t>
  </si>
  <si>
    <t>simo</t>
  </si>
  <si>
    <t xml:space="preserve">Ajiputra </t>
  </si>
  <si>
    <t>0877 81500085</t>
  </si>
  <si>
    <t>icebonbon@yahoo.com</t>
  </si>
  <si>
    <t>Tjoetji/TJOETJI RAPIH &amp; BERSIH</t>
  </si>
  <si>
    <t>solo</t>
  </si>
  <si>
    <t>Resik Wangi Laundry/Resik Wangi Wanarejan</t>
  </si>
  <si>
    <t xml:space="preserve">Rina Sitohang </t>
  </si>
  <si>
    <t>081224059138</t>
  </si>
  <si>
    <t>rinasitohang920@gmail.com</t>
  </si>
  <si>
    <t>loundry</t>
  </si>
  <si>
    <t xml:space="preserve"> No.KM.2,senden,Danguran,kec.Klaten selatankab. klaten, jawa tengah57426</t>
  </si>
  <si>
    <t xml:space="preserve">Sokhib Sarifudin </t>
  </si>
  <si>
    <t>085643077617</t>
  </si>
  <si>
    <t>afaadalaundry@gmail.com</t>
  </si>
  <si>
    <t>Afaada Laundry</t>
  </si>
  <si>
    <t>Bakalan, Tanduk, Ampel</t>
  </si>
  <si>
    <t xml:space="preserve">Adam Kurniawan Rukmanto </t>
  </si>
  <si>
    <t>089689326932</t>
  </si>
  <si>
    <t>adamkurniawan93@gmail.com</t>
  </si>
  <si>
    <t>Ohana Laundry</t>
  </si>
  <si>
    <t>Jl. Pekunden Tengah 1041A</t>
  </si>
  <si>
    <t xml:space="preserve">Princess </t>
  </si>
  <si>
    <t>081933889551</t>
  </si>
  <si>
    <t>PRINCESS LAUNDRY/jawara clean</t>
  </si>
  <si>
    <t>Ira</t>
  </si>
  <si>
    <t>082115545898</t>
  </si>
  <si>
    <t>My Loundry</t>
  </si>
  <si>
    <t>Jl. Mulawarman Selatan No. 118B</t>
  </si>
  <si>
    <t>Shaka Laundry</t>
  </si>
  <si>
    <t>082313615414</t>
  </si>
  <si>
    <t>shakalaundry0@gmail.com</t>
  </si>
  <si>
    <t>jln bangetayu kulon rt 01 rw 03</t>
  </si>
  <si>
    <t xml:space="preserve">Moms Laundry/MOMmy Laundry Pinky        </t>
  </si>
  <si>
    <t xml:space="preserve">herry kurniawan </t>
  </si>
  <si>
    <t>089670982278</t>
  </si>
  <si>
    <t>orchid laundry/KURNIA RENTAL</t>
  </si>
  <si>
    <t>ADMIN</t>
  </si>
  <si>
    <t>0895640490044</t>
  </si>
  <si>
    <t>mnataliakms@gmail.com</t>
  </si>
  <si>
    <t>Utama Laundry</t>
  </si>
  <si>
    <t>Jl. Wonodri Sendang Raya 15B</t>
  </si>
  <si>
    <t xml:space="preserve">Larasati Novita </t>
  </si>
  <si>
    <t>089528680001</t>
  </si>
  <si>
    <t>larasatinovita400@gmail.com</t>
  </si>
  <si>
    <t>Mrs. Clean</t>
  </si>
  <si>
    <t>jl gajah raya no 130A</t>
  </si>
  <si>
    <t>fi</t>
  </si>
  <si>
    <t>0882006754700</t>
  </si>
  <si>
    <t xml:space="preserve">wow...fi laundry/WOW FI LAUNDRY	</t>
  </si>
  <si>
    <t>JL.GEMAH RAYA NO.12B</t>
  </si>
  <si>
    <t>081228728000</t>
  </si>
  <si>
    <t>LILY LAUNDRY/BLESS RENTAL</t>
  </si>
  <si>
    <t>Jl. Kh Muhidin Kp. Bulak Poncol Kel. Kencana Kec. Tanah Sareal Kota Bogor RT 1 RW 5</t>
  </si>
  <si>
    <t>0881011450876</t>
  </si>
  <si>
    <t>Tasha Laundry/JT LAUNDRY</t>
  </si>
  <si>
    <t>jl. A Riyanto Sumampir</t>
  </si>
  <si>
    <t>Andi Wijaya</t>
  </si>
  <si>
    <t>081914347054</t>
  </si>
  <si>
    <t>love clean</t>
  </si>
  <si>
    <t>gajah raya 142b</t>
  </si>
  <si>
    <t>Tyas Laundry</t>
  </si>
  <si>
    <t>081219900075</t>
  </si>
  <si>
    <t>aden.setiyawan05@gmail.com</t>
  </si>
  <si>
    <t>Jl.Gunung Muria No.7 Grendeng, Purwokerto Utara</t>
  </si>
  <si>
    <t>panda laundry</t>
  </si>
  <si>
    <t>081802677775</t>
  </si>
  <si>
    <t>pandalaundry757@gmail.com</t>
  </si>
  <si>
    <t>pekunden tengah 1041A,semarang</t>
  </si>
  <si>
    <t>albirru laundry</t>
  </si>
  <si>
    <t>082221110314</t>
  </si>
  <si>
    <t>jalan timoho raya no.24</t>
  </si>
  <si>
    <t>BOY ARLAN</t>
  </si>
  <si>
    <t>085290006780</t>
  </si>
  <si>
    <t>boyaarlan89@gmail.com</t>
  </si>
  <si>
    <t>GRHA LAUNDRY</t>
  </si>
  <si>
    <t>Kab. Pekalongan</t>
  </si>
  <si>
    <t>GRAHA NAYA RESIDENCE E.11 KAMPIL WIRADESA PEKALONGAN</t>
  </si>
  <si>
    <t xml:space="preserve">Tuti Laundry </t>
  </si>
  <si>
    <t>089520997841</t>
  </si>
  <si>
    <t>tutilaundry2@gmail.com</t>
  </si>
  <si>
    <t>Tuty laundry</t>
  </si>
  <si>
    <t>jl.lele rt03/5 Menganti kec.kesugihan kab.cilacap</t>
  </si>
  <si>
    <t>rizki fajar Kurniawan</t>
  </si>
  <si>
    <t>085700372783</t>
  </si>
  <si>
    <t>rizkifk46@gmail.com</t>
  </si>
  <si>
    <t>JR laundry syar'i/JR laundry ekspres</t>
  </si>
  <si>
    <t>popongan Rt1 Rw3,tegalgondo,klaten</t>
  </si>
  <si>
    <t>PRINCESS LAUNDRY/laundry princes</t>
  </si>
  <si>
    <t>orchid laundry/JASMINE LAUNDRY</t>
  </si>
  <si>
    <t>Jalan Kemiri Barat Salatiga</t>
  </si>
  <si>
    <t xml:space="preserve">Lina Dwi hati </t>
  </si>
  <si>
    <t>081325417100</t>
  </si>
  <si>
    <t>dwihatilina@gmail.com</t>
  </si>
  <si>
    <t>Mbah Ringgo Laundry</t>
  </si>
  <si>
    <t>Jl. Solo-Sragen km.5 palur (depan palur plaza)</t>
  </si>
  <si>
    <t>iik</t>
  </si>
  <si>
    <t xml:space="preserve">LILY LAUNDRY/LILY LAUNDRY TEGALREJO	</t>
  </si>
  <si>
    <t>Jl Tegalrejo Raya</t>
  </si>
  <si>
    <t>LANCAR JAYA LAUNDRY</t>
  </si>
  <si>
    <t>085799855321</t>
  </si>
  <si>
    <t>Lancar Jaya Laundry/LANCAR JAYA LAUNDRY SUBANG</t>
  </si>
  <si>
    <t>Jln Raya Sukamulya-Cibogo No 17 Kp Cipaku Ds Cibogo</t>
  </si>
  <si>
    <t xml:space="preserve">Fiorentino </t>
  </si>
  <si>
    <t>081329632255</t>
  </si>
  <si>
    <t>LaundryBar/LaundryBar - MANAHAN</t>
  </si>
  <si>
    <t>Jl. MT Haryono No.64</t>
  </si>
  <si>
    <t xml:space="preserve">Kei Laundry </t>
  </si>
  <si>
    <t>085659033978</t>
  </si>
  <si>
    <t>keilaundry10@gmail.com</t>
  </si>
  <si>
    <t>laundry</t>
  </si>
  <si>
    <t>Jl Kartasura - Sambon No.41, Dusun I, Pucangan, Kec. kartasura, Kabupaten Sukoharjo, Jawa Tengah, 57168.</t>
  </si>
  <si>
    <t>087722847463</t>
  </si>
  <si>
    <t>princess/princess laundry banjarsari</t>
  </si>
  <si>
    <t>LILY LAUNDRY/LILY LAUNDRY KEMIRI</t>
  </si>
  <si>
    <t>jl.kemiri barat salatiga</t>
  </si>
  <si>
    <t>veronica</t>
  </si>
  <si>
    <t>08112648077</t>
  </si>
  <si>
    <t>kremesayammalioboro@gmail.com</t>
  </si>
  <si>
    <t>PRIVATE LOUNDRY</t>
  </si>
  <si>
    <t>Perum Gading Permai AH 1D Grogol</t>
  </si>
  <si>
    <t xml:space="preserve">Ikhsantiko Aswianto </t>
  </si>
  <si>
    <t>085161677167</t>
  </si>
  <si>
    <t>iaswianto@gmail.com</t>
  </si>
  <si>
    <t>Kumbahin</t>
  </si>
  <si>
    <t>Kota Magelang</t>
  </si>
  <si>
    <t>Sanden, Magelang</t>
  </si>
  <si>
    <t xml:space="preserve">Farida Salsabila </t>
  </si>
  <si>
    <t>085642673566</t>
  </si>
  <si>
    <t>coastoceanlaundry@gmail.com</t>
  </si>
  <si>
    <t>Coast Ocean Laundry</t>
  </si>
  <si>
    <t>Kab. Batang</t>
  </si>
  <si>
    <t>panda laundry/panda laundry petempen</t>
  </si>
  <si>
    <t>DoTuman laundry</t>
  </si>
  <si>
    <t>085292103121</t>
  </si>
  <si>
    <t>kritingj93@gmail.com</t>
  </si>
  <si>
    <t>denasri kulon Rt. 03 Rw. 03 Kec./Kab. Batang</t>
  </si>
  <si>
    <t>Rina Sitohang</t>
  </si>
  <si>
    <t>loundr/laundry danguran</t>
  </si>
  <si>
    <t>jln. ki pandaran No.KM.2,senden,Danguran,kec.Klaten selatankab. klaten, jawa tengah57426</t>
  </si>
  <si>
    <t>Badruddin</t>
  </si>
  <si>
    <t>085281456556</t>
  </si>
  <si>
    <t>teraslaundry506@gmail.com</t>
  </si>
  <si>
    <t>Teras Laundry</t>
  </si>
  <si>
    <t>Kab. Jepara</t>
  </si>
  <si>
    <t>jalan raya mayong - pancur km 1</t>
  </si>
  <si>
    <t xml:space="preserve">DoTuman Laundry </t>
  </si>
  <si>
    <t>085700446229</t>
  </si>
  <si>
    <t>dotumanlaundry@gmail.com</t>
  </si>
  <si>
    <t>wuni subah jateng</t>
  </si>
  <si>
    <t>orchid laundr/THALIA LAUNDRY</t>
  </si>
  <si>
    <t>Lukman Al Hakim</t>
  </si>
  <si>
    <t>088215766786</t>
  </si>
  <si>
    <t>alhakimlukman725@gmail.com</t>
  </si>
  <si>
    <t>Ankabouth Laundry Karpet Boyolali</t>
  </si>
  <si>
    <t>PP Dawar rt 1 rw 3 manggis mojosongo boyolali</t>
  </si>
  <si>
    <t>Ade</t>
  </si>
  <si>
    <t>08980930777</t>
  </si>
  <si>
    <t>anytimelaundry.id@gmail.com</t>
  </si>
  <si>
    <t>Anytime Laundry</t>
  </si>
  <si>
    <t>Imam Bonjol 46A Semarang</t>
  </si>
  <si>
    <t xml:space="preserve">Jafar </t>
  </si>
  <si>
    <t>6281329415085</t>
  </si>
  <si>
    <t>BAROKAH/Barokah Laundry</t>
  </si>
  <si>
    <t>Jl. Pakis No.20, Turi Baru, Cemani, Grogol</t>
  </si>
  <si>
    <t xml:space="preserve">Ivan </t>
  </si>
  <si>
    <t>085669016003</t>
  </si>
  <si>
    <t>carakubeda@gmail.com</t>
  </si>
  <si>
    <t>Barokah Laundry/Barokah Laundry Jembur</t>
  </si>
  <si>
    <t>Jln. Agung Timur</t>
  </si>
  <si>
    <t xml:space="preserve">Yusuf Basalamah </t>
  </si>
  <si>
    <t>081235072967</t>
  </si>
  <si>
    <t>fusuybasmah@gmail.com</t>
  </si>
  <si>
    <t>mama laundry/MAMA LAUNDRY</t>
  </si>
  <si>
    <t>jl teratai no 95 Pekalongan</t>
  </si>
  <si>
    <t>Nata syaike permatahati</t>
  </si>
  <si>
    <t>087838685521</t>
  </si>
  <si>
    <t>natasyaike2802@gmail.com</t>
  </si>
  <si>
    <t>Laundry Korea/Laundry Korea</t>
  </si>
  <si>
    <t>Jl Kapten Mulyadi No 288 Pasar Kliwon Surakarta</t>
  </si>
  <si>
    <t xml:space="preserve">April </t>
  </si>
  <si>
    <t>Admin 1</t>
  </si>
  <si>
    <t>081229985505</t>
  </si>
  <si>
    <t>pekalonganlaundry.indonesia@gmail.com</t>
  </si>
  <si>
    <t>PEKALONGAN LAUNDRY/PEKALONGAN LAUNDRY AND CLEANING</t>
  </si>
  <si>
    <t>Perum Medono Indah Jln Parang Garuda Raya No 6</t>
  </si>
  <si>
    <t xml:space="preserve">LILY LAUNDRY/Lily kemiri 2	</t>
  </si>
  <si>
    <t>jl kemiri II</t>
  </si>
  <si>
    <t>Naufal Dzika</t>
  </si>
  <si>
    <t>082122227657</t>
  </si>
  <si>
    <t>A1 LAUNDRY/A1 LAUNDRY</t>
  </si>
  <si>
    <t>Jl. Mandurorejo</t>
  </si>
  <si>
    <t>Ardy Rudiyanto</t>
  </si>
  <si>
    <t>085642227779</t>
  </si>
  <si>
    <t>rudiyantoardy@gmail.com</t>
  </si>
  <si>
    <t>meesya laundry/meesya laundry</t>
  </si>
  <si>
    <t>jl.pahlawan no 8,triyagan ,mojolaban,sukoharjo</t>
  </si>
  <si>
    <t>085856908493</t>
  </si>
  <si>
    <t>Moms Laundry/Hello BOZZ Laundry</t>
  </si>
  <si>
    <t>JL. KH Asya'ari Gladak</t>
  </si>
  <si>
    <t>085725235583</t>
  </si>
  <si>
    <t>keisha laundry/KEISHA LAUNDRY #3</t>
  </si>
  <si>
    <t>surabayan</t>
  </si>
  <si>
    <t>Marcaellius Juli Kurniawan</t>
  </si>
  <si>
    <t>08156666681</t>
  </si>
  <si>
    <t>PrincessClean Mrican/PrincessClean Mrican</t>
  </si>
  <si>
    <t>Tentara pelajar</t>
  </si>
  <si>
    <t>Daniel Satria Mahardhika</t>
  </si>
  <si>
    <t>082133921202</t>
  </si>
  <si>
    <t>washidsolobaru@gmail.com</t>
  </si>
  <si>
    <t>WASH.ID Laundry &amp; Shoes Care/WASH.ID Laundry &amp; Shoes Care</t>
  </si>
  <si>
    <t>Jalan Podang BG 03 Solo Baru, Kelurahan Madegondo, Kecamatan Grogol, Sukoharjo, 57552</t>
  </si>
  <si>
    <t xml:space="preserve">Surya ajie </t>
  </si>
  <si>
    <t>082135282647</t>
  </si>
  <si>
    <t>putraasya5471@gmail.com</t>
  </si>
  <si>
    <t>ASYA LAUNDRY EXPRESS/ASYA LAUNDRY EXPRESS</t>
  </si>
  <si>
    <t>jalan Mayjend Sutoyo, Gumawang, kecamatan Wiradesa, kabupaten Pekalongan</t>
  </si>
  <si>
    <t xml:space="preserve">Marcaellius Juli Kurniawan </t>
  </si>
  <si>
    <t>PrincessClean Mrican/Princess Clean Tlogosari</t>
  </si>
  <si>
    <t xml:space="preserve">Marva </t>
  </si>
  <si>
    <t>08165776131</t>
  </si>
  <si>
    <t>faacpu@gmail.com</t>
  </si>
  <si>
    <t>love clean/love clean</t>
  </si>
  <si>
    <t xml:space="preserve">audi Edward setiabudi </t>
  </si>
  <si>
    <t>08157601442</t>
  </si>
  <si>
    <t>audiedward74@gmail.com</t>
  </si>
  <si>
    <t>Kemuning Laundry/Kemuning Laundry</t>
  </si>
  <si>
    <t>Jalan Kemuning no 1</t>
  </si>
  <si>
    <t>GRIYA LAUNDRY PEGANJARAN</t>
  </si>
  <si>
    <t>08985384441</t>
  </si>
  <si>
    <t>griyalaundrypeganjaran@gmail.com</t>
  </si>
  <si>
    <t>GRIYA LAUNDRY PEGANJARAN KUDUS/GRIYA LAUNDRY PEGANJARAN KUDUS</t>
  </si>
  <si>
    <t>Kab. Kudus</t>
  </si>
  <si>
    <t>JL RAYA BESITO NO 46 KUDUS</t>
  </si>
  <si>
    <t>ratihherry555@gmail.com</t>
  </si>
  <si>
    <t>orchid laundry/Orchid Laundry ( Jl. Imam Bonjol )</t>
  </si>
  <si>
    <t>Cendy Rachmat Umasangaji</t>
  </si>
  <si>
    <t>081239081763</t>
  </si>
  <si>
    <t>jayawijaya204@gmail.com</t>
  </si>
  <si>
    <t>Clean &amp; Co Laundry Semarang/Clean &amp; Co Laundry Semarang</t>
  </si>
  <si>
    <t>Jl Woltermonginsidi Banjardowo Genuk Semarang</t>
  </si>
  <si>
    <t>Agung nugroho</t>
  </si>
  <si>
    <t>085974758798</t>
  </si>
  <si>
    <t>sbastianagung03@gmail.com</t>
  </si>
  <si>
    <t>Tak kusangka laundry/Tak kusangka laundry</t>
  </si>
  <si>
    <t>jl. ronggowarsito ngaran</t>
  </si>
  <si>
    <t xml:space="preserve">Om David </t>
  </si>
  <si>
    <t>081564834034</t>
  </si>
  <si>
    <t>davidjonathanfachri89@gmail.com</t>
  </si>
  <si>
    <t>KING'S LOUNDRY EXPRES/KING'S LOUNDRY EXPRES</t>
  </si>
  <si>
    <t>Jl. Werkudoro No.74, Pengabean, Slerok, Kec. Tegal Tim., Kota Tegal, Jawa Tengah 52192</t>
  </si>
  <si>
    <t xml:space="preserve">DENNY </t>
  </si>
  <si>
    <t>085784106339</t>
  </si>
  <si>
    <t>CUCIKU LAUNDRY/CUCIKU LAUNDRY</t>
  </si>
  <si>
    <t>SOLO BARU</t>
  </si>
  <si>
    <t xml:space="preserve">DGN Wash &amp; Clean Laundry </t>
  </si>
  <si>
    <t>081319462926</t>
  </si>
  <si>
    <t>dgnlaundry2629@gmail.com</t>
  </si>
  <si>
    <t>laundry/laundry</t>
  </si>
  <si>
    <t>Dgn Laundry Jl Gor Wergu Wetan rt2 rw 2 Ds Mlati Kidul</t>
  </si>
  <si>
    <t xml:space="preserve">Bj Laundry Express </t>
  </si>
  <si>
    <t>085869355888</t>
  </si>
  <si>
    <t>bj.laundree888@gmail.com</t>
  </si>
  <si>
    <t xml:space="preserve">BJ Laundry Express/BJ Laundry Express	</t>
  </si>
  <si>
    <t>Jl. Inpres Margasana</t>
  </si>
  <si>
    <t xml:space="preserve">Paryono </t>
  </si>
  <si>
    <t>085700500691</t>
  </si>
  <si>
    <t>paryono0691@gmail.com</t>
  </si>
  <si>
    <t>Kartika Laundry/Kartika Laundry</t>
  </si>
  <si>
    <t>Jl.KH Ahmad Dahlan NO 111 RT 06 RW 07 Sidorejo Lor Kecamatan Sidorejo kota Salatiga</t>
  </si>
  <si>
    <t xml:space="preserve">Lazuardi </t>
  </si>
  <si>
    <t>085726545565</t>
  </si>
  <si>
    <t>yuccalaundry@gmail.com</t>
  </si>
  <si>
    <t>Yucca/Yucca Laundry</t>
  </si>
  <si>
    <t>Petoran</t>
  </si>
  <si>
    <t xml:space="preserve">Laundry Noni </t>
  </si>
  <si>
    <t>081299429900</t>
  </si>
  <si>
    <t>laundrynoni2024@gmail.com</t>
  </si>
  <si>
    <t>Laundry Noni/Laundry Noni</t>
  </si>
  <si>
    <t>Dayeuhluhur, Kab. Cilacap</t>
  </si>
  <si>
    <t>Ety Dwi Wahyuni</t>
  </si>
  <si>
    <t>0813 3166 2347</t>
  </si>
  <si>
    <t>etydwiwahyuni@gmail.com</t>
  </si>
  <si>
    <t>AKAS LAUNDRY</t>
  </si>
  <si>
    <t>Kota Mojokerto</t>
  </si>
  <si>
    <t>Jl. Pendidikan 46 Rt/Rw 03/02Pulowetan Pulorejo Mojokerto</t>
  </si>
  <si>
    <t>Hermawan Yudhistiro</t>
  </si>
  <si>
    <t>0853 3537 6949</t>
  </si>
  <si>
    <t>adhiwasta@gmail.com</t>
  </si>
  <si>
    <t>C to C Laundry</t>
  </si>
  <si>
    <t>Kab. Nganjuk</t>
  </si>
  <si>
    <t>Jl.Wilis No.57A Jarakan - Kramat - Nganjuk( DEPAN INDOMARET JARAKAN )</t>
  </si>
  <si>
    <t xml:space="preserve">Johan lie </t>
  </si>
  <si>
    <t>0813 9321 9994</t>
  </si>
  <si>
    <t>qc.laundrysby@gmail.com</t>
  </si>
  <si>
    <t>quick clean laundry</t>
  </si>
  <si>
    <t>Kota Surabaya</t>
  </si>
  <si>
    <t>ruko galeria RA3 no10</t>
  </si>
  <si>
    <t xml:space="preserve">Nasta </t>
  </si>
  <si>
    <t>0851 0140 5051</t>
  </si>
  <si>
    <t>nastainmuhaimin82@gmail.com</t>
  </si>
  <si>
    <t>umba dw/Umba DW Loundry</t>
  </si>
  <si>
    <t>jl penanggungan no 69 mojokerto</t>
  </si>
  <si>
    <t>Admin1</t>
  </si>
  <si>
    <t>0896 7785 3403</t>
  </si>
  <si>
    <t>harunarkbentrek@gmail.com</t>
  </si>
  <si>
    <t>arr laundry</t>
  </si>
  <si>
    <t>Kab. Sidoarjo</t>
  </si>
  <si>
    <t>Ds. Bendotretek Rt.04 Rw.01 kec. prambon kab. sidoarjo</t>
  </si>
  <si>
    <t>Leli</t>
  </si>
  <si>
    <t>0896 8517 8777</t>
  </si>
  <si>
    <t>asfah3166@gmail.com</t>
  </si>
  <si>
    <t>LAUNDRY 77</t>
  </si>
  <si>
    <t>JL.Wonosari wetan baru 11 pertigaan jalan .</t>
  </si>
  <si>
    <t>Ayun</t>
  </si>
  <si>
    <t>081336597596</t>
  </si>
  <si>
    <t>griya.laundry.banyuwangi@gmail.com</t>
  </si>
  <si>
    <t>Griya Laundry Banyuwangi/Griya Laundry Express Banyuwangi</t>
  </si>
  <si>
    <t>Kab. Banyuwangi</t>
  </si>
  <si>
    <t>Jl. Sutawijaya Perum Pakis Jalio Blok D.28 Sumberrejo-Banyuwangi</t>
  </si>
  <si>
    <t>SUSY</t>
  </si>
  <si>
    <t>0815 4609 5745</t>
  </si>
  <si>
    <t>nasyaghanie@gmail.com</t>
  </si>
  <si>
    <t>Laundry Mart/Hitam Putih Laundry</t>
  </si>
  <si>
    <t>jl. Dupak Bangunsari I no 22</t>
  </si>
  <si>
    <t>Waskito Agung Asmoro</t>
  </si>
  <si>
    <t>0813 59079698</t>
  </si>
  <si>
    <t>okelaundry3@gmail.com</t>
  </si>
  <si>
    <t>Oke Laundry</t>
  </si>
  <si>
    <t>Kab. Mojokerto</t>
  </si>
  <si>
    <t>Jl. Jatikulon no.53 Mojokerto</t>
  </si>
  <si>
    <t>rekso utomo</t>
  </si>
  <si>
    <t>0823 36584713</t>
  </si>
  <si>
    <t>kaylafresh57@gmail.com</t>
  </si>
  <si>
    <t>kayla fresh laundry/kayla fresh laundry 1</t>
  </si>
  <si>
    <t>ds kraton rt 12 rw 03kec.krian kab.sidoarjo</t>
  </si>
  <si>
    <t>Hendra Setiawan</t>
  </si>
  <si>
    <t>089522568733</t>
  </si>
  <si>
    <t>hendrasetiawan220399@gmail.com</t>
  </si>
  <si>
    <t>Laundry Trijaya</t>
  </si>
  <si>
    <t>Kab. Sumenep</t>
  </si>
  <si>
    <t>Jl. KH. Agus Salim Kepanjin, Kota Sumenep</t>
  </si>
  <si>
    <t>azizah</t>
  </si>
  <si>
    <t>088 235812400</t>
  </si>
  <si>
    <t>ajijahlailatul93@gmail.com</t>
  </si>
  <si>
    <t>belalaundry/Bella Laundry</t>
  </si>
  <si>
    <t>Kab. Malang</t>
  </si>
  <si>
    <t>jl. raya katangjuwet</t>
  </si>
  <si>
    <t>Dwi Wasis Pramono</t>
  </si>
  <si>
    <t>0812 35264554</t>
  </si>
  <si>
    <t>dwiwasispramono@gmail.com</t>
  </si>
  <si>
    <t>BLOSSOM LAUNDRY</t>
  </si>
  <si>
    <t>Kota Pasuruan</t>
  </si>
  <si>
    <t>Perum Griya Fortuna Blok C-17</t>
  </si>
  <si>
    <t>ERIKA</t>
  </si>
  <si>
    <t>0822 57778173</t>
  </si>
  <si>
    <t>y4nuari.3rik4@gmail.com</t>
  </si>
  <si>
    <t>soft one laundry/SOFT ONE LAUNDRY</t>
  </si>
  <si>
    <t>Kota Malang</t>
  </si>
  <si>
    <t>jl simpang Raya langsep 27 kelurahan pisang candi sukun kota malang</t>
  </si>
  <si>
    <t>Sae_Laundry.Kdr</t>
  </si>
  <si>
    <t>0822 31901837</t>
  </si>
  <si>
    <t>ekocool82@gmail.com</t>
  </si>
  <si>
    <t>Kota Kediri</t>
  </si>
  <si>
    <t>Perum Wilis Indah 2 Blok H-23 No.7</t>
  </si>
  <si>
    <t xml:space="preserve">Dadan sunarya </t>
  </si>
  <si>
    <t>0856 07563618</t>
  </si>
  <si>
    <t>sunaryadadan16@gmail.com</t>
  </si>
  <si>
    <t>Familylaundry/FAMILY laundry</t>
  </si>
  <si>
    <t>Kab. Jombang</t>
  </si>
  <si>
    <t>jln.brawijaya no 111 peterongan</t>
  </si>
  <si>
    <t>Agus Wahyudi</t>
  </si>
  <si>
    <t>0821 99099574</t>
  </si>
  <si>
    <t>amachelin701@gmail.com</t>
  </si>
  <si>
    <t>Jl klumprik PDAM no 18</t>
  </si>
  <si>
    <t>nia dwi lestari</t>
  </si>
  <si>
    <t>0812 30982238</t>
  </si>
  <si>
    <t>cahayalestari692@gmail.com</t>
  </si>
  <si>
    <t>Cahaya Laundry</t>
  </si>
  <si>
    <t>Kab. Ponorogo</t>
  </si>
  <si>
    <t>Jl. Sinom Parijoto 32 Tambakbayan Ponorogo</t>
  </si>
  <si>
    <t>Elina</t>
  </si>
  <si>
    <t>0813 31436131</t>
  </si>
  <si>
    <t>ohanalaundrymalang@gmail.com</t>
  </si>
  <si>
    <t>Jl. Urip Sumoharjo G50</t>
  </si>
  <si>
    <t xml:space="preserve">Wiwit wijiati </t>
  </si>
  <si>
    <t>0858 56388797</t>
  </si>
  <si>
    <t>wiwitwijiati73@gmail.com</t>
  </si>
  <si>
    <t>YOSIE LAUNDRY</t>
  </si>
  <si>
    <t>Kota Blitar</t>
  </si>
  <si>
    <t>DS.MANDESAN RT02/01KEC.SELOPURO.BLITAR</t>
  </si>
  <si>
    <t>Arie m</t>
  </si>
  <si>
    <t>0823 31676299</t>
  </si>
  <si>
    <t>ramalaundry978@gmail.com</t>
  </si>
  <si>
    <t>Ramalaundry</t>
  </si>
  <si>
    <t>Kedurus sawah gede 3 no 35kedurus KarangpilangSurabaya 60223</t>
  </si>
  <si>
    <t xml:space="preserve">Ebor Laundry </t>
  </si>
  <si>
    <t>0831 11228935</t>
  </si>
  <si>
    <t>rereamora172839@gmail.com</t>
  </si>
  <si>
    <t>Ebor Laundry</t>
  </si>
  <si>
    <t>Griya Permata MeriJl. Meri Barat no.462b</t>
  </si>
  <si>
    <t>SEPTI</t>
  </si>
  <si>
    <t>0823 40023225</t>
  </si>
  <si>
    <t>Sseftyna25@gmail.com</t>
  </si>
  <si>
    <t>Ranissa Laundry</t>
  </si>
  <si>
    <t>Kab. Trenggalek</t>
  </si>
  <si>
    <t>Ds. Ngetal Rt.22/Rw.08</t>
  </si>
  <si>
    <t>Rissa</t>
  </si>
  <si>
    <t>0878 14408130</t>
  </si>
  <si>
    <t>risayuliyani@yahoo.com</t>
  </si>
  <si>
    <t>Holy Laundry</t>
  </si>
  <si>
    <t>Kab. Tulungagung</t>
  </si>
  <si>
    <t>Jln. Mastrip No. 8 Ruko depan Indomaret Mastrip</t>
  </si>
  <si>
    <t>0821 40915786</t>
  </si>
  <si>
    <t>q.garudalaundry@gmail.com</t>
  </si>
  <si>
    <t>Garuda Laundry</t>
  </si>
  <si>
    <t>Kab. Kediri</t>
  </si>
  <si>
    <t>ruko gor joyoboyo no. 23, desa Banjarmlati,  kec. Mojoroto, kab. kediri, jawa timur</t>
  </si>
  <si>
    <t>Angela Callista</t>
  </si>
  <si>
    <t>0856 07740600</t>
  </si>
  <si>
    <t>angelacallista474@gmail.com</t>
  </si>
  <si>
    <t>Callista Laundry/Callista Laundry 1</t>
  </si>
  <si>
    <t>Bandar lor gg 2b no 10 kediri</t>
  </si>
  <si>
    <t>Oki</t>
  </si>
  <si>
    <t>0856 45656014</t>
  </si>
  <si>
    <t>okiluqman1@gmail.com</t>
  </si>
  <si>
    <t>green laundry/green laundry</t>
  </si>
  <si>
    <t>jl jakgung suprapto 22</t>
  </si>
  <si>
    <t xml:space="preserve">Scania </t>
  </si>
  <si>
    <t>0822 29011413</t>
  </si>
  <si>
    <t>drclink58kdr@gmail.com</t>
  </si>
  <si>
    <t>dr.Clink Laundry</t>
  </si>
  <si>
    <t>jl.slamet riadi 58</t>
  </si>
  <si>
    <t>Venz</t>
  </si>
  <si>
    <t>0896 35070158</t>
  </si>
  <si>
    <t>yellgunn@gmail.com</t>
  </si>
  <si>
    <t>nyuciee/s7even Laundry</t>
  </si>
  <si>
    <t>gunungsari</t>
  </si>
  <si>
    <t>Yulianawati</t>
  </si>
  <si>
    <t>085 331544234</t>
  </si>
  <si>
    <t>nya2nyu87@gmail.com</t>
  </si>
  <si>
    <t>Queen Loundry</t>
  </si>
  <si>
    <t>Jln.Ngudi KaweruhDs.Karanglo-lor SukorejoPonorogo</t>
  </si>
  <si>
    <t>Hetti Pramita</t>
  </si>
  <si>
    <t>0823 37602030</t>
  </si>
  <si>
    <t>hettipramitaartasari@gmail.com</t>
  </si>
  <si>
    <t>ANNaz Laundry/ANNaz Laundry 01</t>
  </si>
  <si>
    <t>sepanjang kulon</t>
  </si>
  <si>
    <t>Kemms Auto Care</t>
  </si>
  <si>
    <t>0857 48964318</t>
  </si>
  <si>
    <t>remofalams69@gmail.com</t>
  </si>
  <si>
    <t>Kab. Situbondo</t>
  </si>
  <si>
    <t>Perum Green View Residence A/10-11</t>
  </si>
  <si>
    <t>0822 57783976</t>
  </si>
  <si>
    <t>omahlaundry983@gmail.com</t>
  </si>
  <si>
    <t>laundry Omah/OMAH LAUNDRY</t>
  </si>
  <si>
    <t>Kab. Bojonegoro</t>
  </si>
  <si>
    <t>Kalitidu</t>
  </si>
  <si>
    <t>Safina</t>
  </si>
  <si>
    <t>0812 5988188</t>
  </si>
  <si>
    <t>saflaundry@gmail.com</t>
  </si>
  <si>
    <t>SAF Laundry</t>
  </si>
  <si>
    <t>Jl. Suromenggolo</t>
  </si>
  <si>
    <t>Mutia</t>
  </si>
  <si>
    <t>0822 33344465</t>
  </si>
  <si>
    <t>laundryo2021@gmail.com</t>
  </si>
  <si>
    <t>Laundry O</t>
  </si>
  <si>
    <t>Perum Green Syafira Blok C20</t>
  </si>
  <si>
    <t>Siska</t>
  </si>
  <si>
    <t>0821 32988050</t>
  </si>
  <si>
    <t>nico.salesacademy@gmail.com</t>
  </si>
  <si>
    <t>Epic Laundry</t>
  </si>
  <si>
    <t>Jl.Candi Agung 1 no.8 Malang</t>
  </si>
  <si>
    <t xml:space="preserve">Meli </t>
  </si>
  <si>
    <t>0822 68311558</t>
  </si>
  <si>
    <t>swynlaundry@gmail.com</t>
  </si>
  <si>
    <t>SWYN LAUNDRY</t>
  </si>
  <si>
    <t xml:space="preserve">Kab. Sidoarjo </t>
  </si>
  <si>
    <t>Jl.Bohar Raya No.16a</t>
  </si>
  <si>
    <t xml:space="preserve">Reeza MC </t>
  </si>
  <si>
    <t>0878 08007888</t>
  </si>
  <si>
    <t>dir.laundry@gmail.com</t>
  </si>
  <si>
    <t>dir Laundry &amp; Dry Clean/dir Laundry &amp; Dry Clean 1</t>
  </si>
  <si>
    <t>Jl. Randu Asri RT.26/RW.06 Pagerwojo, Buduran Sidoarjo</t>
  </si>
  <si>
    <t>Callista Laundry/Callista Laundry 2</t>
  </si>
  <si>
    <t>green laundry/Green Laundry Carpet</t>
  </si>
  <si>
    <t>Nur Kholifatus Shofia</t>
  </si>
  <si>
    <t>0857 30160545</t>
  </si>
  <si>
    <t>dlaundryinaja.blitar@gmail.com</t>
  </si>
  <si>
    <t>Dlaundryinaja/Dlaundryinaja Kanigoro</t>
  </si>
  <si>
    <t>Jl. Kolonel usaha No 20 Ngegong Kel. Gedog Kota Blitar</t>
  </si>
  <si>
    <t>Dlaundryinaja/PAS Laundry Ciliwung</t>
  </si>
  <si>
    <t>Dlaundryinaja/DLaundryinaja Clean Care</t>
  </si>
  <si>
    <t>Dlaundryinaja/Dlaundryinaja</t>
  </si>
  <si>
    <t>Shira Hardianti</t>
  </si>
  <si>
    <t>0857 36060869</t>
  </si>
  <si>
    <t>sibersihmanajemen@gmail.com</t>
  </si>
  <si>
    <t>Sibersih Laundry</t>
  </si>
  <si>
    <t>Ruko Western Regency blok I no 20</t>
  </si>
  <si>
    <t>Ria</t>
  </si>
  <si>
    <t xml:space="preserve">0813 88132209
</t>
  </si>
  <si>
    <t>riasafitri188@gmail.com</t>
  </si>
  <si>
    <t>Marsya Laundry</t>
  </si>
  <si>
    <t>Perum griya wage asri 1 blok h-2</t>
  </si>
  <si>
    <t xml:space="preserve">JaGO LOUNDRY </t>
  </si>
  <si>
    <t>0812 49027088</t>
  </si>
  <si>
    <t>librautama399@gmail.com</t>
  </si>
  <si>
    <t>JaGO LOUNDRY</t>
  </si>
  <si>
    <t>Dinoyo Tangsi VI No.20, RT 4, RW.3</t>
  </si>
  <si>
    <t>Atik Nurbayati</t>
  </si>
  <si>
    <t>0812 59819220</t>
  </si>
  <si>
    <t>atiknurbayati@gmail.com</t>
  </si>
  <si>
    <t>Delisha Laundry</t>
  </si>
  <si>
    <t>Jl.H.Syukur No.75 Sedati Sidoarjo</t>
  </si>
  <si>
    <t>Dobita Laundry Express</t>
  </si>
  <si>
    <t>0858 78324000</t>
  </si>
  <si>
    <t>dobita.laundry@gmail.com</t>
  </si>
  <si>
    <t>Jl. Raya Tembelang 428</t>
  </si>
  <si>
    <t>pipi</t>
  </si>
  <si>
    <t>0812 25713335</t>
  </si>
  <si>
    <t>suburoye56@gmail.com</t>
  </si>
  <si>
    <t>gloria laundry</t>
  </si>
  <si>
    <t>desa genjeng loceret nganjuk</t>
  </si>
  <si>
    <t xml:space="preserve">Detergent Laundry </t>
  </si>
  <si>
    <t>0857 84000336</t>
  </si>
  <si>
    <t>detergentlaundry12@gmail.com</t>
  </si>
  <si>
    <t>Deter_Gent Laundry</t>
  </si>
  <si>
    <t>Jl Wilis Madya no 3.</t>
  </si>
  <si>
    <t xml:space="preserve">nofia farida </t>
  </si>
  <si>
    <t>0858 51117278</t>
  </si>
  <si>
    <t>Momslaundrymoms@gmail.com</t>
  </si>
  <si>
    <t>Mom's Clean</t>
  </si>
  <si>
    <t>Jl. Kupang Gunung Timur 4/15</t>
  </si>
  <si>
    <t>Herlan Subandono</t>
  </si>
  <si>
    <t>813 34425180</t>
  </si>
  <si>
    <t>kendilwashingclinic@gmail.com</t>
  </si>
  <si>
    <t>Kendil Washing Clinic / Peganden</t>
  </si>
  <si>
    <t>Kab. Gresik</t>
  </si>
  <si>
    <t>jln. banjarmadin no 18 Perumahan Gresik Kota Baru</t>
  </si>
  <si>
    <t>Fika Tri</t>
  </si>
  <si>
    <t>0812 32915286</t>
  </si>
  <si>
    <t>fikatf@gmail.com</t>
  </si>
  <si>
    <t>Uti Laundry/ Laundry-Qu Surabaya</t>
  </si>
  <si>
    <t>jl. kedurus dukuh 1 no 63</t>
  </si>
  <si>
    <t xml:space="preserve">erma Uyun </t>
  </si>
  <si>
    <t>0812 31886611</t>
  </si>
  <si>
    <t>amuntailaundry@gmail.com</t>
  </si>
  <si>
    <t>Amuntai Laundry</t>
  </si>
  <si>
    <t>Jalan Amuntai No. 50 GKB</t>
  </si>
  <si>
    <t>Hendrianto</t>
  </si>
  <si>
    <t>0812 93755102</t>
  </si>
  <si>
    <t>hendrianto90@gmail.com</t>
  </si>
  <si>
    <t>Satelit Laundry</t>
  </si>
  <si>
    <t>Satelit Utara 8 blok BT-5</t>
  </si>
  <si>
    <t>Ghania Azkadina</t>
  </si>
  <si>
    <t>0822 31162434</t>
  </si>
  <si>
    <t>medsosibnu@gmail.com</t>
  </si>
  <si>
    <t>SunLaundryExpress/LONDREQU EXPRESS JBR1</t>
  </si>
  <si>
    <t>Kab. Jember</t>
  </si>
  <si>
    <t>https://maps.app.goo.gl/4T1UUDx4snf2VtTd6</t>
  </si>
  <si>
    <t>Galuh Purnama</t>
  </si>
  <si>
    <t>0821 41541232</t>
  </si>
  <si>
    <t>Galuhpurnama328@gmail.com</t>
  </si>
  <si>
    <t>ABAH LAUNDRY/ABAH LAUNDRY PELEM WATU</t>
  </si>
  <si>
    <t>jl. raya pelemwatu menganti gresik</t>
  </si>
  <si>
    <t>maulana musa</t>
  </si>
  <si>
    <t>0859 34498677</t>
  </si>
  <si>
    <t>maulanamusa89@gmail.com</t>
  </si>
  <si>
    <t>atlantis</t>
  </si>
  <si>
    <t>Kab. Lamongan</t>
  </si>
  <si>
    <t>jl. andanwangi no.31 lamongan</t>
  </si>
  <si>
    <t>Ayik 16</t>
  </si>
  <si>
    <t>0812 99083502</t>
  </si>
  <si>
    <t>estehanaknegeri16@gmail.com</t>
  </si>
  <si>
    <t>Sahabat Laundry 16/Sahabat Laundry 16</t>
  </si>
  <si>
    <t>Jl. Bulak Rukem Timur 2C No. 16 Surabaya</t>
  </si>
  <si>
    <t>816 34425180</t>
  </si>
  <si>
    <t>Kendil Washing Clinic/Gresik Kota Baru</t>
  </si>
  <si>
    <t xml:space="preserve">GIGALAUNDRY </t>
  </si>
  <si>
    <t>0812 3255 5964</t>
  </si>
  <si>
    <t>giga laundry</t>
  </si>
  <si>
    <t>perum Grand Masangan B2/20</t>
  </si>
  <si>
    <t>Rica Yena</t>
  </si>
  <si>
    <t>0813 3609 7751</t>
  </si>
  <si>
    <t>yenai5387@gmail.com</t>
  </si>
  <si>
    <t>X- Laundry/  X- Clusive Laundry</t>
  </si>
  <si>
    <t>Kab. Bangkalan</t>
  </si>
  <si>
    <t>Perum Ar Royan Blok C no 10</t>
  </si>
  <si>
    <t>novi indrawati</t>
  </si>
  <si>
    <t>0812 3443 4374</t>
  </si>
  <si>
    <t>CUBER</t>
  </si>
  <si>
    <t>kota malang</t>
  </si>
  <si>
    <t xml:space="preserve">Juni </t>
  </si>
  <si>
    <t>819 34425180</t>
  </si>
  <si>
    <t>Kendil Washing Clinic / Pondok Permata Suci</t>
  </si>
  <si>
    <t>817 34425180</t>
  </si>
  <si>
    <t>Kendil Washing Clinic/Perum Bunder Asri</t>
  </si>
  <si>
    <t>Rahmawati Rahayu</t>
  </si>
  <si>
    <t>0822 7711 4449</t>
  </si>
  <si>
    <t>rammarahayu@gmail.com</t>
  </si>
  <si>
    <t>LAUNDRY IN SAJA</t>
  </si>
  <si>
    <t>Jalan erlangga no 37, kota pasuruan</t>
  </si>
  <si>
    <t xml:space="preserve">mia </t>
  </si>
  <si>
    <t>0823 3355 9797</t>
  </si>
  <si>
    <t>miawwww@gmail.com</t>
  </si>
  <si>
    <t>Laundry Karpet Kediri</t>
  </si>
  <si>
    <t>JL. SMA 6 No 76 Ngasinan Kota Kediri</t>
  </si>
  <si>
    <t>intan tiketing</t>
  </si>
  <si>
    <t>0857 3032 1522</t>
  </si>
  <si>
    <t>intan.tiketing@gmail.com</t>
  </si>
  <si>
    <t>GOKIL/KilaT Loundry</t>
  </si>
  <si>
    <t>ploso baru no. 18</t>
  </si>
  <si>
    <t>Wawan</t>
  </si>
  <si>
    <t>0895 2267 6707</t>
  </si>
  <si>
    <t>ASSA LAUNDRY</t>
  </si>
  <si>
    <t>Kota Madiun</t>
  </si>
  <si>
    <t>Jl. Tawangsari No.61</t>
  </si>
  <si>
    <t>SunLaundryExpress/LONDREQU EXPRESS JBR2</t>
  </si>
  <si>
    <t>ANNaz Laundry/ANNaz Laundry 02</t>
  </si>
  <si>
    <t xml:space="preserve">Loundry Sumi88 </t>
  </si>
  <si>
    <t>0812 9760 5696</t>
  </si>
  <si>
    <t>loundrysumi88@gmail.com</t>
  </si>
  <si>
    <t>Loundry Sumi88</t>
  </si>
  <si>
    <t xml:space="preserve">Kab. Gresik </t>
  </si>
  <si>
    <t>Jl.Peganden Raya</t>
  </si>
  <si>
    <t xml:space="preserve">Priyanti </t>
  </si>
  <si>
    <t>0813 36721477</t>
  </si>
  <si>
    <t>alif.tct@gmail.com</t>
  </si>
  <si>
    <t>AA LAUNDRY JEMBER</t>
  </si>
  <si>
    <t>Jl.Semeru , Pancakarya , Ajung - Jember</t>
  </si>
  <si>
    <t>dir Laundry &amp; Dry Clean/dir Laundry &amp; Dry Clean 2</t>
  </si>
  <si>
    <t>SISMA BISNIS</t>
  </si>
  <si>
    <t>087859102617</t>
  </si>
  <si>
    <t>sismabisnis@gmail.com</t>
  </si>
  <si>
    <t>SISMA CLEAN/SISMA CLEAN 3</t>
  </si>
  <si>
    <t>Jl. Sumbersari</t>
  </si>
  <si>
    <t>082141541232</t>
  </si>
  <si>
    <t>ABAH LAUNDRY/ABAH LAUNDRY DOMAS</t>
  </si>
  <si>
    <t>Jawa Timur</t>
  </si>
  <si>
    <t>814 34425180</t>
  </si>
  <si>
    <t>Kendil Washing Clinic / Special Service</t>
  </si>
  <si>
    <t>085748851449</t>
  </si>
  <si>
    <t>cheru454@gmail.com</t>
  </si>
  <si>
    <t>Pink Laundry/Laundry SHOW</t>
  </si>
  <si>
    <t>Cerme, Pace Kab. Nganjuk</t>
  </si>
  <si>
    <t>rima diana</t>
  </si>
  <si>
    <t>08563320900</t>
  </si>
  <si>
    <t>rimadiana@gmail.com</t>
  </si>
  <si>
    <t>FRESH LAUNDRY</t>
  </si>
  <si>
    <t>Desa Slawe</t>
  </si>
  <si>
    <t>Varika Khusna</t>
  </si>
  <si>
    <t>081331702536</t>
  </si>
  <si>
    <t>varikakhusna@gmail.com</t>
  </si>
  <si>
    <t>MBOK E LAUNDRY</t>
  </si>
  <si>
    <t>JL. MUSI BARAT NO 45 DAWUHAN KOTA BLITAR</t>
  </si>
  <si>
    <t>aurora laundry</t>
  </si>
  <si>
    <t>081567989414</t>
  </si>
  <si>
    <t>Kota kediri</t>
  </si>
  <si>
    <t>jalan sumber jiput 28A</t>
  </si>
  <si>
    <t>ANNaz Laundry/ANNaz Laundry 03</t>
  </si>
  <si>
    <t xml:space="preserve">Nita </t>
  </si>
  <si>
    <t>082230005856</t>
  </si>
  <si>
    <t>nitapurwaningsih83@gmail.com</t>
  </si>
  <si>
    <t>DETERGENT LAUNDRY</t>
  </si>
  <si>
    <t>jl pilang darma no 6f pilangbango madiun</t>
  </si>
  <si>
    <t>Frenki Hardjono</t>
  </si>
  <si>
    <t>081231358968</t>
  </si>
  <si>
    <t>hardonofrenki858@gmail.com</t>
  </si>
  <si>
    <t>rejeki laundry</t>
  </si>
  <si>
    <t>jl. kampung malang tengah 1 no.1b</t>
  </si>
  <si>
    <t xml:space="preserve">Adib Muqosis </t>
  </si>
  <si>
    <t>0857 46676 6017</t>
  </si>
  <si>
    <t>adibcoy.1984@gmail.com</t>
  </si>
  <si>
    <t>JADID LAUNDRY</t>
  </si>
  <si>
    <t>Jl. Simpang Poros No. 48 RT. 02 RW. 01</t>
  </si>
  <si>
    <t>815 34425180</t>
  </si>
  <si>
    <t>Kendil Washing Clinic / Perumahan  Pongangan  Indah</t>
  </si>
  <si>
    <t xml:space="preserve"> SISMA CLEAN/SISMA CLEAN 1</t>
  </si>
  <si>
    <t>081226415187</t>
  </si>
  <si>
    <t>mitralaundry9@gmail.com</t>
  </si>
  <si>
    <t>sukorame</t>
  </si>
  <si>
    <t>PP AL-MALIKY</t>
  </si>
  <si>
    <t>0895 33377 6363</t>
  </si>
  <si>
    <t>indra18@alqolam.ac.id</t>
  </si>
  <si>
    <t>SuWa Laundry</t>
  </si>
  <si>
    <t>jl sumber waras RT 12 RW 02 desa ganjaran</t>
  </si>
  <si>
    <t>Arief Suparto</t>
  </si>
  <si>
    <t>0816 1932 679</t>
  </si>
  <si>
    <t>rejeki loundry</t>
  </si>
  <si>
    <t>kampung malang tengah</t>
  </si>
  <si>
    <t>Nawaputra</t>
  </si>
  <si>
    <t>0822 2995 0095</t>
  </si>
  <si>
    <t>loondryman.sub@gmail.com</t>
  </si>
  <si>
    <t>Loondryman Kebonsari</t>
  </si>
  <si>
    <t>Kebonsari Tengah No 89</t>
  </si>
  <si>
    <t>818 34425180</t>
  </si>
  <si>
    <t>Kendil Washing Clinic/Dahanrejo</t>
  </si>
  <si>
    <t>4SDR</t>
  </si>
  <si>
    <t>085731010515</t>
  </si>
  <si>
    <t>berkahlaundry2@gmail.com</t>
  </si>
  <si>
    <t>Jl. poros Peganden ManyarDEPAN TOKO BANGUNAN AVIA PEGANDEN, MANYAR</t>
  </si>
  <si>
    <t>0812 34425180</t>
  </si>
  <si>
    <t>Kendil Washing Clinic / Ahmad Yani</t>
  </si>
  <si>
    <t>rusda lutfiah</t>
  </si>
  <si>
    <t>0812 49123952</t>
  </si>
  <si>
    <t>izzuli370@gmail.com</t>
  </si>
  <si>
    <t>izzul laundry express 3 jam</t>
  </si>
  <si>
    <t>jl.h.syukur rt17 rw 08 sedati gede - sedati - sidoarjo</t>
  </si>
  <si>
    <t>Sahabat Laundry 16/Sahabat Laundry 16 Setro</t>
  </si>
  <si>
    <t>Yudhistira Ardi</t>
  </si>
  <si>
    <t>0811 3789987</t>
  </si>
  <si>
    <t>Shoe Clean</t>
  </si>
  <si>
    <t>Griya permata gedangan blok M3 no 1B</t>
  </si>
  <si>
    <t>Yuni indri</t>
  </si>
  <si>
    <t>0852 59201497</t>
  </si>
  <si>
    <t>yuniindri63@gmail.com</t>
  </si>
  <si>
    <t>DYS Laundry Card</t>
  </si>
  <si>
    <t>Jl. Jatisari 2/6 Pepelegi - Waru - Sidoarjo</t>
  </si>
  <si>
    <t xml:space="preserve">Heny Nuraini </t>
  </si>
  <si>
    <t>0812 98927000</t>
  </si>
  <si>
    <t>dequeen239@gmail.com</t>
  </si>
  <si>
    <t>De'Queen</t>
  </si>
  <si>
    <t>jln.sunan drajad 239</t>
  </si>
  <si>
    <t>087723823339</t>
  </si>
  <si>
    <t>bmwlaundry28@gmail.com</t>
  </si>
  <si>
    <t>BMW LAUNDRY/BERKAH LAUNDRY</t>
  </si>
  <si>
    <t>jl. poros peganden no. 41 Manyar Gresik</t>
  </si>
  <si>
    <t>Bestie Laundry</t>
  </si>
  <si>
    <t>082141996221</t>
  </si>
  <si>
    <t>ninna.doddo@gmail.com</t>
  </si>
  <si>
    <t>BESTIE LAUNDRY</t>
  </si>
  <si>
    <t>Ruko Depan Pasar Kweden, Jalan Masjid Kweden, Karangrejo, Ngasem, Kediri</t>
  </si>
  <si>
    <t xml:space="preserve">Malik Maulana </t>
  </si>
  <si>
    <t>081332302835</t>
  </si>
  <si>
    <t>AUREL LAUNDRY</t>
  </si>
  <si>
    <t>Kedurus Dukuh 1 no 63</t>
  </si>
  <si>
    <t>082337602030</t>
  </si>
  <si>
    <t>ANNaz Laundry/ANNaz Laundry 04</t>
  </si>
  <si>
    <t>Laundry's 88</t>
  </si>
  <si>
    <t>081334374070</t>
  </si>
  <si>
    <t>iasa.alfia@icloud.com</t>
  </si>
  <si>
    <t>Ruko palma galleria RB 01/15 , Citraland Utara - Surabaya</t>
  </si>
  <si>
    <t xml:space="preserve">Ayu </t>
  </si>
  <si>
    <t>082141060807</t>
  </si>
  <si>
    <t>ayudwiyanti21@gmail.com</t>
  </si>
  <si>
    <t>Buka Laundry K8</t>
  </si>
  <si>
    <t>Perumahan Pesona Jingga Residence Blok K8 Kecamatan Gampengrejo Kabupaten Kediri</t>
  </si>
  <si>
    <t>surani</t>
  </si>
  <si>
    <t>081252773583</t>
  </si>
  <si>
    <t>laundry95701@gmail.com</t>
  </si>
  <si>
    <t>RANI LAUNDRY SYAR'I MALANG</t>
  </si>
  <si>
    <t>jl raya Kebonsari no 7 RT 03/01</t>
  </si>
  <si>
    <t xml:space="preserve">Pandapotan </t>
  </si>
  <si>
    <t>0811301039</t>
  </si>
  <si>
    <t>tuntaslaundrytenggumung@gmail.com</t>
  </si>
  <si>
    <t>TUNTAS TENGGUMUNG/TUNTAS COIN LAUNDRY KUPANG</t>
  </si>
  <si>
    <t>Jl.Tenggumung Karya Lor No.53</t>
  </si>
  <si>
    <t xml:space="preserve">Indah </t>
  </si>
  <si>
    <t>082330020181</t>
  </si>
  <si>
    <t>Trika Laundry</t>
  </si>
  <si>
    <t>Kompleks Pertokoan Depan Perumahan Nuansa Candi 4 Petahunan, Gadingrejo Kota Pasuruan</t>
  </si>
  <si>
    <t>Pandapotan</t>
  </si>
  <si>
    <t>TUNTAS TENGGUMUNG/TUNTAS LAUNDRY SIKUMANA</t>
  </si>
  <si>
    <t>085171614119</t>
  </si>
  <si>
    <t>sitifatimah111989@gmail.com</t>
  </si>
  <si>
    <t>Aya laundry</t>
  </si>
  <si>
    <t>jl.raya pasar Glenmore perumahan partika residence(Belakang apotik Glenmore)</t>
  </si>
  <si>
    <t xml:space="preserve">Fitriya </t>
  </si>
  <si>
    <t>089681065730</t>
  </si>
  <si>
    <t>fitriamasruroh5@gmail.com</t>
  </si>
  <si>
    <t>Bendil Panggungrejo Tulungagung</t>
  </si>
  <si>
    <t>081336097751</t>
  </si>
  <si>
    <t>X- Laundry/Chayra Laundry</t>
  </si>
  <si>
    <t>Jl raya telang</t>
  </si>
  <si>
    <t xml:space="preserve">Leman </t>
  </si>
  <si>
    <t>081217618317</t>
  </si>
  <si>
    <t>lemanmaz17@gmail.com</t>
  </si>
  <si>
    <t>ISLAH LAUNDRY</t>
  </si>
  <si>
    <t>jl Sukolilo Larangan Sukolilo Baru kec Bulak kota Surabaya</t>
  </si>
  <si>
    <t>TUNTAS TENGGUMUNG/TUNTAS MENGANTI</t>
  </si>
  <si>
    <t>Shinner</t>
  </si>
  <si>
    <t>085150655339</t>
  </si>
  <si>
    <t>sinner230997@gmail.com</t>
  </si>
  <si>
    <t>shinner</t>
  </si>
  <si>
    <t>jl asri rt01 rw 02</t>
  </si>
  <si>
    <t>Siti Nur Rohma</t>
  </si>
  <si>
    <t>082331066999</t>
  </si>
  <si>
    <t>sitinurrohma1404@gmail.com</t>
  </si>
  <si>
    <t>raka laundry</t>
  </si>
  <si>
    <t>jalan Soekarno Hatta 108</t>
  </si>
  <si>
    <t>Saifuddin Abbas</t>
  </si>
  <si>
    <t>08123316305</t>
  </si>
  <si>
    <t>Rich Londry Menganti</t>
  </si>
  <si>
    <t>jl. Raya Wonokoyo, Menganti, Gresik</t>
  </si>
  <si>
    <t>Indri Triani Tjandrawati</t>
  </si>
  <si>
    <t>08123187588</t>
  </si>
  <si>
    <t>indritriani.tjandrawati@gmail.com</t>
  </si>
  <si>
    <t>Taman Tiara VBT 51</t>
  </si>
  <si>
    <t>08113789987</t>
  </si>
  <si>
    <t>Shoe Clean/Shoe clean semambung</t>
  </si>
  <si>
    <t>Rumah Laundry keluarga</t>
  </si>
  <si>
    <t>081216129585</t>
  </si>
  <si>
    <t>rumahlaundrykeluarga@gmail.com</t>
  </si>
  <si>
    <t>Rumah Laundry Keluarga</t>
  </si>
  <si>
    <t>jl. dr. wahidin sudirohusodo no 74 sengon jombang</t>
  </si>
  <si>
    <t>Aldio Ferdyan</t>
  </si>
  <si>
    <t>08993373130</t>
  </si>
  <si>
    <t>hi.sansinc@gmail.com</t>
  </si>
  <si>
    <t>Sans Inc.</t>
  </si>
  <si>
    <t>Sidoarjo</t>
  </si>
  <si>
    <t>Mutiara Laundry Gresik</t>
  </si>
  <si>
    <t>085707121732</t>
  </si>
  <si>
    <t>mutiaraexpresslaundry@gmail.com</t>
  </si>
  <si>
    <t>Mutiara Express Laundry/Mutiara Laundry GKB</t>
  </si>
  <si>
    <t>Jalan Sumatra no 25 GKB Gresik</t>
  </si>
  <si>
    <t>Mutiara Express Laundr/Laundry Karpet Gresik</t>
  </si>
  <si>
    <t>Dina Putri</t>
  </si>
  <si>
    <t>085933215071</t>
  </si>
  <si>
    <t>dlaundry2028@gmail.com</t>
  </si>
  <si>
    <t>D' Laundry</t>
  </si>
  <si>
    <t>Madiun</t>
  </si>
  <si>
    <t>TUNTAS TENGGUMUNG/TUNTAS LASIANA</t>
  </si>
  <si>
    <t>Shoe Clean/Shoe Clean Banyuwangi 1</t>
  </si>
  <si>
    <t>Yudi Susanto</t>
  </si>
  <si>
    <t>082244466567</t>
  </si>
  <si>
    <t>gealgeolgembong@gmail.com</t>
  </si>
  <si>
    <t>Mr klin loundry</t>
  </si>
  <si>
    <t>Kab. Pasuruan</t>
  </si>
  <si>
    <t>ruko kancil mas kav 10</t>
  </si>
  <si>
    <t>Edo Aditya</t>
  </si>
  <si>
    <t>085157500392</t>
  </si>
  <si>
    <t>delaundry2025@gmail.com</t>
  </si>
  <si>
    <t>DE FAMILY LAUNDRY</t>
  </si>
  <si>
    <t>Jl. Raya Gadel Tengah 35b</t>
  </si>
  <si>
    <t>Yonastasya A. Puny</t>
  </si>
  <si>
    <t>085117070330</t>
  </si>
  <si>
    <t>setrikain.skdn@gmail.com</t>
  </si>
  <si>
    <t>Setrikain/Setrikain Sukodono</t>
  </si>
  <si>
    <t>Jl Karangnongko no 9, Pekorungan</t>
  </si>
  <si>
    <t xml:space="preserve">Chandra novia anggraini </t>
  </si>
  <si>
    <t>085649022225</t>
  </si>
  <si>
    <t>chandra.novia87@gmail.com</t>
  </si>
  <si>
    <t>Cahaya Laundr/Cahaya Laundry</t>
  </si>
  <si>
    <t>DS.karangtalun RT/RW:03/02 Kec.kras kab.kediri</t>
  </si>
  <si>
    <t>dea nathania</t>
  </si>
  <si>
    <t>081238110003</t>
  </si>
  <si>
    <t>kilolaundrysingosari@gmail.com</t>
  </si>
  <si>
    <t>Kilo Laundry Singosari/Kilo Laundry Singosari</t>
  </si>
  <si>
    <t>Jl raya mondoroko, mondoroko, singosari, kec. singosari, kabupaten malang, jawa timur 65153</t>
  </si>
  <si>
    <t>ulfa</t>
  </si>
  <si>
    <t>085853958526</t>
  </si>
  <si>
    <t>bintang laundry/bintang laundry</t>
  </si>
  <si>
    <t>jl Jombang RT 01 rw 11 Kandangan Kediri (dpn pasar buah)</t>
  </si>
  <si>
    <t>Kilo Laundry Singosari/Kilo Laundry Kasim</t>
  </si>
  <si>
    <t>Jl Sulawesi No A4, Kasin</t>
  </si>
  <si>
    <t>Alban Vincent Wikardo</t>
  </si>
  <si>
    <t>085856408508</t>
  </si>
  <si>
    <t>cuccilaundrymalang@gmail.com</t>
  </si>
  <si>
    <t>Cucci Laundry Malang/Cucci Laundry Malang</t>
  </si>
  <si>
    <t>Jl. Joyo Tambaksari no.23</t>
  </si>
  <si>
    <t xml:space="preserve">Siti Umayah </t>
  </si>
  <si>
    <t>082132390280</t>
  </si>
  <si>
    <t>Super Laundry/Super Laundry</t>
  </si>
  <si>
    <t>Jln. Raya Bypass Juanda No.35</t>
  </si>
  <si>
    <t>Detergent Laundry nusakambangan</t>
  </si>
  <si>
    <t>081805308649</t>
  </si>
  <si>
    <t>detergentlaundrynusakambangan@gmail.com</t>
  </si>
  <si>
    <t>Detergent laundry/Detergent laundry</t>
  </si>
  <si>
    <t>jl. Nusakambangan (ruko depan pintu RKZ)</t>
  </si>
  <si>
    <t>Jeffry indratmoko</t>
  </si>
  <si>
    <t>087874992191</t>
  </si>
  <si>
    <t>jeppproperty@gmail.com</t>
  </si>
  <si>
    <t>King Tuntas Laundry/Sawojajar King Tuntas Laundry</t>
  </si>
  <si>
    <t>jl watugong no 5</t>
  </si>
  <si>
    <t>King Tuntas Laundry/Watugong king Tuntas Laundry</t>
  </si>
  <si>
    <t xml:space="preserve">Kendil Customer Service Center </t>
  </si>
  <si>
    <t>081234425180</t>
  </si>
  <si>
    <t>Kendil Washing Clinic/KENDIL AC CARE</t>
  </si>
  <si>
    <t>Jl. Banjarmasin No 18 GKB</t>
  </si>
  <si>
    <t>TUNTAS TENGGUMUNG/TUNTAS LAUNDRY LABUAN BAJO</t>
  </si>
  <si>
    <t xml:space="preserve">Ocean Loundry </t>
  </si>
  <si>
    <t>085173255448</t>
  </si>
  <si>
    <t>oceanloundry23@gmail.com</t>
  </si>
  <si>
    <t>Green Ocean Loundry/Green Ocean Loundry</t>
  </si>
  <si>
    <t>jl ikan paus raya no 18</t>
  </si>
  <si>
    <t>Berkah Laundry Express Bambe</t>
  </si>
  <si>
    <t>082199987133</t>
  </si>
  <si>
    <t>berkahgroup.laundryexpress@gmail.com</t>
  </si>
  <si>
    <t>Berkah Laundry Express Bambe/Berkah Laundry Express Bambe</t>
  </si>
  <si>
    <t>raya bambe 170, ngambar, driyorejo, kabupaten gresik</t>
  </si>
  <si>
    <t>Anna</t>
  </si>
  <si>
    <t>08155025257</t>
  </si>
  <si>
    <t>anna.wahyu05@gmail.com</t>
  </si>
  <si>
    <t>Aisyah Loandry/Aisyah Loandry</t>
  </si>
  <si>
    <t>Kab. Madiun</t>
  </si>
  <si>
    <t>Gunungsari kab. Madiun</t>
  </si>
  <si>
    <t>burhannns</t>
  </si>
  <si>
    <t>085704481282</t>
  </si>
  <si>
    <t>burhannns38@gmail.com</t>
  </si>
  <si>
    <t>Bintang laundry/Bintang laundry</t>
  </si>
  <si>
    <t>Desa Woro, Kec. kepohbaru, kab. Bojonegoro</t>
  </si>
  <si>
    <t>LONDREQU JBR 01/02</t>
  </si>
  <si>
    <t>082231162434</t>
  </si>
  <si>
    <t>SunLaundryExpress/LONDREQU EXPRESS TEGAL BESAR</t>
  </si>
  <si>
    <t>JL M YAMIN RUKO BLOK H2</t>
  </si>
  <si>
    <t xml:space="preserve">bibi </t>
  </si>
  <si>
    <t>0821433322602</t>
  </si>
  <si>
    <t>BIBI LAUNDRY/BIBI LAUNDRY</t>
  </si>
  <si>
    <t>desa klutuk, kramat jegu</t>
  </si>
  <si>
    <t xml:space="preserve">Ingewati Puguh </t>
  </si>
  <si>
    <t>08133953048</t>
  </si>
  <si>
    <t>bengbeng96@yahoo.com</t>
  </si>
  <si>
    <t>Happy Laundry/Happy Laundry</t>
  </si>
  <si>
    <t>Jl. Pierre TendeanBanyuwangi</t>
  </si>
  <si>
    <t xml:space="preserve">CHANDRA </t>
  </si>
  <si>
    <t>081231352345</t>
  </si>
  <si>
    <t>CUCIKU LAUNDRY/CUCIKU LAUNDRY TS</t>
  </si>
  <si>
    <t>SURABAYA</t>
  </si>
  <si>
    <t xml:space="preserve">erlina </t>
  </si>
  <si>
    <t>083825293476</t>
  </si>
  <si>
    <t>erlinacolecction@gmail.com</t>
  </si>
  <si>
    <t>King laundry/King laundry</t>
  </si>
  <si>
    <t>Kab. Magetan</t>
  </si>
  <si>
    <t>laundry coin self service</t>
  </si>
  <si>
    <t xml:space="preserve">ulfa </t>
  </si>
  <si>
    <t>bintang laundry/bintang laundry badas</t>
  </si>
  <si>
    <t>Rizky Lia Febianty</t>
  </si>
  <si>
    <t>081334611597</t>
  </si>
  <si>
    <t>kikiyimoet@gmail.com</t>
  </si>
  <si>
    <t>Laundrypedia/Laundrypedia</t>
  </si>
  <si>
    <t>Perum Berlian Kencana Sari Blok P 14 Panjunan Sukodono Sidoarjo</t>
  </si>
  <si>
    <t>Leonard Ditus</t>
  </si>
  <si>
    <t>0821 5027 2442</t>
  </si>
  <si>
    <t>Dituspoyk12@gmail.com</t>
  </si>
  <si>
    <t>Qios Laundry Sintang/Qios Laundry</t>
  </si>
  <si>
    <t>Kab. Sintang</t>
  </si>
  <si>
    <t>jln. lintas melawi</t>
  </si>
  <si>
    <t xml:space="preserve">Deasy Yusnita </t>
  </si>
  <si>
    <t>0852 9694 4567</t>
  </si>
  <si>
    <t>bunda.laundry1978@gmail.com</t>
  </si>
  <si>
    <t>Bunda Laundry/	BUNDA LAUNDRY 2</t>
  </si>
  <si>
    <t>Jl. kelam Gg. geriang tapang no 19b Sintang</t>
  </si>
  <si>
    <t>Widiatuning</t>
  </si>
  <si>
    <t>0823 0101 3131</t>
  </si>
  <si>
    <t>ftshop083@gmail.com</t>
  </si>
  <si>
    <t xml:space="preserve">FT. laundry/ FT_Laundry        </t>
  </si>
  <si>
    <t>Kota Pontianak</t>
  </si>
  <si>
    <t>Jalan HM. Suwignyo no. 16 Pontianak</t>
  </si>
  <si>
    <t>Dwi Okta</t>
  </si>
  <si>
    <t>0852 45916003</t>
  </si>
  <si>
    <t>dwiokta.pnk@gmail.com</t>
  </si>
  <si>
    <t xml:space="preserve">Laundry ZonaFresh </t>
  </si>
  <si>
    <t>Jl. Putricandramidi Gg. Podomulyo No. 1</t>
  </si>
  <si>
    <t>Ismail Akbar</t>
  </si>
  <si>
    <t>0852 51394079</t>
  </si>
  <si>
    <t>ismail2015648@gmail.com</t>
  </si>
  <si>
    <t xml:space="preserve">Akbar Laundry </t>
  </si>
  <si>
    <t>jln dr Sutomo GG karya 1 no 78 Akbar Laundry dan Service Pontianak Kalimantan barat</t>
  </si>
  <si>
    <t>Bonefasius Hery</t>
  </si>
  <si>
    <t>0821 48685448</t>
  </si>
  <si>
    <t>herymamslaundry@gmail.com</t>
  </si>
  <si>
    <t>Mams Laundry</t>
  </si>
  <si>
    <t>Kab. Kapuas Hulu</t>
  </si>
  <si>
    <t>Jl. A Pangkar Hilir Kantor, Putussibau</t>
  </si>
  <si>
    <t>QUEEN LAUNDRY</t>
  </si>
  <si>
    <t>0896 49823122</t>
  </si>
  <si>
    <t>laundryqueen736@gmail.com</t>
  </si>
  <si>
    <t>Queen Laundry (QUEEN LAUNDRY)</t>
  </si>
  <si>
    <t>Kab. Bengkayang</t>
  </si>
  <si>
    <t>dusun jawa</t>
  </si>
  <si>
    <t>Tita</t>
  </si>
  <si>
    <t>0895 600381258</t>
  </si>
  <si>
    <t>titaariani463@gmail.com</t>
  </si>
  <si>
    <t>Gifari laundri</t>
  </si>
  <si>
    <t>Kab. Pontianak</t>
  </si>
  <si>
    <t>jl.ampera jungkat gg. dua. no 003</t>
  </si>
  <si>
    <t>yanta</t>
  </si>
  <si>
    <t>0852 15014608</t>
  </si>
  <si>
    <t>yantahutapea1@gmail.com</t>
  </si>
  <si>
    <t>Mars Laundry</t>
  </si>
  <si>
    <t>Jl. Tekam Gg. Jelutung 1</t>
  </si>
  <si>
    <t>Nina Heryani</t>
  </si>
  <si>
    <t>0812 58149650</t>
  </si>
  <si>
    <t>ninasupriatna@gmail.com</t>
  </si>
  <si>
    <t>Bunda Setrika</t>
  </si>
  <si>
    <t>Jl.Dr Wahidin Gg Batas Pandang Jalur 7 no 2a</t>
  </si>
  <si>
    <t>Tengku Darma Yunita</t>
  </si>
  <si>
    <t>0813 49346615</t>
  </si>
  <si>
    <t>ranggapratama.22887@gmail.com</t>
  </si>
  <si>
    <t>Kalea Laundry</t>
  </si>
  <si>
    <t>Kab. Kayong Utara</t>
  </si>
  <si>
    <t>Jl. Bhayangkara RT.001 RW.016</t>
  </si>
  <si>
    <t>Arie Bisnis</t>
  </si>
  <si>
    <t>0813 46683575</t>
  </si>
  <si>
    <t>adelwinarie@gmail.com</t>
  </si>
  <si>
    <t>O'Laundry</t>
  </si>
  <si>
    <t>Jalan Purnama II, No 34</t>
  </si>
  <si>
    <t>diah isnina</t>
  </si>
  <si>
    <t>0852 52569760</t>
  </si>
  <si>
    <t>diahisnina18@gmail.com</t>
  </si>
  <si>
    <t>Al-Kareem Laundry</t>
  </si>
  <si>
    <t>Kab. Ketapang</t>
  </si>
  <si>
    <t>Jl. Gajah Mada No.180</t>
  </si>
  <si>
    <t>Mahir Laundry</t>
  </si>
  <si>
    <t>0897 8306933</t>
  </si>
  <si>
    <t>mahirlaundry@gmail.com</t>
  </si>
  <si>
    <t>Kab. Kubu Raya</t>
  </si>
  <si>
    <t>Jalan Arteri Supadio Komplek Angkasa Permai A.8</t>
  </si>
  <si>
    <t>Zeppin Owner</t>
  </si>
  <si>
    <t>0818 822261</t>
  </si>
  <si>
    <t>tkgzeppin@gmail.com</t>
  </si>
  <si>
    <t>Zeppin Laundry</t>
  </si>
  <si>
    <t>Jl.Ismail Marzuki no.56 Pontianak</t>
  </si>
  <si>
    <t>Aye / Desi</t>
  </si>
  <si>
    <t>0895 4029 18417</t>
  </si>
  <si>
    <t>frescopride512@gmail.com</t>
  </si>
  <si>
    <t>Fresco Pride Laundry/Fresco Pride Laundry Siam</t>
  </si>
  <si>
    <t>Jl. Parit H.Husin 2. Ruko Komplek Pesona Mutiara Dewata no A.5</t>
  </si>
  <si>
    <t>88 LAUNDRY EXPRSS</t>
  </si>
  <si>
    <t>0852 5257 9324</t>
  </si>
  <si>
    <t>88laundryexprss@gmail.con</t>
  </si>
  <si>
    <t>88 LAUNDRY EXPRESS Sanggau/Jl. Masjid agung, sgu 085252579324 /</t>
  </si>
  <si>
    <t>Kab. Sanggau</t>
  </si>
  <si>
    <t>1.Jalan Masjid Agung, Ilir kota, Kapuas, Sanggau2. Jalan jenderal Sudirman, Bunut, Kapuas, Sanggau3. Jalan RE Martadinata, Tj Kapuas, Kapuas, Sanggau</t>
  </si>
  <si>
    <t>88 LAUNDRY EXPRESS Sanggau/Bunut, Sgu.085252579324</t>
  </si>
  <si>
    <t>88 LAUNDRY EXPRESS Sanggau/Tj Kapuas, sgu 085252579324</t>
  </si>
  <si>
    <t xml:space="preserve">Agus Supriadi </t>
  </si>
  <si>
    <t>0813 2570 1009</t>
  </si>
  <si>
    <t>supriadiagus1982@gmail.com</t>
  </si>
  <si>
    <t>Amerta laundry</t>
  </si>
  <si>
    <t>Jalan Perintis kemerdekaan Komplek gerbang permata asri No a1</t>
  </si>
  <si>
    <t>Adi Prayitno</t>
  </si>
  <si>
    <t>082110007816</t>
  </si>
  <si>
    <t>Inches Laundry Express/816 Wash Laundry Express</t>
  </si>
  <si>
    <t>Jl. Tabrani Ahmad</t>
  </si>
  <si>
    <t>Inches Laundry Express/  Big Wash Laundry 2</t>
  </si>
  <si>
    <t>0812 5615 268</t>
  </si>
  <si>
    <t>ritalim99@gmail.com</t>
  </si>
  <si>
    <t>Dansen Laundry</t>
  </si>
  <si>
    <t>Jl. Danau Sentarum (samping gg, Persatuan No. 4 Pontianak</t>
  </si>
  <si>
    <t>Dian Muslimah</t>
  </si>
  <si>
    <t>085759956566</t>
  </si>
  <si>
    <t>amanahlaudry@gmail.com</t>
  </si>
  <si>
    <t xml:space="preserve">Amanah Laudry/Amanah Laudry
</t>
  </si>
  <si>
    <t>Jl.trans kalimantan no 28A</t>
  </si>
  <si>
    <t xml:space="preserve">hataya laundry </t>
  </si>
  <si>
    <t>0812 5615 3388</t>
  </si>
  <si>
    <t>hataya.laundry@gmail.com</t>
  </si>
  <si>
    <t>Hataya Laundry</t>
  </si>
  <si>
    <t>Jl. karet komplek surya kencana V Pontianak</t>
  </si>
  <si>
    <t>Inches Laundry Express/Big Wash Laundry Express</t>
  </si>
  <si>
    <t xml:space="preserve">Randy </t>
  </si>
  <si>
    <t>0821 11118279</t>
  </si>
  <si>
    <t>nurkholistiranja@gmail.com</t>
  </si>
  <si>
    <t>Puspita Laundry</t>
  </si>
  <si>
    <t>Jl.Tanjung Raya 2, Parit Mayor, Samping Komplek Permata Kapuas 2, Pontianak Timur.</t>
  </si>
  <si>
    <t>Akbar Laundry/Gemes Laundry</t>
  </si>
  <si>
    <t>Akbar Laundry/speedwash Laundry</t>
  </si>
  <si>
    <t>ari kuswanto</t>
  </si>
  <si>
    <t>081348900099</t>
  </si>
  <si>
    <t>kuswantoari810@gmail.com</t>
  </si>
  <si>
    <t>KITO LAUNDRY</t>
  </si>
  <si>
    <t>Kab. Sekadau</t>
  </si>
  <si>
    <t>jalan merdeka barat sekadau hilir kabupaten sekadau</t>
  </si>
  <si>
    <t>Akbar Laundry/in LAUNDRY</t>
  </si>
  <si>
    <t xml:space="preserve">Yuni </t>
  </si>
  <si>
    <t>0853 9190 7799</t>
  </si>
  <si>
    <t>ifahalqadrie@gmail.com</t>
  </si>
  <si>
    <t>BIA LAUNDRY</t>
  </si>
  <si>
    <t>JL.Parit H.Muksin 2 Gg.Kalisari</t>
  </si>
  <si>
    <t>Amanah Laudry/Amanah Laundry 2</t>
  </si>
  <si>
    <t>Hantoni</t>
  </si>
  <si>
    <t>0821 5444 2393</t>
  </si>
  <si>
    <t>dbestlaundry8790@gmail.com</t>
  </si>
  <si>
    <t>D'Best laundry</t>
  </si>
  <si>
    <t>Jalan panglima aim ( Dalam bugis - Pontianak timur) No 19/20</t>
  </si>
  <si>
    <t>sapura</t>
  </si>
  <si>
    <t>0812 6179 5602</t>
  </si>
  <si>
    <t>sakura.ntn12@gmail.com</t>
  </si>
  <si>
    <t>sakura laundry</t>
  </si>
  <si>
    <t>Kota Singkawang</t>
  </si>
  <si>
    <t>sungai garam</t>
  </si>
  <si>
    <t xml:space="preserve">Adi </t>
  </si>
  <si>
    <t>0877 9687 7639</t>
  </si>
  <si>
    <t>muhammadiah99@gmail.com</t>
  </si>
  <si>
    <t>CANDU/CANDU LAUNDRY</t>
  </si>
  <si>
    <t>jl. raya jungkat</t>
  </si>
  <si>
    <t xml:space="preserve">Erin </t>
  </si>
  <si>
    <t>0822 4350 9061</t>
  </si>
  <si>
    <t>erinsilvanaputri@gmail.com</t>
  </si>
  <si>
    <t>Gaia Laundry</t>
  </si>
  <si>
    <t>Jl. Pramuka No.20 Condong, Singkawang Tengah</t>
  </si>
  <si>
    <t xml:space="preserve">Daniel Saputra </t>
  </si>
  <si>
    <t>0852 45265216</t>
  </si>
  <si>
    <t>Oce Laundry</t>
  </si>
  <si>
    <t>Jalan Prof. Dr Hamka no 65 Pontianak</t>
  </si>
  <si>
    <t>Lala</t>
  </si>
  <si>
    <t>0821 52058888</t>
  </si>
  <si>
    <t>awanni.mkost@gmail.com</t>
  </si>
  <si>
    <t>M Laundry</t>
  </si>
  <si>
    <t>Jl. H. Siradj No.4</t>
  </si>
  <si>
    <t xml:space="preserve">Dini Utami Dewi </t>
  </si>
  <si>
    <t>0811 5661200</t>
  </si>
  <si>
    <t>ddewiutami@gmail.com</t>
  </si>
  <si>
    <t>Brilliant Laundry</t>
  </si>
  <si>
    <t>Jalan Semai no 47 Naram Singkawang</t>
  </si>
  <si>
    <t xml:space="preserve">Ida Nursidah </t>
  </si>
  <si>
    <t>0895 20367304</t>
  </si>
  <si>
    <t>inursidah75@gmail.com</t>
  </si>
  <si>
    <t>id londry</t>
  </si>
  <si>
    <t>jl. ujung pandang samping GG Nirbaya</t>
  </si>
  <si>
    <t xml:space="preserve">Sejati Laundry </t>
  </si>
  <si>
    <t>081349771196</t>
  </si>
  <si>
    <t>sejatilaundryswignyo@gmail.com</t>
  </si>
  <si>
    <t>Sejati Laundry</t>
  </si>
  <si>
    <t>Jalan Swignyo No.18</t>
  </si>
  <si>
    <t>A&amp;D Laundry</t>
  </si>
  <si>
    <t>085245388232</t>
  </si>
  <si>
    <t>andlaundry02@gmail.com</t>
  </si>
  <si>
    <t>Jl. Bhayangkara</t>
  </si>
  <si>
    <t xml:space="preserve">Evan Wash </t>
  </si>
  <si>
    <t>081256266880</t>
  </si>
  <si>
    <t>evanwash086@gmail.com</t>
  </si>
  <si>
    <t>EvanWashLaundryExpress</t>
  </si>
  <si>
    <t>Jl. Tanjung Raya 2Depan Kantor Lurah Saigon</t>
  </si>
  <si>
    <t>CANDU/EVERWIN</t>
  </si>
  <si>
    <t xml:space="preserve">Zainal Arifin </t>
  </si>
  <si>
    <t>083125396855</t>
  </si>
  <si>
    <t>ahlilaundry74@gmail.com</t>
  </si>
  <si>
    <t>ahli laundry</t>
  </si>
  <si>
    <t>jl ujung pandang 1</t>
  </si>
  <si>
    <t>Megawati</t>
  </si>
  <si>
    <t>082154378909</t>
  </si>
  <si>
    <t>mega.rani1@icloud.com</t>
  </si>
  <si>
    <t>Queen Laundry (Megawati)</t>
  </si>
  <si>
    <t>Jl.Wonobaru</t>
  </si>
  <si>
    <t xml:space="preserve">Bustamilarifin </t>
  </si>
  <si>
    <t>085390904966</t>
  </si>
  <si>
    <t>bustamilarifin83.mandiri@gmail.com</t>
  </si>
  <si>
    <t xml:space="preserve">Radja Laundry/1    </t>
  </si>
  <si>
    <t>Jalam merdeka timur</t>
  </si>
  <si>
    <t>Radja Laundry/2</t>
  </si>
  <si>
    <t>Erna Yanti</t>
  </si>
  <si>
    <t>085845256410</t>
  </si>
  <si>
    <t>Kingfreshlaundry14@gmail.com</t>
  </si>
  <si>
    <t>king fresh laundry/king fresh laundry</t>
  </si>
  <si>
    <t>jln Abdurahman Wahid,Kuala dua kubu raya</t>
  </si>
  <si>
    <t>king fresh laundry/king fresh (KF alas)</t>
  </si>
  <si>
    <t>Hardi</t>
  </si>
  <si>
    <t>082254065108</t>
  </si>
  <si>
    <t>Bakriebrotherss@gmail.com</t>
  </si>
  <si>
    <t>MH Laundry</t>
  </si>
  <si>
    <t>Jln Wono Baru</t>
  </si>
  <si>
    <t>EVERWIN LOUNDRY</t>
  </si>
  <si>
    <t>081256222444</t>
  </si>
  <si>
    <t>rosdiana2244@gmail.com</t>
  </si>
  <si>
    <t xml:space="preserve">everwin/laundry Everwin        </t>
  </si>
  <si>
    <t>sanggau</t>
  </si>
  <si>
    <t xml:space="preserve">Megawati </t>
  </si>
  <si>
    <t>Queen laundry/Queen laundry wonobaru</t>
  </si>
  <si>
    <t>sapoetro bagoes</t>
  </si>
  <si>
    <t>081256968383</t>
  </si>
  <si>
    <t>bogebagoes@gmail.com</t>
  </si>
  <si>
    <t>BOB Laundry &amp; Transport</t>
  </si>
  <si>
    <t>jln Bhakti (Blok M) dsn. balaikarangan 2</t>
  </si>
  <si>
    <t>Sony Triyadi</t>
  </si>
  <si>
    <t>085245815491</t>
  </si>
  <si>
    <t>sonytriyadi@gmail.com</t>
  </si>
  <si>
    <t>Amel Laundry</t>
  </si>
  <si>
    <t>Jl. Jenderal Sudirman no. 01</t>
  </si>
  <si>
    <t>Akhmad Daud, SE</t>
  </si>
  <si>
    <t>089679753599</t>
  </si>
  <si>
    <t>daud.g8@gmail.com</t>
  </si>
  <si>
    <t>Danty Loundry</t>
  </si>
  <si>
    <t>Jl. Harapan Jaya No. 23</t>
  </si>
  <si>
    <t>BAHARI ENJOY</t>
  </si>
  <si>
    <t>081649035915</t>
  </si>
  <si>
    <t>baharienjoy@gmail.com</t>
  </si>
  <si>
    <t>mercy laundry</t>
  </si>
  <si>
    <t>kelurahan dalam bugis</t>
  </si>
  <si>
    <t>Refresh Laundry</t>
  </si>
  <si>
    <t>085179771815</t>
  </si>
  <si>
    <t>refreshlaundryindonesia@gmail.com</t>
  </si>
  <si>
    <t>Jl.Perdamaian</t>
  </si>
  <si>
    <t>KAKA LAUNDRY</t>
  </si>
  <si>
    <t>089509622671</t>
  </si>
  <si>
    <t>andikanitro778@gmail.com</t>
  </si>
  <si>
    <t>jl sungai raya dalam ruko Gading Victoria no BB 4</t>
  </si>
  <si>
    <t>Selvi Ana</t>
  </si>
  <si>
    <t>089625168839</t>
  </si>
  <si>
    <t>selvianaselviana210@gmail.com</t>
  </si>
  <si>
    <t>GoGreen</t>
  </si>
  <si>
    <t>jl perintis, pontianak kalimantan barat</t>
  </si>
  <si>
    <t>ahli laundry/Halal Laundry</t>
  </si>
  <si>
    <t>jl. Pemda</t>
  </si>
  <si>
    <t>Odanksanjaya Odank</t>
  </si>
  <si>
    <t>082152051864</t>
  </si>
  <si>
    <t>candu londri</t>
  </si>
  <si>
    <t>jalan raya jungkat</t>
  </si>
  <si>
    <t xml:space="preserve">Angela Nopriani </t>
  </si>
  <si>
    <t>08990990074</t>
  </si>
  <si>
    <t>FRESCO LAUNDRY PARIS 2</t>
  </si>
  <si>
    <t>Jl.Parit H.Husin 2Ruko Pesona Mutiara Dewata no.A5</t>
  </si>
  <si>
    <t xml:space="preserve">Kabir Loundry </t>
  </si>
  <si>
    <t>082352514348</t>
  </si>
  <si>
    <t>Kabir laundry</t>
  </si>
  <si>
    <t>jl karya sosial</t>
  </si>
  <si>
    <t>Yellow Laundry</t>
  </si>
  <si>
    <t>081913772828</t>
  </si>
  <si>
    <t>yellowlaundryyy@gmail.com</t>
  </si>
  <si>
    <t>Jl Padat Karya</t>
  </si>
  <si>
    <t>Icha Nolita</t>
  </si>
  <si>
    <t>083125678393</t>
  </si>
  <si>
    <t>inolita@yahoo.com</t>
  </si>
  <si>
    <t>De'Cucci Laundry</t>
  </si>
  <si>
    <t>jl.Re.Martadinatano 34</t>
  </si>
  <si>
    <t xml:space="preserve">Armi PB </t>
  </si>
  <si>
    <t>085750088375</t>
  </si>
  <si>
    <t>Armi laundry</t>
  </si>
  <si>
    <t>jl Pak benceng</t>
  </si>
  <si>
    <t>king fresh laundry/ROSE LAUNDRY</t>
  </si>
  <si>
    <t>jln simpang rasau</t>
  </si>
  <si>
    <t xml:space="preserve">CS Laundry </t>
  </si>
  <si>
    <t>082191537698</t>
  </si>
  <si>
    <t>hendraxyn14@gmail.com</t>
  </si>
  <si>
    <t>Anikun Laundry</t>
  </si>
  <si>
    <t>Kab. Sambas</t>
  </si>
  <si>
    <t>Jl. Ahmad Marzuki</t>
  </si>
  <si>
    <t xml:space="preserve">megawati </t>
  </si>
  <si>
    <t>085652238595</t>
  </si>
  <si>
    <t>hannywinnona466@gmail.com</t>
  </si>
  <si>
    <t>Queen laundry penjara</t>
  </si>
  <si>
    <t>jln.Kh Ahmad Dahlan N0.40</t>
  </si>
  <si>
    <t>LAUNDRY FRESCO SERDAM</t>
  </si>
  <si>
    <t>082354894411</t>
  </si>
  <si>
    <t>laundryfrescoserdam@gmail.com</t>
  </si>
  <si>
    <t>FRESCO LAUNDRY SERDAM</t>
  </si>
  <si>
    <t>Jl. SERDAM SEBELAH BENGKEL MOBIL BOLT</t>
  </si>
  <si>
    <t>Titan Management</t>
  </si>
  <si>
    <t>082299527899</t>
  </si>
  <si>
    <t>titanmanagement26@gmail.com</t>
  </si>
  <si>
    <t>Titan Laundry</t>
  </si>
  <si>
    <t>Jl. Tanjung Raya 2 seberang toko bangunan Bintang Raya samping gang Limausaigon</t>
  </si>
  <si>
    <t>Queen laundry penjara/Queen Laundry jln.martadinata</t>
  </si>
  <si>
    <t>jl.martadinara D3/26</t>
  </si>
  <si>
    <t xml:space="preserve">Sapura </t>
  </si>
  <si>
    <t>085849102514</t>
  </si>
  <si>
    <t>sapura.nvd@gmail.com</t>
  </si>
  <si>
    <t>Sakura Laundry/sakura laundry</t>
  </si>
  <si>
    <t>Sebayan</t>
  </si>
  <si>
    <t>wahyunitasari</t>
  </si>
  <si>
    <t>089519187765</t>
  </si>
  <si>
    <t>atanjung369@gmail.com</t>
  </si>
  <si>
    <t>ARS LAUNDRY/ARS LAUNDRY</t>
  </si>
  <si>
    <t>jl Raya desa kapur pak reweng kubu raya</t>
  </si>
  <si>
    <t>Merryana</t>
  </si>
  <si>
    <t>081280999970</t>
  </si>
  <si>
    <t>bubble99laundry@gmail.com</t>
  </si>
  <si>
    <t>Bubble Laundry/Bubble LaundryBubble Laundry/Bubble Laundry</t>
  </si>
  <si>
    <t>Jalan A Yani Putussibau</t>
  </si>
  <si>
    <t xml:space="preserve">YUKS LAUNDRY </t>
  </si>
  <si>
    <t>081549153766</t>
  </si>
  <si>
    <t>yuklaundry@gmail.com</t>
  </si>
  <si>
    <t>yuks laundry/YUKS LAUNDRY</t>
  </si>
  <si>
    <t>Jl. Tj. Raya II, Banjar Serasan, Kec. Pontianak Tim., Kota Pontianak, Kalimantan Barat 78243</t>
  </si>
  <si>
    <t>0818822261</t>
  </si>
  <si>
    <t>Zeppin Laundry/Zeppin Karvin</t>
  </si>
  <si>
    <t>Jl. Karvin, Pontianak</t>
  </si>
  <si>
    <t>rushkeyy</t>
  </si>
  <si>
    <t>0895337229297</t>
  </si>
  <si>
    <t>rizkysyah66@gmail.com</t>
  </si>
  <si>
    <t>MOOD LAUNDRY/MOOD LAUNDRY</t>
  </si>
  <si>
    <t>jl. Raya Jongkat</t>
  </si>
  <si>
    <t>Evan Wash</t>
  </si>
  <si>
    <t>EvanWashLaundryExpress/Evolution86 loundry express</t>
  </si>
  <si>
    <t>Jl. Tanjung Raya 2</t>
  </si>
  <si>
    <t>Kasir Laundry Serdam_2</t>
  </si>
  <si>
    <t>082195191213</t>
  </si>
  <si>
    <t>frescoserdambelakang@gmail.com</t>
  </si>
  <si>
    <t>LAUNDRY FRESCO SERDAM_2/LAUNDRY FRESCO SERDAM_2</t>
  </si>
  <si>
    <t>Jl.SERDAM SEBELAH TK.GUNA USAHA</t>
  </si>
  <si>
    <t>Owner Cempaka</t>
  </si>
  <si>
    <t>082195112398</t>
  </si>
  <si>
    <t>beny.mhj92@yahoo.com</t>
  </si>
  <si>
    <t>cempaka laundry/CEMPAKA LAUNDRY-Siaga</t>
  </si>
  <si>
    <t>jl parit no 2 ruko aa 1 samping pondok damaikalbar pontianak</t>
  </si>
  <si>
    <t>arahman</t>
  </si>
  <si>
    <t>085122282545</t>
  </si>
  <si>
    <t>armi laundry/armi laundry</t>
  </si>
  <si>
    <t>jl tabrani ahmad</t>
  </si>
  <si>
    <t xml:space="preserve">Agustus </t>
  </si>
  <si>
    <t>Refresh Laundry/Refresh Laundry Sutoyo</t>
  </si>
  <si>
    <t>Jl.Sutoyo (Kios Ke Tiga, Sebelah Kantor Pertamina)</t>
  </si>
  <si>
    <t>Refresh Laundry Sutoyo</t>
  </si>
  <si>
    <t>081347157110</t>
  </si>
  <si>
    <t>Jl. Sutoyo ( Sebelah Kantor Pertamina, Kios Ke Tiga)</t>
  </si>
  <si>
    <t>EVERWIN LOUNDRY/Everwin loundry alfa</t>
  </si>
  <si>
    <t xml:space="preserve">adi </t>
  </si>
  <si>
    <t>087796877639</t>
  </si>
  <si>
    <t>CANDU/day laundry ptk</t>
  </si>
  <si>
    <t>IDOLA LAUNDRY</t>
  </si>
  <si>
    <t>089693255477</t>
  </si>
  <si>
    <t>aninovi675@gmail.com</t>
  </si>
  <si>
    <t>IDOLA LAUNDRY/IDOLA LAUNDRY</t>
  </si>
  <si>
    <t xml:space="preserve">Vindy Laundry </t>
  </si>
  <si>
    <t>085753077624</t>
  </si>
  <si>
    <t>vindyloundry@gmail.com</t>
  </si>
  <si>
    <t>vindyloundry/Vindy Laundry</t>
  </si>
  <si>
    <t>parithajimuksin2no 2A</t>
  </si>
  <si>
    <t xml:space="preserve">Muslimat </t>
  </si>
  <si>
    <t>08125765533</t>
  </si>
  <si>
    <t>rizkialmirafdilla@gmail.com</t>
  </si>
  <si>
    <t>Dillaundry/Dillaundry</t>
  </si>
  <si>
    <t>jl. sungai raya dalam komp. sejahtera 1 No.A13</t>
  </si>
  <si>
    <t xml:space="preserve">EG Laundry </t>
  </si>
  <si>
    <t>085246927220</t>
  </si>
  <si>
    <t>egkostlaundry@gmail.com</t>
  </si>
  <si>
    <t>EG Laundry/EG Laundry</t>
  </si>
  <si>
    <t>jalan mt haryono, kab.ketapang, kalimantan barat</t>
  </si>
  <si>
    <t>ikhlas</t>
  </si>
  <si>
    <t>081253007877</t>
  </si>
  <si>
    <t>omjanggutlaundry@gmail.com</t>
  </si>
  <si>
    <t>Om Janggut Laundry/  Janggut Laundry</t>
  </si>
  <si>
    <t>Kota Banjar Baru</t>
  </si>
  <si>
    <t>Jl. Karang Anyar</t>
  </si>
  <si>
    <t xml:space="preserve">Juragan Laundry </t>
  </si>
  <si>
    <t>0856 47706806</t>
  </si>
  <si>
    <t>iwokpramono86@gmail.com</t>
  </si>
  <si>
    <t>Juragan laundry</t>
  </si>
  <si>
    <t>Kab. Tabalong</t>
  </si>
  <si>
    <t>Perum plambon Blok D no 11</t>
  </si>
  <si>
    <t xml:space="preserve">Rodi lestari </t>
  </si>
  <si>
    <t>085273737306</t>
  </si>
  <si>
    <t>husnalaundry12@gmail.com</t>
  </si>
  <si>
    <t>Husna laundry</t>
  </si>
  <si>
    <t>jln karang anyar 1 simpang sapta marga kelurahan Guntung payung kecamatan landasan ulin</t>
  </si>
  <si>
    <t>0822 52286068</t>
  </si>
  <si>
    <t>Wahyu.pristiyadi07@gmail.com</t>
  </si>
  <si>
    <t>Wafa Laundry</t>
  </si>
  <si>
    <t>Jl. A. Yani Km. 30</t>
  </si>
  <si>
    <t>Alisha</t>
  </si>
  <si>
    <t>0882 98658967</t>
  </si>
  <si>
    <t>lusiana.alisha@gmail.com</t>
  </si>
  <si>
    <t>Fresh Laundry</t>
  </si>
  <si>
    <t>Kab. Tanah Bumbu</t>
  </si>
  <si>
    <t>Jl. transmigrasi Perumahan Citra Megah Persada 2</t>
  </si>
  <si>
    <t>Om Janggut Laundry/ Om Janggut Laundry Land Ulin</t>
  </si>
  <si>
    <t>Achmad Reza Fahriannoor</t>
  </si>
  <si>
    <t>081953683905</t>
  </si>
  <si>
    <t>barasih.sepatu@gmail.com</t>
  </si>
  <si>
    <t>Barasih Sepatu</t>
  </si>
  <si>
    <t>Jl. Ahmad Yani km 35 (jajaran pertokoan sesudah Polres Banjarbaru)</t>
  </si>
  <si>
    <t>EL LAUNDRY</t>
  </si>
  <si>
    <t>0813559928893</t>
  </si>
  <si>
    <t>elinapriscilia7@gmail.com</t>
  </si>
  <si>
    <t>el laundry/EL LAUNDRY</t>
  </si>
  <si>
    <t>Kab. Banjar</t>
  </si>
  <si>
    <t>jl. Cindai Alus RT/RW 005/00 kec. martapura kota kab. banjar</t>
  </si>
  <si>
    <t>Om Janggut Laundry/Om Janggut Laundry Palm</t>
  </si>
  <si>
    <t xml:space="preserve">ikhlas </t>
  </si>
  <si>
    <t>Om Janggut Laundry/Om Janggut Laundry Golf</t>
  </si>
  <si>
    <t>Mariatul.A</t>
  </si>
  <si>
    <t>087811790104</t>
  </si>
  <si>
    <t>mariatuladawiahatul@gmail.com</t>
  </si>
  <si>
    <t>Laundry Mama</t>
  </si>
  <si>
    <t>jl. sidomulyo selatan Rt.04 Rw.09kel. landasan ulin timurkec. landasan ulin 70724</t>
  </si>
  <si>
    <t>Om Janggut Laundry/Om Janggut Laundry Banjar Indah</t>
  </si>
  <si>
    <t>Jl. Raya Banjar Indah Permai No. 69,</t>
  </si>
  <si>
    <t>Azizah Rizky</t>
  </si>
  <si>
    <t>082254766438</t>
  </si>
  <si>
    <t>azizahrizqi94@gmail.com</t>
  </si>
  <si>
    <t>RIZKY LAUNDRY EXSPRESS</t>
  </si>
  <si>
    <t>jl.provinsi km 165, samping hotel weni</t>
  </si>
  <si>
    <t>ATABA LAUNDRY</t>
  </si>
  <si>
    <t>081347747401</t>
  </si>
  <si>
    <t>Simpang Jl. Padat Karya - Jl. Ali Said Pembataan, Murung Pudak,  Tanjung, Tabalong, Kalimantan Selatan 71571</t>
  </si>
  <si>
    <t>Farida</t>
  </si>
  <si>
    <t>088258092720</t>
  </si>
  <si>
    <t>nurulfaridaaa18@gmail.com</t>
  </si>
  <si>
    <t>WAFA LAUNDRY/WAFA LAUNDRY</t>
  </si>
  <si>
    <t>JL.A Yani km.30,5 Guntung Manggis, Banjarbaru</t>
  </si>
  <si>
    <t>Om Janggut Laundry/Om Janggut Laundry Mahligai</t>
  </si>
  <si>
    <t>Jl. Mahligai RT. 01 RW. 003</t>
  </si>
  <si>
    <t xml:space="preserve">Om Janggut Laundry/Om Janggut Laundry Pondok Empat	</t>
  </si>
  <si>
    <t>Jl. Karang Anyar 1, Pondok Empat</t>
  </si>
  <si>
    <t>Sena</t>
  </si>
  <si>
    <t>085147311119</t>
  </si>
  <si>
    <t>pakdhelaundry2025@gmail.com</t>
  </si>
  <si>
    <t>Pa'Dhe/Pa'Dhe</t>
  </si>
  <si>
    <t>Kota Banjarmasin</t>
  </si>
  <si>
    <t>Jl. AMD XII, Pemurus Dalam, Kec Banjarmasin Selatan</t>
  </si>
  <si>
    <t>Om Janggut Laundry/Om Janggut Laundry Perdagangan</t>
  </si>
  <si>
    <t>085248909597</t>
  </si>
  <si>
    <t>rumahlaundry671@gmail.com</t>
  </si>
  <si>
    <t>JL.BATULICIN-PELAIHARI.DESA ANGSANA.</t>
  </si>
  <si>
    <t>Indra Sukma Admadinata</t>
  </si>
  <si>
    <t>081349355323</t>
  </si>
  <si>
    <t>newton7284@gmail.com</t>
  </si>
  <si>
    <t>HAPPY CLEAN LAUNDRY/HAPPY CLEAN LAUNDRY</t>
  </si>
  <si>
    <t xml:space="preserve"> Jalan Tanjung Selatan Depan Perum Grand Tanjung</t>
  </si>
  <si>
    <t>Mohamad Zainul Arifin</t>
  </si>
  <si>
    <t>082150421112</t>
  </si>
  <si>
    <t>divalaundry85@gmail.com</t>
  </si>
  <si>
    <t>Diva Laundry/Diva Laundry</t>
  </si>
  <si>
    <t>Wengga Palam Indah NO A-1</t>
  </si>
  <si>
    <t>Om Janggut Laundry/Om Janggut Laundry Melati</t>
  </si>
  <si>
    <t>m aries yulianto</t>
  </si>
  <si>
    <t>085819995667</t>
  </si>
  <si>
    <t>laundryserviceoneday@gmail.com</t>
  </si>
  <si>
    <t>Oneday Laundry Service/Oneday Laundry Service</t>
  </si>
  <si>
    <t>Jl.Puyau Banjarbaru</t>
  </si>
  <si>
    <t xml:space="preserve">Robiyah </t>
  </si>
  <si>
    <t>081241946193</t>
  </si>
  <si>
    <t>charlescantik16@gmail.com</t>
  </si>
  <si>
    <t>Rora Laundry/Rora Laundry</t>
  </si>
  <si>
    <t>Jl. Pelita 5 Dekat Gg. Karya Utama, Kel. Landasan Ulim Barat, Kec. Liang Anggang, Kota Banjarbaru</t>
  </si>
  <si>
    <t>Muhamad arsyad</t>
  </si>
  <si>
    <t>0853 4881 9909</t>
  </si>
  <si>
    <t>abyan5577@gmail.com</t>
  </si>
  <si>
    <t>n.abyan laundry/	n.abyan laundry karpet</t>
  </si>
  <si>
    <t>Kab. Kapuas</t>
  </si>
  <si>
    <t>jln. trans kalimantan, selat dalam, kuala kapuas, (seberang SPBU sungai beras)</t>
  </si>
  <si>
    <t xml:space="preserve">vika </t>
  </si>
  <si>
    <t>0812 5147 1589</t>
  </si>
  <si>
    <t>vikakhansa50@gmail.com</t>
  </si>
  <si>
    <t>DEKA LAUNDRY</t>
  </si>
  <si>
    <t>Kab. Kotawaringin Timur</t>
  </si>
  <si>
    <t>JL RA KARTINI-WALTER CONRAD</t>
  </si>
  <si>
    <t>Yoni Apriliadi</t>
  </si>
  <si>
    <t>0823 5321 6222</t>
  </si>
  <si>
    <t>yoniapriliadi@gmail.com</t>
  </si>
  <si>
    <t>Rumah Laundry/Rumah Laundry Buntok</t>
  </si>
  <si>
    <t>Kab. Barito Selatan</t>
  </si>
  <si>
    <t>Jl. Pelita Raya RT. 15 Buntok</t>
  </si>
  <si>
    <t xml:space="preserve">JASMINE </t>
  </si>
  <si>
    <t>0856 8924 722</t>
  </si>
  <si>
    <t>onlinelaundry89@gmail.com</t>
  </si>
  <si>
    <t>ON LINE LAUNDRY</t>
  </si>
  <si>
    <t>Jl. Barito no.04 (seberang Alfamart Barito)Selat Tengah, Selat</t>
  </si>
  <si>
    <t>Laundry Super Fresh</t>
  </si>
  <si>
    <t>082221779285</t>
  </si>
  <si>
    <t>laundrysuperfresh302@gmail.com</t>
  </si>
  <si>
    <t>Laundry Super Fresh/Laundry Super Fresh</t>
  </si>
  <si>
    <t>Jalan Cilik Riwut KM 1,2</t>
  </si>
  <si>
    <t xml:space="preserve">ECHA </t>
  </si>
  <si>
    <t>0812 57444887</t>
  </si>
  <si>
    <t>betapasan.dnc@gmail.com</t>
  </si>
  <si>
    <t>betapasan dry and clean/BETAPASAN dry&amp;clean</t>
  </si>
  <si>
    <t>Kota Balikpapan</t>
  </si>
  <si>
    <t>taman bukit sari 1 blok p2 no.2 rt.26. graha indah - balikpapan utara - kalimantan timur</t>
  </si>
  <si>
    <t>Dewi Astrianie</t>
  </si>
  <si>
    <t>082220355430</t>
  </si>
  <si>
    <t>dewi.astrianie@gmsil.com</t>
  </si>
  <si>
    <t>Jl Tjilik Riwut KM 1,2</t>
  </si>
  <si>
    <t>Erika Mustifasari</t>
  </si>
  <si>
    <t>082251510814</t>
  </si>
  <si>
    <t>cleanandco07@gmail.com</t>
  </si>
  <si>
    <t>Clean &amp; Co</t>
  </si>
  <si>
    <t>Kab. Kotawaringin Barat</t>
  </si>
  <si>
    <t>Jalan Ahmad Wongso (Sebelah Apotek Samari Pharma), Pangkalan Bun, Kalimantan Tengah</t>
  </si>
  <si>
    <t xml:space="preserve">Artiwiati </t>
  </si>
  <si>
    <t>082260640000</t>
  </si>
  <si>
    <t>Laundry Go</t>
  </si>
  <si>
    <t>Jl. Ahmad Wongso</t>
  </si>
  <si>
    <t>Edi Suryanto</t>
  </si>
  <si>
    <t>081253330813</t>
  </si>
  <si>
    <t>edisuryanto30@gmail.com</t>
  </si>
  <si>
    <t>MAYDA LAUNDRY/BORNEOFRESH</t>
  </si>
  <si>
    <t>perum Jasmine 2</t>
  </si>
  <si>
    <t>Wafirotun Nuhaa</t>
  </si>
  <si>
    <t>081266222077</t>
  </si>
  <si>
    <t>clean &amp; co/clean &amp; co</t>
  </si>
  <si>
    <t>Jl Ahmad Wongso</t>
  </si>
  <si>
    <t xml:space="preserve">Melia Laundry Pky </t>
  </si>
  <si>
    <t>081228189595</t>
  </si>
  <si>
    <t>melialaundrypky@gmail.com</t>
  </si>
  <si>
    <t>Melia Palangkaraya/Melia Palangkaraya</t>
  </si>
  <si>
    <t>Kota Palangka Raya</t>
  </si>
  <si>
    <t>Jl. Diponegoro No.6, Langkai, Kec. Pahandut, Kota Palangka Raya, Kalimantan Tengah 74874</t>
  </si>
  <si>
    <t>Melia Laundry Pky</t>
  </si>
  <si>
    <t>Melia Palangkaraya/MELIA LAUNDRY RAJAWALI</t>
  </si>
  <si>
    <t>RV6R+G2F, Jl. Rajawali, Bukit Tunggal, Kec. Jekan Raya, Kota Palangka Raya, Kalimantan Tengah 74874</t>
  </si>
  <si>
    <t xml:space="preserve">Azha </t>
  </si>
  <si>
    <t>082251319119</t>
  </si>
  <si>
    <t>azlaundry07@gmai.com</t>
  </si>
  <si>
    <t>AZ LAUNDRY EXPRESS/AZ LAUNDRY EXPRESS</t>
  </si>
  <si>
    <t>Pasar Timpah</t>
  </si>
  <si>
    <t>Aprilia ayu wulan sari</t>
  </si>
  <si>
    <t>0853 8544 9999</t>
  </si>
  <si>
    <t>rasyasabuncuci@gmail.com</t>
  </si>
  <si>
    <t>rasya laundry</t>
  </si>
  <si>
    <t>Kota Samarinda</t>
  </si>
  <si>
    <t>jln wahid hasim 1 sebelum lampu merah</t>
  </si>
  <si>
    <t>ariana</t>
  </si>
  <si>
    <t>0813 2222 8902</t>
  </si>
  <si>
    <t>duha.guitar@gmail.com</t>
  </si>
  <si>
    <t>kedai laundry/KEDAI LAUNDRY &amp; SHOES CARE</t>
  </si>
  <si>
    <t>samarinda</t>
  </si>
  <si>
    <t xml:space="preserve">KAMA Laundry </t>
  </si>
  <si>
    <t>085752639621</t>
  </si>
  <si>
    <t>energykayamakmur@gmail.com</t>
  </si>
  <si>
    <t>KAMA Laundry</t>
  </si>
  <si>
    <t>Kab. Kutai Kartanegara</t>
  </si>
  <si>
    <t>Jl. Balikpapan-Handil II Cimanggu RT. 08 Kel. Sungai Seluang Kec. Samboja</t>
  </si>
  <si>
    <t>Nelly</t>
  </si>
  <si>
    <t>0821 50631000</t>
  </si>
  <si>
    <t>nelly.adelia@gmail.com</t>
  </si>
  <si>
    <t>Dn laundry</t>
  </si>
  <si>
    <t>Kota Bontang</t>
  </si>
  <si>
    <t>jl sutan Syahrir rt 5 no 2</t>
  </si>
  <si>
    <t>0813 22228902</t>
  </si>
  <si>
    <t>kedai laundry/HYPE CLEAN AND CARE</t>
  </si>
  <si>
    <t>jln kadri oening no 14 samping pdam</t>
  </si>
  <si>
    <t>David Ricardo</t>
  </si>
  <si>
    <t>0811 5816658</t>
  </si>
  <si>
    <t>david.ricardo278@gmail.com</t>
  </si>
  <si>
    <t>Ardhilla Laundry</t>
  </si>
  <si>
    <t>Jl. Untung Suropati Perumahan Griya Tepian Lestari (Karpotek) Blok U No. 3</t>
  </si>
  <si>
    <t>Aldi Kusuma Putra</t>
  </si>
  <si>
    <t>0823 58680816</t>
  </si>
  <si>
    <t>aldikusuma04@gmail.com</t>
  </si>
  <si>
    <t>Raisa Laundry</t>
  </si>
  <si>
    <t>Jl. Maduningrat No.44 Rt.20</t>
  </si>
  <si>
    <t>Alvaro</t>
  </si>
  <si>
    <t>0813 48422311</t>
  </si>
  <si>
    <t>alga201015@gmail.com</t>
  </si>
  <si>
    <t>Pesona Laundry</t>
  </si>
  <si>
    <t>Jl.Utama Perumahan Pesona mahakam.Blok A1.No 11</t>
  </si>
  <si>
    <t xml:space="preserve">Tiwi </t>
  </si>
  <si>
    <t>0878 10112422</t>
  </si>
  <si>
    <t>pratiwionny@gmail.com</t>
  </si>
  <si>
    <t>Alfa Laundry</t>
  </si>
  <si>
    <t>jl ruhui rahayu balikpapan</t>
  </si>
  <si>
    <t>Al Laundry &amp; Shop</t>
  </si>
  <si>
    <t>085250824972</t>
  </si>
  <si>
    <t>allaundryshop@gmail.com</t>
  </si>
  <si>
    <t>Al laundry</t>
  </si>
  <si>
    <t>Jl. hm ardans satimpo</t>
  </si>
  <si>
    <t xml:space="preserve">Ferry </t>
  </si>
  <si>
    <t>0853 26418556</t>
  </si>
  <si>
    <t>ferrymiechel@gmail.com</t>
  </si>
  <si>
    <t>Mega Laundry</t>
  </si>
  <si>
    <t>Kab. Paser</t>
  </si>
  <si>
    <t>Tanah Grogot</t>
  </si>
  <si>
    <t xml:space="preserve">tina </t>
  </si>
  <si>
    <t>087835467724</t>
  </si>
  <si>
    <t>okfresh09@gmail.com</t>
  </si>
  <si>
    <t>ok fresh laundry</t>
  </si>
  <si>
    <t>Jl. HOS Cokroaminoto tanah grogot</t>
  </si>
  <si>
    <t>CS Juara</t>
  </si>
  <si>
    <t>0852 77779147</t>
  </si>
  <si>
    <t>juaralaundrybpn@gmail.com</t>
  </si>
  <si>
    <t>Juara Laundry (CS Juara)</t>
  </si>
  <si>
    <t>Jln. Di Panjaitan No.9 Rt 9 (Sumber Rejo) Balikpapan</t>
  </si>
  <si>
    <t>Mila Ari kustini</t>
  </si>
  <si>
    <t>0812 59797613</t>
  </si>
  <si>
    <t>nizza14653@gmail.com</t>
  </si>
  <si>
    <t>meela laundry &amp; aroma</t>
  </si>
  <si>
    <t>HO :jl. S. Parman no 45 RT 46 Samarinda uluBranch :jl. Wijaya Kesuma</t>
  </si>
  <si>
    <t>Nafi</t>
  </si>
  <si>
    <t>0813 32323565</t>
  </si>
  <si>
    <t>nafilatulhayati4@gmail.com</t>
  </si>
  <si>
    <t>D'Laundry House</t>
  </si>
  <si>
    <t>perum korpri blok au no 5 loa bakung</t>
  </si>
  <si>
    <t>supriadi 0</t>
  </si>
  <si>
    <t>0813 50201061</t>
  </si>
  <si>
    <t>supriadi10031861@gmail.com</t>
  </si>
  <si>
    <t>ruang cuci</t>
  </si>
  <si>
    <t>RT 04 ds muara Badak Ulu kutai kartanegara</t>
  </si>
  <si>
    <t>tri handayani</t>
  </si>
  <si>
    <t>0813 47686969</t>
  </si>
  <si>
    <t>Jhamal.bpn@gmail.com</t>
  </si>
  <si>
    <t>loundry al karomah</t>
  </si>
  <si>
    <t>jln lkmd perum sumber indah</t>
  </si>
  <si>
    <t>ANFAR LAUNDRY</t>
  </si>
  <si>
    <t>085163153573</t>
  </si>
  <si>
    <t>anzulaundry@gmail.com</t>
  </si>
  <si>
    <t>Anzu/Anfar Laundry</t>
  </si>
  <si>
    <t>Perumahan Dosen UNMUL Sempaja Selatan, Jl. Dayak Bahau Blok H/10</t>
  </si>
  <si>
    <t xml:space="preserve">rian azhari </t>
  </si>
  <si>
    <t>0813 46139907</t>
  </si>
  <si>
    <t>pesonacoffee97@gmail.com</t>
  </si>
  <si>
    <t>RH Laundry</t>
  </si>
  <si>
    <t>jl,kh harun nasfi samarinda seberang rapak dalam</t>
  </si>
  <si>
    <t xml:space="preserve">KLINICAL LAUNDRY </t>
  </si>
  <si>
    <t>0822 54500276</t>
  </si>
  <si>
    <t>klinicallaundry@gmail.com</t>
  </si>
  <si>
    <t>Klinical Laundry/KLINICAL LAUNDRY HARAPAN BARU</t>
  </si>
  <si>
    <t>Klinical Laundry</t>
  </si>
  <si>
    <t>Dian setiani</t>
  </si>
  <si>
    <t>0812 62118245</t>
  </si>
  <si>
    <t>dian23setiani@gmail.com</t>
  </si>
  <si>
    <t>Raffa laundry</t>
  </si>
  <si>
    <t>jl.M YAmin GG 1(depan SMD Square)</t>
  </si>
  <si>
    <t xml:space="preserve">sri sulanjari </t>
  </si>
  <si>
    <t>0813 46559292</t>
  </si>
  <si>
    <t>sulanjari_cute85@yahoo.com</t>
  </si>
  <si>
    <t>EL laundry</t>
  </si>
  <si>
    <t>jl. danau toba no.23</t>
  </si>
  <si>
    <t>Agussalim Ginting</t>
  </si>
  <si>
    <t>0822 72261433</t>
  </si>
  <si>
    <t>gintingrafi7@gmail.com</t>
  </si>
  <si>
    <t>Sultan Laundry</t>
  </si>
  <si>
    <t>Jl. lambung mangkurat gg.9</t>
  </si>
  <si>
    <t xml:space="preserve">OCEAN LAUNDRY </t>
  </si>
  <si>
    <t>081310422303</t>
  </si>
  <si>
    <t xml:space="preserve">
syefnyerliansyah@gmail.com
</t>
  </si>
  <si>
    <t>Jl.Balikpapan-Handilwonotirto</t>
  </si>
  <si>
    <t xml:space="preserve">Aisyah Laundry Samarinda </t>
  </si>
  <si>
    <t>0856 4834 9775</t>
  </si>
  <si>
    <t>aisyah.15augt@gmail.com</t>
  </si>
  <si>
    <t>Aisyah laundry samarinda</t>
  </si>
  <si>
    <t>Jl Juanda 8 gg jambu 1 no 134</t>
  </si>
  <si>
    <t xml:space="preserve">cempaka laundry </t>
  </si>
  <si>
    <t>0812 5130 7206</t>
  </si>
  <si>
    <t>eelis880@gmail.com</t>
  </si>
  <si>
    <t>cempaka laundry</t>
  </si>
  <si>
    <t>Kab. Berau</t>
  </si>
  <si>
    <t>jln murjani 2 rt09 samping astra motor</t>
  </si>
  <si>
    <t>Alva Laundry</t>
  </si>
  <si>
    <t>0813 6314 8886</t>
  </si>
  <si>
    <t>laundryalva3@gmail.com</t>
  </si>
  <si>
    <t>ALVA LAUNDRY</t>
  </si>
  <si>
    <t>Jl. Durian 1 depan Alfamidi</t>
  </si>
  <si>
    <t>Bersih_In Loundry</t>
  </si>
  <si>
    <t>0857 5321 3512</t>
  </si>
  <si>
    <t>krisnawardiana@gmail.com</t>
  </si>
  <si>
    <t>Jln. Juanda 8 Samarinda Kota</t>
  </si>
  <si>
    <t>LPPH GUNUNG TEMBAK</t>
  </si>
  <si>
    <t>089501028574</t>
  </si>
  <si>
    <t>Alkaromahlaundry@gmail.com</t>
  </si>
  <si>
    <t>AL KAROMAH LAUNDRY</t>
  </si>
  <si>
    <t>jl.bpn samboja tritip</t>
  </si>
  <si>
    <t>Klinical Laundry/KLINICAL LAUNDRY SAMBUTAN</t>
  </si>
  <si>
    <t xml:space="preserve">Anie </t>
  </si>
  <si>
    <t>0813 4638 9777</t>
  </si>
  <si>
    <t>anitriyani315@gmail.com</t>
  </si>
  <si>
    <t>Aan Laundry</t>
  </si>
  <si>
    <t>Jl Sentosa dalam 1 No 29</t>
  </si>
  <si>
    <t xml:space="preserve">Queen Laundry </t>
  </si>
  <si>
    <t>0895 320558688</t>
  </si>
  <si>
    <t>laundryqueen9@gmail.com</t>
  </si>
  <si>
    <t>Kota Bengkayang</t>
  </si>
  <si>
    <t>jalan raya Sanggau Ledo dusun Jawa desa Lembang kecamatan Sanggau ledo</t>
  </si>
  <si>
    <t>ardhila laundry</t>
  </si>
  <si>
    <t>0819 1182 4711</t>
  </si>
  <si>
    <t>ardhila.ardeliahasmanifwork@yahoo.com</t>
  </si>
  <si>
    <t>Ardhila's Laundry</t>
  </si>
  <si>
    <t>jl untung suropati perumahan griya tepian lestari blok u no 3 rt 18</t>
  </si>
  <si>
    <t>Docci 01</t>
  </si>
  <si>
    <t>085250549153</t>
  </si>
  <si>
    <t>docci44@gmail.com</t>
  </si>
  <si>
    <t>cucian alfath</t>
  </si>
  <si>
    <t>jl woltermonginsidi gg 7 no 5</t>
  </si>
  <si>
    <t>juni</t>
  </si>
  <si>
    <t xml:space="preserve">Diah </t>
  </si>
  <si>
    <t>0852 5079 3412</t>
  </si>
  <si>
    <t>irtifatifa@gmail.com</t>
  </si>
  <si>
    <t>Diah laundry/ Diah laundry 1</t>
  </si>
  <si>
    <t>jl pepaya no 31 BTN pkt bontang</t>
  </si>
  <si>
    <t>Yaya</t>
  </si>
  <si>
    <t>085828519089</t>
  </si>
  <si>
    <t>akinglaundry10@gmail.com</t>
  </si>
  <si>
    <t>A'KING LAUNDRY</t>
  </si>
  <si>
    <t>JALAN KADRIE OENING</t>
  </si>
  <si>
    <t>Roisatul. F</t>
  </si>
  <si>
    <t>0823 51047734</t>
  </si>
  <si>
    <t>roisatulfadilah@gmail.com</t>
  </si>
  <si>
    <t>Ofi laundry</t>
  </si>
  <si>
    <t>Jl. P. Suryanata no 08</t>
  </si>
  <si>
    <t xml:space="preserve">Nur </t>
  </si>
  <si>
    <t>0852 48366875</t>
  </si>
  <si>
    <t>imanbpn17@gmail.com</t>
  </si>
  <si>
    <t>Juara Laundry (Nur)</t>
  </si>
  <si>
    <t>JL DI PANJAITAN NO.9 RT9SUMBER REJO</t>
  </si>
  <si>
    <t>Nurlisna</t>
  </si>
  <si>
    <t>0857 05536809</t>
  </si>
  <si>
    <t>sipsipsip.ok.ok@gmail.com</t>
  </si>
  <si>
    <t>Eklin Laundry</t>
  </si>
  <si>
    <t>Perumahan Wika Cluster Bangkirai blok BK 1 Nomor 11</t>
  </si>
  <si>
    <t xml:space="preserve">David Ricardo </t>
  </si>
  <si>
    <t>085969065525</t>
  </si>
  <si>
    <t>aubrylondry@gmail.com</t>
  </si>
  <si>
    <t>Aubry Laundry</t>
  </si>
  <si>
    <t>Jl. Pramuka 19 , Samarinda Kalimantan Timur</t>
  </si>
  <si>
    <t>Laundry Delapan</t>
  </si>
  <si>
    <t>082354981448</t>
  </si>
  <si>
    <t>Laundry8delapan@gmail.com</t>
  </si>
  <si>
    <t>Laundry88</t>
  </si>
  <si>
    <t>ke tubun dalam</t>
  </si>
  <si>
    <t>aprilia ayu wulan sari</t>
  </si>
  <si>
    <t>085385449999</t>
  </si>
  <si>
    <t>rasya laundry/Rasya ayam lalapan paket hemat</t>
  </si>
  <si>
    <t>KLINICAL LAUNDRY</t>
  </si>
  <si>
    <t>082254500276</t>
  </si>
  <si>
    <t>Klinical Laundry/cinta laundry</t>
  </si>
  <si>
    <t>jln sultan hasanuddin</t>
  </si>
  <si>
    <t>082110059205</t>
  </si>
  <si>
    <t>azrielrafisqi28@gmail.com</t>
  </si>
  <si>
    <t>Putri Laundry</t>
  </si>
  <si>
    <t>Kab. Kutai Timur</t>
  </si>
  <si>
    <t>Jl. Karya Etam Poros</t>
  </si>
  <si>
    <t>fanny</t>
  </si>
  <si>
    <t>081228470169</t>
  </si>
  <si>
    <t>homielaundrysamarinda@gmail.com</t>
  </si>
  <si>
    <t>Homie Laundy Samarinda/Homie Laundy Samarinda</t>
  </si>
  <si>
    <t>jl aminah syukur no 13</t>
  </si>
  <si>
    <t>Yuliana</t>
  </si>
  <si>
    <t>wifanalaundry@gmail.com</t>
  </si>
  <si>
    <t>Wifana Laundry/Wifana Laundry</t>
  </si>
  <si>
    <t>Jl. Selat Bone</t>
  </si>
  <si>
    <t>ALVIONITA</t>
  </si>
  <si>
    <t>082154943837</t>
  </si>
  <si>
    <t>vioshop29@gmail.com</t>
  </si>
  <si>
    <t>Ceria Laundry/WING'S LAUNDRY</t>
  </si>
  <si>
    <t>Perum Taman Bukit Sari VIP 2 Blok G2 No.14 RT 25</t>
  </si>
  <si>
    <t xml:space="preserve">nadia </t>
  </si>
  <si>
    <t>082351047734</t>
  </si>
  <si>
    <t>Ofi laundry/A'king laundry</t>
  </si>
  <si>
    <t xml:space="preserve">Desi Resti </t>
  </si>
  <si>
    <t>08211524902</t>
  </si>
  <si>
    <t>desiresti0110@gmail.com</t>
  </si>
  <si>
    <t>One Call Laundry/One Call Laundry</t>
  </si>
  <si>
    <t>Jl Ke Tubun</t>
  </si>
  <si>
    <t>SR</t>
  </si>
  <si>
    <t>0822 53639847</t>
  </si>
  <si>
    <t>infomedia.sr@gmail.com</t>
  </si>
  <si>
    <t>SR SHOES CARE</t>
  </si>
  <si>
    <t>Kota Tarakan</t>
  </si>
  <si>
    <t>Jl. Adityawarman</t>
  </si>
  <si>
    <t>Muhammad Hasrul</t>
  </si>
  <si>
    <t>0813 30006030</t>
  </si>
  <si>
    <t>hasrulchulu@gmail.com</t>
  </si>
  <si>
    <t xml:space="preserve">EMILY LAUNDRY/LAUNDRY	</t>
  </si>
  <si>
    <t>Kab. Malinau</t>
  </si>
  <si>
    <t>Jl Amd No.27 RT 16 Malinau Kota (Kalimantan Utara)</t>
  </si>
  <si>
    <t xml:space="preserve">Nurasia </t>
  </si>
  <si>
    <t>085346785773</t>
  </si>
  <si>
    <t>hercyanugrahjaya@gmail.com</t>
  </si>
  <si>
    <t>Hercy Laundry</t>
  </si>
  <si>
    <t>Kab. Nunukan</t>
  </si>
  <si>
    <t>jl. ujang dewa sedadap cv hercy depan gadis 1 sedadap</t>
  </si>
  <si>
    <t xml:space="preserve">Emilia </t>
  </si>
  <si>
    <t>0821 8018 2650</t>
  </si>
  <si>
    <t>aisyanaura23@gmail.com</t>
  </si>
  <si>
    <t>show laundry</t>
  </si>
  <si>
    <t>Kota Batam</t>
  </si>
  <si>
    <t>perumnas piayu</t>
  </si>
  <si>
    <t>simatupang789</t>
  </si>
  <si>
    <t>0813 72934238</t>
  </si>
  <si>
    <t>jontuamans@yahoo.com</t>
  </si>
  <si>
    <t>Cassmira Laundry/judes loundry</t>
  </si>
  <si>
    <t>Ruko Botania Garden Blok D3 No. 7 Batam</t>
  </si>
  <si>
    <t>ridwan yusuf</t>
  </si>
  <si>
    <t>0812 6111 9628</t>
  </si>
  <si>
    <t>ridwan.club12@gmail.com</t>
  </si>
  <si>
    <t>Vel/VEL LAUNDRY</t>
  </si>
  <si>
    <t>Perum. Taman Cipta Asri Blok Boelevard B No 15.</t>
  </si>
  <si>
    <t xml:space="preserve">Piposmart </t>
  </si>
  <si>
    <t>08521369258</t>
  </si>
  <si>
    <t>piposmartlaundry@gmail.com</t>
  </si>
  <si>
    <t>PIPOSMART LAUNDRY/Aplikasi Piposmart Laundry</t>
  </si>
  <si>
    <t>KBC Blok A3 No 5</t>
  </si>
  <si>
    <t>Jonni</t>
  </si>
  <si>
    <t>0812 7020 8868</t>
  </si>
  <si>
    <t>jonnilin@gmail.com</t>
  </si>
  <si>
    <t>Koko Laundry/Koko Laundry Aladin</t>
  </si>
  <si>
    <t>Komplek. Ruko Aladin Blok D No. 4</t>
  </si>
  <si>
    <t>Surya Saputra</t>
  </si>
  <si>
    <t>081248118612</t>
  </si>
  <si>
    <t>bobyriannainggolan@gmail.com</t>
  </si>
  <si>
    <t>solusi laundry/Kilat Laundry (Akun Testing Pak Rian)</t>
  </si>
  <si>
    <t>kbc</t>
  </si>
  <si>
    <t>Muhammad Sabil</t>
  </si>
  <si>
    <t>0823 1106 0095</t>
  </si>
  <si>
    <t>muhammad.sabilyusuf@gmail.com</t>
  </si>
  <si>
    <t>Master Londry/Rumah Laundry Attallah #001</t>
  </si>
  <si>
    <t>Kab. Bintan</t>
  </si>
  <si>
    <t>Perumnas baru Jl Belibis II blok F 17 Tanjung Permai</t>
  </si>
  <si>
    <t>Chris</t>
  </si>
  <si>
    <t>0812 76586058</t>
  </si>
  <si>
    <t>treswahyudi@gmail.com</t>
  </si>
  <si>
    <t>Melchem Laundry</t>
  </si>
  <si>
    <t>Ruko Tering Raya Blok A No 9</t>
  </si>
  <si>
    <t xml:space="preserve">Ari Daniel </t>
  </si>
  <si>
    <t>0812 70979176</t>
  </si>
  <si>
    <t>ardanpas@yahoo.com</t>
  </si>
  <si>
    <t>Laundry Doi</t>
  </si>
  <si>
    <t>Ruko Grand California B1 No 1</t>
  </si>
  <si>
    <t>Arkana loundry cabang putri 7</t>
  </si>
  <si>
    <t>0822 88998025</t>
  </si>
  <si>
    <t>bakerynyl@gmail.com</t>
  </si>
  <si>
    <t>Arkana loundry/Arkana loundry</t>
  </si>
  <si>
    <t>perum puskopkar blok b17 no 38</t>
  </si>
  <si>
    <t>Julita</t>
  </si>
  <si>
    <t>0822 88381555</t>
  </si>
  <si>
    <t>julita.susanti123@gmail.com</t>
  </si>
  <si>
    <t>Kitee_laundry/Kitee_laundry</t>
  </si>
  <si>
    <t>Kab. Natuna</t>
  </si>
  <si>
    <t>JLN. HR SEOBRANTAS RT/RW 002/003 RANAI DARAT</t>
  </si>
  <si>
    <t>Arkana loundry/Arkana loundry 2</t>
  </si>
  <si>
    <t>putri 7</t>
  </si>
  <si>
    <t xml:space="preserve">Andriani Zulkifli </t>
  </si>
  <si>
    <t>0857 67759827</t>
  </si>
  <si>
    <t>adrnzulkifli@gmail.com</t>
  </si>
  <si>
    <t>Harun Loundry</t>
  </si>
  <si>
    <t>Batu Besar Batam</t>
  </si>
  <si>
    <t>launndry center</t>
  </si>
  <si>
    <t>082288679394</t>
  </si>
  <si>
    <t>indahallo403@gmail.com</t>
  </si>
  <si>
    <t>laundry center</t>
  </si>
  <si>
    <t>bengkong kolam blok 11a no 13</t>
  </si>
  <si>
    <t xml:space="preserve">Baba Laundry </t>
  </si>
  <si>
    <t>0878 13584466</t>
  </si>
  <si>
    <t>saungsunda07@gmail.com</t>
  </si>
  <si>
    <t>Baba Laundry</t>
  </si>
  <si>
    <t>Bengkong Nusantara D 1</t>
  </si>
  <si>
    <t>MOH YUSUF</t>
  </si>
  <si>
    <t>0887 07543 313</t>
  </si>
  <si>
    <t>moh.yusuf1305@gmail.com</t>
  </si>
  <si>
    <t>JYN'S LAUNDRY/JYN'S LAUNDRY</t>
  </si>
  <si>
    <t>GRAND BSI B3 NO.8 BATAM</t>
  </si>
  <si>
    <t>feby</t>
  </si>
  <si>
    <t>0812 7779 9880</t>
  </si>
  <si>
    <t>Diamond Laundry</t>
  </si>
  <si>
    <t>Kota Tanjung Pinang</t>
  </si>
  <si>
    <t>Jl. Pramuka No. 62</t>
  </si>
  <si>
    <t>Kelly</t>
  </si>
  <si>
    <t>0812 1100 3294</t>
  </si>
  <si>
    <t>ega070592@gmail.com</t>
  </si>
  <si>
    <t>Aziz Laundry aa/Kirana Loundry</t>
  </si>
  <si>
    <t>Rexvin village blok A1 no 35. Batam center</t>
  </si>
  <si>
    <t>Citra Agustin</t>
  </si>
  <si>
    <t>081266572742</t>
  </si>
  <si>
    <t>Berkah laundry/Berkah laundry</t>
  </si>
  <si>
    <t>Ruko Masa Sentosa Blok A No 12</t>
  </si>
  <si>
    <t xml:space="preserve">fauzan arif </t>
  </si>
  <si>
    <t>08994807948</t>
  </si>
  <si>
    <t>ojanlaundry@gmail.com</t>
  </si>
  <si>
    <t>ojan laundry/ojan laundry</t>
  </si>
  <si>
    <t>cemara asri bb9 no 5</t>
  </si>
  <si>
    <t>ojan laundry/Ojan Laundry 2</t>
  </si>
  <si>
    <t xml:space="preserve">Koka Laundry </t>
  </si>
  <si>
    <t>0823 9219 2990</t>
  </si>
  <si>
    <t>Koka Laundry/Koka Laundry</t>
  </si>
  <si>
    <t>Ruko Belian Residence Blok A3 No. 2, Batam Kota</t>
  </si>
  <si>
    <t>Kasir Laundry</t>
  </si>
  <si>
    <t>0821 93837505</t>
  </si>
  <si>
    <t>Laundry/ATLANTA LAUNDRY</t>
  </si>
  <si>
    <t xml:space="preserve">Handra </t>
  </si>
  <si>
    <t>089670400714</t>
  </si>
  <si>
    <t>Yurni Laundry</t>
  </si>
  <si>
    <t>Komp. Bida Asri Indah 2 Blok A No 12</t>
  </si>
  <si>
    <t>Novi Dian</t>
  </si>
  <si>
    <t>081255621176</t>
  </si>
  <si>
    <t>qleanfresh@gmail.com</t>
  </si>
  <si>
    <t>Qlean N Fresh Laundry/Qlean N Fresh Laundry</t>
  </si>
  <si>
    <t>Batam, Jalan Raja Isa Komplek Perumahan Mediterania Blok KK No 6</t>
  </si>
  <si>
    <t>Sis Laundry</t>
  </si>
  <si>
    <t>085261065678</t>
  </si>
  <si>
    <t>Sis Laundry/Sis Laundry</t>
  </si>
  <si>
    <t>Komp. Villa Marina Blok A No 3</t>
  </si>
  <si>
    <t>Mohamad Taufik Akbar</t>
  </si>
  <si>
    <t>082288222953</t>
  </si>
  <si>
    <t>G&amp;T Laundry/G&amp;T Laundry ( Laundry Dengan Kualitas Terbaik )</t>
  </si>
  <si>
    <t>ruko mawar no 42 coptaland tiban kep riau batam</t>
  </si>
  <si>
    <t>AJ Laundry</t>
  </si>
  <si>
    <t>081371950078</t>
  </si>
  <si>
    <t>cliantashane.maureen10@gmail.com</t>
  </si>
  <si>
    <t>Laundry/AJ laundry</t>
  </si>
  <si>
    <t>jl. teuku umar sebelum i hotel batam,lurusan first spa lubuk baja kota, kec. lubuk baja batam kota</t>
  </si>
  <si>
    <t>ONE LAUNDRY COMMERCIAL</t>
  </si>
  <si>
    <t>08117761124</t>
  </si>
  <si>
    <t>onelaundrybatam@gmail.com</t>
  </si>
  <si>
    <t>ONE LAUNDRY COMMERCIAL/TOO KLIN INDONESIA</t>
  </si>
  <si>
    <t>Cipta Green Mansion Green Valley Blok C No. 02</t>
  </si>
  <si>
    <t>GUNAWAN WIDJAYA</t>
  </si>
  <si>
    <t>082392540088</t>
  </si>
  <si>
    <t>psbliard@gmail.com</t>
  </si>
  <si>
    <t>PS BILYARD/PS BILYARD</t>
  </si>
  <si>
    <t>Jl. Duyung Hotel Pasific Puja Sera Food Court Lt.2</t>
  </si>
  <si>
    <t>Dede Djakaria</t>
  </si>
  <si>
    <t>081270087954</t>
  </si>
  <si>
    <t>JACK COIN LAUNDRY/JACK COIN LAUNDRY</t>
  </si>
  <si>
    <t>Ruko Aladin Blok C No. 9 Belian, Batam Center</t>
  </si>
  <si>
    <t>JACK COIN LAUNDRY/Jack Clean Laundry</t>
  </si>
  <si>
    <t>Ruko Bukit Citra Lestari Blok K1 No.10</t>
  </si>
  <si>
    <t>JACK COIN LAUNDRY/Djak Clean Laundry</t>
  </si>
  <si>
    <t>Komplek Ruko Panbil Mall Blok F No.5 Muka Kuning</t>
  </si>
  <si>
    <t xml:space="preserve">Dede Djakaria </t>
  </si>
  <si>
    <t>JACK COIN LAUNDRY/JC LAUNDRY DOM</t>
  </si>
  <si>
    <t>Yaaman Gea</t>
  </si>
  <si>
    <t>08116661110</t>
  </si>
  <si>
    <t>KHANA NIAGA MANDIRI/CV. KHANA NIAGA MANDIRI</t>
  </si>
  <si>
    <t>Komplek Green Town Blok O No. 15</t>
  </si>
  <si>
    <t>Halim</t>
  </si>
  <si>
    <t>087736667775</t>
  </si>
  <si>
    <t>whitelaundrybatam@gmail.com</t>
  </si>
  <si>
    <t>White Laundry/White Laundry</t>
  </si>
  <si>
    <t>Ruko Grand Niaga Mas Blok B no 12-15</t>
  </si>
  <si>
    <t>Alfira Juwita</t>
  </si>
  <si>
    <t>085272003966</t>
  </si>
  <si>
    <t>Princes Furniture/Princes Furniture</t>
  </si>
  <si>
    <t>Ruko Botania 2 Blok B3 No 1 - 2</t>
  </si>
  <si>
    <t>LAUNDRY</t>
  </si>
  <si>
    <t>085212888287</t>
  </si>
  <si>
    <t>AJ Laundry/LAUNDRY</t>
  </si>
  <si>
    <t>jl.teuku umar sebelum i hotel batam,lurusan first spa lubuk baja batam kota</t>
  </si>
  <si>
    <t>Robin</t>
  </si>
  <si>
    <t>081289986699</t>
  </si>
  <si>
    <t>bossco6688@gmail.com</t>
  </si>
  <si>
    <t>boss laundry/boss laundry</t>
  </si>
  <si>
    <t>Ruko Grand Niaga Mas Blok A no.93</t>
  </si>
  <si>
    <t>Susi Yanti</t>
  </si>
  <si>
    <t>082283132819</t>
  </si>
  <si>
    <t>susiy9150@gmail.com</t>
  </si>
  <si>
    <t>D' Laundry coin/D' Laundry coin</t>
  </si>
  <si>
    <t>Graha Legenda Malaka Ruko Hang Kesturi Blok G3 No.10</t>
  </si>
  <si>
    <t xml:space="preserve">Febria Hanum </t>
  </si>
  <si>
    <t>08116666081</t>
  </si>
  <si>
    <t>labclean.care@gmail.com</t>
  </si>
  <si>
    <t>LabClean/LabClean</t>
  </si>
  <si>
    <t>Mitra Raya</t>
  </si>
  <si>
    <t>Anna Maria Btm</t>
  </si>
  <si>
    <t>082170365019</t>
  </si>
  <si>
    <t>annamariabtm58@gmail.com</t>
  </si>
  <si>
    <t>MJS LAUNDRY COIN/MJS LAUNDRY COIN</t>
  </si>
  <si>
    <t>Ruko Tembesi point blok C no 16</t>
  </si>
  <si>
    <t>Lina Sinaga</t>
  </si>
  <si>
    <t>081368073010</t>
  </si>
  <si>
    <t xml:space="preserve">Swalaundry/Swalaundry	</t>
  </si>
  <si>
    <t>Griya Pratama Blok AA No 16</t>
  </si>
  <si>
    <t>Riza's Laundry</t>
  </si>
  <si>
    <t>085373502950</t>
  </si>
  <si>
    <t>Rizaslaundry@gmail.com</t>
  </si>
  <si>
    <t>Riza's Laundry/Riza's Laundry</t>
  </si>
  <si>
    <t>Ruko MTC Blok BE No. 11</t>
  </si>
  <si>
    <t>Ika Khairani</t>
  </si>
  <si>
    <t>082130070721</t>
  </si>
  <si>
    <t>khairaniika554@gmail.com</t>
  </si>
  <si>
    <t>Ika Laundry Coin/Ika Laundry Coin</t>
  </si>
  <si>
    <t>Ruka summercoast blok A2 No.8 Tiban Nirwana</t>
  </si>
  <si>
    <t>Barbara Carrera</t>
  </si>
  <si>
    <t>082171869047</t>
  </si>
  <si>
    <t>angellaundrybatam@gmail.com</t>
  </si>
  <si>
    <t>Angel Breeze Laundry/Angel Breeze Laundry</t>
  </si>
  <si>
    <t>Perumahan Citra Multiland Blok D12A</t>
  </si>
  <si>
    <t xml:space="preserve">NR LAUNDRY </t>
  </si>
  <si>
    <t>081270055344</t>
  </si>
  <si>
    <t>nrlaundry2026@gmail.com</t>
  </si>
  <si>
    <t>NR LAUNDRY/NR LAUNDRY</t>
  </si>
  <si>
    <t>Ruko Golden City no 26</t>
  </si>
  <si>
    <t>Ĵs Laundry</t>
  </si>
  <si>
    <t>081374913970</t>
  </si>
  <si>
    <t>jslaundy8888@gmail.com</t>
  </si>
  <si>
    <t>jslaundry/jslaundry</t>
  </si>
  <si>
    <t>bengkong swadebi blok F NO.22b</t>
  </si>
  <si>
    <t>Golden Coin Laundry</t>
  </si>
  <si>
    <t>082170574987</t>
  </si>
  <si>
    <t>goldencoinlaundry617@gmail.com</t>
  </si>
  <si>
    <t>Golden Coin Laundry/Golden Coin Laundry</t>
  </si>
  <si>
    <t>Golden Prawn C 19</t>
  </si>
  <si>
    <t xml:space="preserve">Happy Laundry Coin </t>
  </si>
  <si>
    <t>082173603317</t>
  </si>
  <si>
    <t>Happy Laundry Coin/Happy Laundry Coin</t>
  </si>
  <si>
    <t>Dreamland Square Block H9 No.5</t>
  </si>
  <si>
    <t>Supreme Wash Laundry</t>
  </si>
  <si>
    <t>082180355766</t>
  </si>
  <si>
    <t>SW Laundry/SW Laundry</t>
  </si>
  <si>
    <t>Kompleks Ruko Penuin Center Blok I No 7</t>
  </si>
  <si>
    <t xml:space="preserve">YANA LAUNDRY / ATLANTA LAUNDRY </t>
  </si>
  <si>
    <t>08136541093</t>
  </si>
  <si>
    <t>atlantalaundry76@gmail.com</t>
  </si>
  <si>
    <t>ATLANTA LAUNDRY/ATLANTA LAUNDRY</t>
  </si>
  <si>
    <t>Ruko City Garden No8 Botania</t>
  </si>
  <si>
    <t xml:space="preserve">ARIQ LAUNDRY </t>
  </si>
  <si>
    <t>081261119628</t>
  </si>
  <si>
    <t>laundry01032026@gmail.com</t>
  </si>
  <si>
    <t>laundry/ARIQ LAUNDRY</t>
  </si>
  <si>
    <t>perum cipta asri 2 blok BOULEVARD B no. 15</t>
  </si>
  <si>
    <t>Anderson Laundry</t>
  </si>
  <si>
    <t>085363292222</t>
  </si>
  <si>
    <t>Anderson Laundry/Anderson Laundry</t>
  </si>
  <si>
    <t>Komp Business Centre No 7</t>
  </si>
  <si>
    <t>masdi putra</t>
  </si>
  <si>
    <t>081905183510</t>
  </si>
  <si>
    <t>masdiputra799@gmail.com</t>
  </si>
  <si>
    <t>Hanan laundry/Hanan laundry</t>
  </si>
  <si>
    <t>kavling sambau Nongsa</t>
  </si>
  <si>
    <t>Aqiilah laundry</t>
  </si>
  <si>
    <t>0852 6790 6057</t>
  </si>
  <si>
    <t>ronasari417@gmail.com</t>
  </si>
  <si>
    <t>laundri</t>
  </si>
  <si>
    <t>Kota Bandar Lampung</t>
  </si>
  <si>
    <t>jalan nunyai ,gang bungsu 2.no 8</t>
  </si>
  <si>
    <t>Hindun Triyani</t>
  </si>
  <si>
    <t>0821 75816707</t>
  </si>
  <si>
    <t>hinduntri10@gmail.com</t>
  </si>
  <si>
    <t>AR loundry</t>
  </si>
  <si>
    <t>Kab. Lampung Tengah</t>
  </si>
  <si>
    <t>dusun kotasari II RT 015 / RW 008</t>
  </si>
  <si>
    <t xml:space="preserve">Gayatri </t>
  </si>
  <si>
    <t>0856 64273423</t>
  </si>
  <si>
    <t>ningtyas203@gmail.com</t>
  </si>
  <si>
    <t>Syifa Loundry</t>
  </si>
  <si>
    <t>Kab. Lampung Timur</t>
  </si>
  <si>
    <t>JL PLN PUGUNG RAHARJO</t>
  </si>
  <si>
    <t>Meyme loundry</t>
  </si>
  <si>
    <t>0823 73777637</t>
  </si>
  <si>
    <t>meymey123@gmail.com</t>
  </si>
  <si>
    <t>Mey Mey loundry</t>
  </si>
  <si>
    <t>desa sribhawono kec.bandar sribhawono kab.lampung timur prov.lampung</t>
  </si>
  <si>
    <t xml:space="preserve">Firdausy Zahra </t>
  </si>
  <si>
    <t>0813 25340586</t>
  </si>
  <si>
    <t>firdausyzahra85556@gmail.com</t>
  </si>
  <si>
    <r>
      <rPr>
        <rFont val="Calibri"/>
        <color rgb="FF1155CC"/>
        <sz val="9.0"/>
        <u/>
      </rPr>
      <t>SETRIKAIN/</t>
    </r>
    <r>
      <rPr>
        <rFont val="Calibri"/>
        <color rgb="FFFFFFFF"/>
        <sz val="9.0"/>
        <u/>
      </rPr>
      <t xml:space="preserve">  NUZULA LAUNDRY</t>
    </r>
  </si>
  <si>
    <t>Kab. Lampung Selatan</t>
  </si>
  <si>
    <t>jln lettu rohani</t>
  </si>
  <si>
    <t>SOULTHAN RIZALDY</t>
  </si>
  <si>
    <t>0851 6182 6059</t>
  </si>
  <si>
    <t>kawaiilaundry2022@gmail.com</t>
  </si>
  <si>
    <t>Kawaii Laundry</t>
  </si>
  <si>
    <t>Jl. Kasuari, ITERA</t>
  </si>
  <si>
    <t>Yossi Nathalia</t>
  </si>
  <si>
    <t>083876877190</t>
  </si>
  <si>
    <t>yossinathalia3@gmail.com</t>
  </si>
  <si>
    <t>Bunda Laundry/OMAH LAUNDRY BUNDA YOSSI</t>
  </si>
  <si>
    <t>Jl. Lintas Timur Desa Labuhan Ratu RT/RW 014/003 kec. Pasir Sakti, kab. Lampung Timur, Lampung</t>
  </si>
  <si>
    <t>083876877187</t>
  </si>
  <si>
    <t>yossinathalia522@gmail.com</t>
  </si>
  <si>
    <t>Omah Laundry Bunda Yossi</t>
  </si>
  <si>
    <t>Joko Tingkir</t>
  </si>
  <si>
    <t>KOE 19</t>
  </si>
  <si>
    <t>0856 1873 757</t>
  </si>
  <si>
    <t>a12vin@yahoo.com</t>
  </si>
  <si>
    <t>Laundry Koe 19</t>
  </si>
  <si>
    <t>Jl MS Batubara No 19 Kupang Teba Teluk Betung Bandar Lampung</t>
  </si>
  <si>
    <t>choironnisa Walimuda</t>
  </si>
  <si>
    <t>0897 618 8828</t>
  </si>
  <si>
    <t>nisatourandtravel@gmail.com</t>
  </si>
  <si>
    <t>J'n Laundry</t>
  </si>
  <si>
    <t>Gerbang Belakang Perumahan Nusantara Sukabumi Bandar Lampung</t>
  </si>
  <si>
    <t xml:space="preserve">FATMAWATI </t>
  </si>
  <si>
    <t>0852 80357196</t>
  </si>
  <si>
    <t>kawaiilaundry2@gmail.com</t>
  </si>
  <si>
    <t>kawaii laundry II</t>
  </si>
  <si>
    <t>ruko perumahan puri mutiara singkep, sukarame</t>
  </si>
  <si>
    <t>Bantu Laundry</t>
  </si>
  <si>
    <t>08988888004</t>
  </si>
  <si>
    <t>bantulaundry@gmail.com</t>
  </si>
  <si>
    <t>Bantu Laundry/Bantu Laundry 2</t>
  </si>
  <si>
    <t>Jalan pandawa no,. 14</t>
  </si>
  <si>
    <t>Bantu Laundry/Bantu Laundry 1</t>
  </si>
  <si>
    <t xml:space="preserve">Bantu Laundry </t>
  </si>
  <si>
    <t>Jalan Raflesia</t>
  </si>
  <si>
    <t>Jalan Pandawa</t>
  </si>
  <si>
    <t>April Eyil</t>
  </si>
  <si>
    <t>085346563362</t>
  </si>
  <si>
    <t>aprill280495@gmail.com</t>
  </si>
  <si>
    <t>APRIL LAUNDRY</t>
  </si>
  <si>
    <t>desa sidorejo pl 10 rt 12 rw 03</t>
  </si>
  <si>
    <t>Susanto Wahyutomo</t>
  </si>
  <si>
    <t>0811608399</t>
  </si>
  <si>
    <t>wahyutomosusanto@gmail.com</t>
  </si>
  <si>
    <t>Nyonya laundrt/Nyonya ubl</t>
  </si>
  <si>
    <t>jln za pagar alam no 31</t>
  </si>
  <si>
    <t xml:space="preserve">Redo </t>
  </si>
  <si>
    <t>085280357196</t>
  </si>
  <si>
    <t>kawaii laundry II/KAWAII SINGKEP 7</t>
  </si>
  <si>
    <t>Jalan Pulau Singkep 7, Kecamatan Sukabumi, Bandar Lampung</t>
  </si>
  <si>
    <t xml:space="preserve">Arya Febri Dwi Prasetyo </t>
  </si>
  <si>
    <t>081246910740</t>
  </si>
  <si>
    <t>aryafebri991@gmail.com</t>
  </si>
  <si>
    <t>D'bantu Landry/	DI BANTU LAUNDRY</t>
  </si>
  <si>
    <t>uin</t>
  </si>
  <si>
    <t>Sinta</t>
  </si>
  <si>
    <t>082121757318</t>
  </si>
  <si>
    <t>Laundry Sinta/Laundry Sinta</t>
  </si>
  <si>
    <t>Jl Nusantara no.80</t>
  </si>
  <si>
    <t>15364</t>
  </si>
  <si>
    <t>Bantu Laundry 2</t>
  </si>
  <si>
    <t>0895327377938</t>
  </si>
  <si>
    <t>bantulaundry2@gmail.com</t>
  </si>
  <si>
    <t>Bantu Laundry 2/Bantu Laundry 2</t>
  </si>
  <si>
    <t>jalan kelengkeng 3 kel. wayhuwi kec jati agung kab lampung selatan</t>
  </si>
  <si>
    <t>cahyaningtyas</t>
  </si>
  <si>
    <t>081387876367</t>
  </si>
  <si>
    <t>cahyaningtyass123@gmail.com</t>
  </si>
  <si>
    <t>cahya laundry/cahya laundry</t>
  </si>
  <si>
    <t>Kab. Tulangbawang</t>
  </si>
  <si>
    <t>yudha karya jitu</t>
  </si>
  <si>
    <t xml:space="preserve">Kusuma </t>
  </si>
  <si>
    <t>085366506350</t>
  </si>
  <si>
    <t>laundrykusuma03@gmail.com</t>
  </si>
  <si>
    <t>3Kusuma Laundry Coin &amp; Kiloan/3Kusuma Laundry Coin &amp; Kiloan</t>
  </si>
  <si>
    <t>Kab. Pesisir Barat</t>
  </si>
  <si>
    <t>Jl. Jaya Wijaya, Kp. Jawa Kec. Pesisir Tengah Kab. Pesisir Barat Prov. Lampung</t>
  </si>
  <si>
    <t>kampus laundry</t>
  </si>
  <si>
    <t>081384814542</t>
  </si>
  <si>
    <t>kampuslaundry260@gmail.com</t>
  </si>
  <si>
    <t>kampus laundry/KAMPUS LAUNDRY</t>
  </si>
  <si>
    <t>Kota Metro</t>
  </si>
  <si>
    <t>jl kihajar dewantara</t>
  </si>
  <si>
    <t>TOTAL 2021 - 2026</t>
  </si>
  <si>
    <t>Azizah</t>
  </si>
  <si>
    <t>085235401363</t>
  </si>
  <si>
    <t>fzahzah22@gmail.com</t>
  </si>
  <si>
    <t>D'java Laundry</t>
  </si>
  <si>
    <t>Kota Ambon</t>
  </si>
  <si>
    <t>jl. ir. m. putuhena, kota jawa, ambon</t>
  </si>
  <si>
    <t xml:space="preserve">Desember </t>
  </si>
  <si>
    <t>Home laundry</t>
  </si>
  <si>
    <t>082352392332</t>
  </si>
  <si>
    <t>home laundry</t>
  </si>
  <si>
    <t>Kab. Kepulauan Aru</t>
  </si>
  <si>
    <t>jln cendrawasih no 17 puncak dobo</t>
  </si>
  <si>
    <t>Mega Astuti</t>
  </si>
  <si>
    <t>0813 3868 3995</t>
  </si>
  <si>
    <t>djengahlaundry@gmail.com</t>
  </si>
  <si>
    <t>Djengah Laundry/Djengah Laundry</t>
  </si>
  <si>
    <t>Kab. Sumbawa</t>
  </si>
  <si>
    <t>Jalan Garuda nomor 180 Lempeh</t>
  </si>
  <si>
    <t>Novy Andryani</t>
  </si>
  <si>
    <t>0819 3660 5144</t>
  </si>
  <si>
    <t>novyandryani211@gmail.com</t>
  </si>
  <si>
    <t>Nofela Laundry</t>
  </si>
  <si>
    <t>Jl. Kebayan RT 03 RW 08 Gang Ria Fashion</t>
  </si>
  <si>
    <t xml:space="preserve">Sweet Clean </t>
  </si>
  <si>
    <t>0811 388837</t>
  </si>
  <si>
    <t>sweetclean.laundry@gmail.com</t>
  </si>
  <si>
    <t>Sweet Clean</t>
  </si>
  <si>
    <t>Kab. Lombok Barat</t>
  </si>
  <si>
    <t>Perumahan Lingkar Manunggal F-8</t>
  </si>
  <si>
    <t xml:space="preserve">FIRA </t>
  </si>
  <si>
    <t>0812 3961 9220</t>
  </si>
  <si>
    <t>nurwahidah.s.kep@gmail.com</t>
  </si>
  <si>
    <t>FAZZA LAUNDRY</t>
  </si>
  <si>
    <t>Kota Bima</t>
  </si>
  <si>
    <t>SEBELAH TIMUR POM BENSIN PENATOIjl. gajah Mada kelurahan penatoi kecamatan MPUNDAkota bima</t>
  </si>
  <si>
    <t>Djengah Laundry/ Djengah Laundry Brangbiji</t>
  </si>
  <si>
    <t>ilman thayaran</t>
  </si>
  <si>
    <t>082144468122</t>
  </si>
  <si>
    <t>ilmanthayaranidris66@gmail.com</t>
  </si>
  <si>
    <t>MasMasNyuci</t>
  </si>
  <si>
    <t>Kota Mataram</t>
  </si>
  <si>
    <t>jl. panji tilar negara no.92 ruko 7 kekalik jaya</t>
  </si>
  <si>
    <t>syarif rahman</t>
  </si>
  <si>
    <t>085339284574</t>
  </si>
  <si>
    <t>Syarifrahman634@gmail.com</t>
  </si>
  <si>
    <t>Tripoin Laundry/Tripoin Laundry</t>
  </si>
  <si>
    <t>jl. pisang,Rt 15,Rw 06, kel. Rabangodu Utara, Kec. Raba, Kota Bima</t>
  </si>
  <si>
    <t xml:space="preserve">Fatmawati Zainal </t>
  </si>
  <si>
    <t>0811 28806767</t>
  </si>
  <si>
    <t>fatmazainal13@gmail.com</t>
  </si>
  <si>
    <t>Arya laundry express (Fatmawati Zainal)</t>
  </si>
  <si>
    <t>Kab. Manggarai Barat</t>
  </si>
  <si>
    <t>labuan Bajo jalan Soekarno Hatta kampung tengah</t>
  </si>
  <si>
    <t>Yonna</t>
  </si>
  <si>
    <t>0821 47645473</t>
  </si>
  <si>
    <t>djawaerna@gmail.com</t>
  </si>
  <si>
    <t>NYONYA LAUNDRY</t>
  </si>
  <si>
    <t>Kota Kupang</t>
  </si>
  <si>
    <t>Jl. Adisucipto samping kantor pos Penfui</t>
  </si>
  <si>
    <t xml:space="preserve">arya satya zainal </t>
  </si>
  <si>
    <t>081239457114</t>
  </si>
  <si>
    <t>satyazainalarya04@gmail.com</t>
  </si>
  <si>
    <t>Arya laundry express (arya satya zainal )</t>
  </si>
  <si>
    <t>jln mutiara kampung tengah arah waterfront labuan bajo</t>
  </si>
  <si>
    <t>Trimardijati</t>
  </si>
  <si>
    <t>081138222220</t>
  </si>
  <si>
    <t>Mylaundrykp25@gmail.com</t>
  </si>
  <si>
    <t>Jalan Pahlawan No 22</t>
  </si>
  <si>
    <t>0811301040</t>
  </si>
  <si>
    <t>TUNTAS TENGGUMUNG/TUNTAS COIN LAUNDRY ALAK</t>
  </si>
  <si>
    <t>ALAK</t>
  </si>
  <si>
    <t>0811301041</t>
  </si>
  <si>
    <t>TUNTAS TENGGUMUNG/TUNTAS COIN LAUNDRY TDM</t>
  </si>
  <si>
    <t>jln.tuak daun merah</t>
  </si>
  <si>
    <t>TUNTAS TENGGUMUNG/TUNTAS LAUNDRY AMABI</t>
  </si>
  <si>
    <t>Jl. Amabi no.77</t>
  </si>
  <si>
    <t>MIQUEL TOMASUI</t>
  </si>
  <si>
    <t>081213288808</t>
  </si>
  <si>
    <t>migeltomasui17@gmail.com</t>
  </si>
  <si>
    <t>TO'O LAUNDRY/TO'O LAUNDRY</t>
  </si>
  <si>
    <t>Kab. Rote Ndao</t>
  </si>
  <si>
    <t>Jln. Ba'a-Busalangga No.01, 85914</t>
  </si>
  <si>
    <t xml:space="preserve">Trimardijati </t>
  </si>
  <si>
    <t>My Laundry/My Laundry Liliba</t>
  </si>
  <si>
    <t>Jalan Fatutuan</t>
  </si>
  <si>
    <t>Monang Silalahi</t>
  </si>
  <si>
    <t>081339016746</t>
  </si>
  <si>
    <t>monangjc766hi@gmail.com</t>
  </si>
  <si>
    <t>Siloam Laundry/Siloam Laundry</t>
  </si>
  <si>
    <t>Sikumana</t>
  </si>
  <si>
    <t xml:space="preserve">Nelci Aplonia Atty </t>
  </si>
  <si>
    <t>081237067434</t>
  </si>
  <si>
    <t>kamalenny37@gmail.com</t>
  </si>
  <si>
    <t>SMART LAUNDRY 88/SMART LAUNDRY 88</t>
  </si>
  <si>
    <t>Jln. Bakti Karang INo. 88</t>
  </si>
  <si>
    <t xml:space="preserve">Tuntas Laundryoffice </t>
  </si>
  <si>
    <t>0822555950</t>
  </si>
  <si>
    <t>tuntaslaundryoffice@gmail.com</t>
  </si>
  <si>
    <t>TUNTAS LAUNDRY NTT/TUNTAS LASIANA</t>
  </si>
  <si>
    <t>jl. amabi 77 , oebufu, maulafa ,kota kupang -NTT</t>
  </si>
  <si>
    <t>TUNTAS LAUNDRY NTT/TUNTAS TDM</t>
  </si>
  <si>
    <t>TUNTAS LAUNDRY NTT/TUNTAS AMABI</t>
  </si>
  <si>
    <t>TUNTAS LAUNDRY NTT/TUNTAS SIKUMANA</t>
  </si>
  <si>
    <t>TUNTAS LAUNDRY NTT/TUNTAS ALAK</t>
  </si>
  <si>
    <t>My Laundry/My Laundry Naimata</t>
  </si>
  <si>
    <t>RITA JAUWALATTA</t>
  </si>
  <si>
    <t>081231622576</t>
  </si>
  <si>
    <t>tuntaslaundry01@gmail.com</t>
  </si>
  <si>
    <t>Tuntas Laundry/Tuntas Sikumana</t>
  </si>
  <si>
    <t>Jalan Amabi no 77 Kota Kupang - NTT</t>
  </si>
  <si>
    <t>Tuntas Laundry/Tuntas Amabi</t>
  </si>
  <si>
    <t>suryani</t>
  </si>
  <si>
    <t>0823 9887 8388</t>
  </si>
  <si>
    <t>wahydinwahu270889@gmail.com</t>
  </si>
  <si>
    <t>Wahyuni Laundry</t>
  </si>
  <si>
    <t>Kab. Mimika</t>
  </si>
  <si>
    <t>Sp 1</t>
  </si>
  <si>
    <t>IVAN THEO</t>
  </si>
  <si>
    <t>0813 44469314</t>
  </si>
  <si>
    <t>gladis.epant94@gmail.com</t>
  </si>
  <si>
    <t>OKLAUNDRY</t>
  </si>
  <si>
    <t>Kab. Pegunungan Bintang</t>
  </si>
  <si>
    <t>Jl. kabiding Oksibil papua</t>
  </si>
  <si>
    <t xml:space="preserve">OWNER </t>
  </si>
  <si>
    <t>0822 39997776</t>
  </si>
  <si>
    <t>nhurul21@gmail.com</t>
  </si>
  <si>
    <t>STAR WASH LAUNDRY/LAUNDRY &amp; RENTAL MOBIL</t>
  </si>
  <si>
    <t>sp3 jl trikora</t>
  </si>
  <si>
    <t>rahayu ningsih</t>
  </si>
  <si>
    <t>0821 97763976</t>
  </si>
  <si>
    <t>ningsihrahayu590@gmail.com</t>
  </si>
  <si>
    <t>RumahLoundry Nabire</t>
  </si>
  <si>
    <t>Kab. Nabire</t>
  </si>
  <si>
    <t>jl poros sarera , depan warung makan Restu kalau sp2 kalisemen</t>
  </si>
  <si>
    <t xml:space="preserve">nadiya </t>
  </si>
  <si>
    <t>0812 48412659</t>
  </si>
  <si>
    <t>diyausuf23@gmail.com</t>
  </si>
  <si>
    <t xml:space="preserve">Kab. Jayapura </t>
  </si>
  <si>
    <t>jln yahim Sentani depan gereja GPDI haleluya</t>
  </si>
  <si>
    <t>0821 40812354</t>
  </si>
  <si>
    <t>19yulaika88@gmail.com</t>
  </si>
  <si>
    <t>FAMILY Laundry/RumahLaundry</t>
  </si>
  <si>
    <t>Kab. Keerom</t>
  </si>
  <si>
    <t>jln panca Bhakti swakarsa Keerom Papua</t>
  </si>
  <si>
    <t>0813 5408 5499</t>
  </si>
  <si>
    <t>usman250819@gmail.com</t>
  </si>
  <si>
    <t>Qaila laundry/☆☆☆QAILA-LAUNDRY☆☆☆</t>
  </si>
  <si>
    <t>jln kehiran BTN Marwah Indah sentani</t>
  </si>
  <si>
    <t>NURHIDAYAH</t>
  </si>
  <si>
    <t>0812 4839 3519</t>
  </si>
  <si>
    <t>ayha.hidayah2017@gmail.com</t>
  </si>
  <si>
    <t>AYHA LOUNDRY/AYHA LOUNDRY</t>
  </si>
  <si>
    <t>JL. AHMAD YANI DERETAN RUKO HASRAT FOTO</t>
  </si>
  <si>
    <t>AYHA LOUNDRY/AYLASH SALON</t>
  </si>
  <si>
    <t xml:space="preserve">Anita </t>
  </si>
  <si>
    <t>081354085499</t>
  </si>
  <si>
    <t>Qaila laundry/Qaila laundry</t>
  </si>
  <si>
    <t>Kab. Jayapura</t>
  </si>
  <si>
    <t>085245366805</t>
  </si>
  <si>
    <t>deonaelsa345@gmail.com</t>
  </si>
  <si>
    <t>Cindy laundry/CINDY LAUNDRY</t>
  </si>
  <si>
    <t>sp2 lokal</t>
  </si>
  <si>
    <t>Aned</t>
  </si>
  <si>
    <t>082197887840</t>
  </si>
  <si>
    <t>DJ laundry/DJ laundry</t>
  </si>
  <si>
    <t>jl.busiri ujung</t>
  </si>
  <si>
    <t>Hasniah. b</t>
  </si>
  <si>
    <t>085268056093</t>
  </si>
  <si>
    <t>hasniahbundu@gmail.com</t>
  </si>
  <si>
    <t>Laundry Nur cahaya timika/Laundry Nur cahaya timika</t>
  </si>
  <si>
    <t>Jl. pendidikan depan SMP 11</t>
  </si>
  <si>
    <t xml:space="preserve">qaila </t>
  </si>
  <si>
    <t>082310205427</t>
  </si>
  <si>
    <t xml:space="preserve">QAILA sentani/Qaila sentani        </t>
  </si>
  <si>
    <t>jln kehiran BTN Marwah indah 1</t>
  </si>
  <si>
    <t>Martino irwanto</t>
  </si>
  <si>
    <t>082199838786</t>
  </si>
  <si>
    <t>ab13laundry.moyo@gmail.com</t>
  </si>
  <si>
    <t>Ab13 Laundry</t>
  </si>
  <si>
    <t>Kota Sorong</t>
  </si>
  <si>
    <t>Jl. Kpr Moyo kilometer 13</t>
  </si>
  <si>
    <t xml:space="preserve">Herni </t>
  </si>
  <si>
    <t>082199522302</t>
  </si>
  <si>
    <t>hernidyo1215@gmail.com</t>
  </si>
  <si>
    <t>HeSoo Laundry/HeSoo Laundry</t>
  </si>
  <si>
    <t>Jl. Basuki Rahmat KM 12</t>
  </si>
  <si>
    <t>Betha nabilla</t>
  </si>
  <si>
    <t>0852 65921357</t>
  </si>
  <si>
    <t>coinlaundrypekanbaru@gmail.com</t>
  </si>
  <si>
    <t>mycoinlaundry/my laundry 03</t>
  </si>
  <si>
    <t xml:space="preserve">Kota Pekanbaru </t>
  </si>
  <si>
    <t>jl.kh ahmad dahlan</t>
  </si>
  <si>
    <t>0852 7136832</t>
  </si>
  <si>
    <t>mariosiak12@gmail.com</t>
  </si>
  <si>
    <t>Rumah laundry</t>
  </si>
  <si>
    <t>Kab. SIAK</t>
  </si>
  <si>
    <t>jl.Raja kecik, Siak sri indrapura</t>
  </si>
  <si>
    <t>Husen</t>
  </si>
  <si>
    <t>0822 68877570</t>
  </si>
  <si>
    <t>h2olaundry@gmail.com</t>
  </si>
  <si>
    <t>H2O COIN LAUNDRY</t>
  </si>
  <si>
    <t>Kota DUMAI</t>
  </si>
  <si>
    <t>Jalan Raya Lubuk Gaung</t>
  </si>
  <si>
    <t xml:space="preserve">Liza  </t>
  </si>
  <si>
    <t>0823 84173689</t>
  </si>
  <si>
    <t>lizanurmaini2505@gmail.com</t>
  </si>
  <si>
    <t>Hamidah Laundry</t>
  </si>
  <si>
    <t>jl Singgalang</t>
  </si>
  <si>
    <t>Laundry karpet Superduri</t>
  </si>
  <si>
    <t>0823 85339850</t>
  </si>
  <si>
    <t>superdurilaundrykarpet@gmail.com</t>
  </si>
  <si>
    <t>SuperLaundry</t>
  </si>
  <si>
    <t>Kab. Bengkalis</t>
  </si>
  <si>
    <t>kll</t>
  </si>
  <si>
    <t>ica putri yulinda</t>
  </si>
  <si>
    <t>08136799766</t>
  </si>
  <si>
    <t>nurhalimahtulasriakp02@gmail.com</t>
  </si>
  <si>
    <t>MERANTI LAUNDRY</t>
  </si>
  <si>
    <t>Kab. Kepulauan Meranti</t>
  </si>
  <si>
    <t>Jl. siak Rt. 001 Rw.005 kel.selatpanjang kota kec.tebing tinggi kab. kep. meranti</t>
  </si>
  <si>
    <t xml:space="preserve">Yudha Armanda </t>
  </si>
  <si>
    <t>0821 7257 3734</t>
  </si>
  <si>
    <t>laundryawesome@gmail.com</t>
  </si>
  <si>
    <t>Awesome Laundry/YUAN LAUNDRY</t>
  </si>
  <si>
    <t>Kab. Indragiri Hilir</t>
  </si>
  <si>
    <t>Bersih, Rapi, Wangi</t>
  </si>
  <si>
    <t>Laundry Lokal</t>
  </si>
  <si>
    <t>081374098413</t>
  </si>
  <si>
    <t>laundrylokal@gmail.com</t>
  </si>
  <si>
    <t>Lokal Laundri</t>
  </si>
  <si>
    <t>Jalan Sungai Beringin, Samping Gang Papadaan, Depan TK Nur Hikmah</t>
  </si>
  <si>
    <t>Amanah loundry</t>
  </si>
  <si>
    <t>085264935875</t>
  </si>
  <si>
    <t>isna86wati@gmail.com</t>
  </si>
  <si>
    <t>Amanah Loundry</t>
  </si>
  <si>
    <t>Kota Pekanbaru</t>
  </si>
  <si>
    <t>jln air dingin simpang tiga</t>
  </si>
  <si>
    <t>Ratna Ningsih</t>
  </si>
  <si>
    <t>082344535558</t>
  </si>
  <si>
    <t>ratnacaem403@gmail.com</t>
  </si>
  <si>
    <t>Al Barokah Laundry</t>
  </si>
  <si>
    <t>Jln. Balam Sakti, Panam, Pekanbaru</t>
  </si>
  <si>
    <t>Christin</t>
  </si>
  <si>
    <t>087896618876</t>
  </si>
  <si>
    <t>glandlaundry@gmail.com</t>
  </si>
  <si>
    <t>G'L(GLAN'D LAUNDRY)</t>
  </si>
  <si>
    <t>Kota Dumai</t>
  </si>
  <si>
    <t>jl raya bukit timah Km 07</t>
  </si>
  <si>
    <t>Bella</t>
  </si>
  <si>
    <t>089521149648</t>
  </si>
  <si>
    <t>marcgenesisvinzz@gmail.com</t>
  </si>
  <si>
    <t>central laundry/Central Laundry Express Palembang</t>
  </si>
  <si>
    <t>Jl. Ponorogo</t>
  </si>
  <si>
    <t>Lokal Laundry Soebrantas</t>
  </si>
  <si>
    <t>081394882000</t>
  </si>
  <si>
    <t>lokallaundry2@gmail.com</t>
  </si>
  <si>
    <t>Lokal Laundry/Lokal Laundry</t>
  </si>
  <si>
    <t>Jalan Subrantas Tembilahan</t>
  </si>
  <si>
    <t xml:space="preserve">Laundry Lokal </t>
  </si>
  <si>
    <t>Lokal Laundri/Lokal Laundry Sungai Beringin</t>
  </si>
  <si>
    <t>Sungai Beringin</t>
  </si>
  <si>
    <t xml:space="preserve">GisGis </t>
  </si>
  <si>
    <t>082185169366</t>
  </si>
  <si>
    <t>schatzewige@gmail.com</t>
  </si>
  <si>
    <t>Go Laundry/Go Laundry</t>
  </si>
  <si>
    <t>Kab. Rokan Hilir</t>
  </si>
  <si>
    <t>Jl. Jendral Sudirman, Bagan Batu</t>
  </si>
  <si>
    <t>Kak Yeyen</t>
  </si>
  <si>
    <t>085356161001</t>
  </si>
  <si>
    <t>nisasyahida2021@gmail.com</t>
  </si>
  <si>
    <t>Maryam Laundry/Maryam Laundry</t>
  </si>
  <si>
    <t>Jln. Pertanian (Dekat Lapas Bengkalis)</t>
  </si>
  <si>
    <t xml:space="preserve">BHG Laundry </t>
  </si>
  <si>
    <t>082283210330</t>
  </si>
  <si>
    <t>BHGGO93@gmail.com</t>
  </si>
  <si>
    <t>BHG Laindry/BHG Laundry</t>
  </si>
  <si>
    <t>jalan tiung no.66 Pekanbaru</t>
  </si>
  <si>
    <t>ria emelia</t>
  </si>
  <si>
    <t>085263205417</t>
  </si>
  <si>
    <t>amel69857@gmail.com</t>
  </si>
  <si>
    <t>Loundry Riazeyn/Ria Laundry</t>
  </si>
  <si>
    <t>Kab. Kampar</t>
  </si>
  <si>
    <t>Jl Terpong graha tya 2, blok B29</t>
  </si>
  <si>
    <t xml:space="preserve">Frischella Tuty Martini </t>
  </si>
  <si>
    <t>082385500575</t>
  </si>
  <si>
    <t>supeerlaundry@gmail.com</t>
  </si>
  <si>
    <t>Supeer Laundry/Supeer Laundry</t>
  </si>
  <si>
    <t>Jalan Letjen Supratman No. 17</t>
  </si>
  <si>
    <t>Nurfitriani</t>
  </si>
  <si>
    <t>0821 48326838</t>
  </si>
  <si>
    <t>aninurfitriani437@gmail.com</t>
  </si>
  <si>
    <t>888 Clean Laundry</t>
  </si>
  <si>
    <t>Kab. Mamuju</t>
  </si>
  <si>
    <t>Jalan Diponegoro no. 24 A, Mamuju</t>
  </si>
  <si>
    <t>Andi iqbal wahid</t>
  </si>
  <si>
    <t>0823 39448655</t>
  </si>
  <si>
    <t>rasya.laundry10@gmail.com</t>
  </si>
  <si>
    <t>Rasya Laundry</t>
  </si>
  <si>
    <t>Jl. H.andi dai kel.binanga kec.mamuju kab.mamuju</t>
  </si>
  <si>
    <t>Ahmad Kamal Dahlan</t>
  </si>
  <si>
    <t>085213159125</t>
  </si>
  <si>
    <t>zonalaundrymamuju@gmail.com</t>
  </si>
  <si>
    <t>Zona Laundry Mamuju</t>
  </si>
  <si>
    <t>Jl. Martadinata Mamuju</t>
  </si>
  <si>
    <t>Zona Laundry Mamuju/Zona Laundry Parepare</t>
  </si>
  <si>
    <t>Imam</t>
  </si>
  <si>
    <t>082184447077</t>
  </si>
  <si>
    <t>Adalaundry28@gmail.com</t>
  </si>
  <si>
    <t>Kab. Majene</t>
  </si>
  <si>
    <t>jln.AmmanaWewang No15</t>
  </si>
  <si>
    <t xml:space="preserve">Dillong </t>
  </si>
  <si>
    <t>082297765140</t>
  </si>
  <si>
    <t>Home Laundry</t>
  </si>
  <si>
    <t>082296790400</t>
  </si>
  <si>
    <t>888cleanlaundry@gmail.com</t>
  </si>
  <si>
    <t>Jalan Diponegoro no 24 A</t>
  </si>
  <si>
    <t xml:space="preserve">Andi Fatmawati </t>
  </si>
  <si>
    <t>08114118810</t>
  </si>
  <si>
    <t>andi.fatikha@gmail.com</t>
  </si>
  <si>
    <t>888 Laundry 'Ta Mamuju/Fatikha salon</t>
  </si>
  <si>
    <t>Jl.Diponegoro no 24 A</t>
  </si>
  <si>
    <t>dillong419@gmail.com</t>
  </si>
  <si>
    <t>Home Laundry/MIDI Laundry</t>
  </si>
  <si>
    <t>jl. Poros salulekbo, kompleks mesjid Al-Fajri</t>
  </si>
  <si>
    <t xml:space="preserve">Ahmad Kamal Dahlan </t>
  </si>
  <si>
    <t>Zona Laundry Mamuju/Zona Laundry Pinrang</t>
  </si>
  <si>
    <t>Rizki Handayani</t>
  </si>
  <si>
    <t>0822 9382 1137</t>
  </si>
  <si>
    <t>ummilaundry1120@gmail.com</t>
  </si>
  <si>
    <t>Ummi Laundry</t>
  </si>
  <si>
    <t>Kab. MAROS</t>
  </si>
  <si>
    <t>Jl. Masjid Nurul Iman, Bulu Bulu.</t>
  </si>
  <si>
    <t xml:space="preserve">Geoffrey R. Leidelmeyer </t>
  </si>
  <si>
    <t>0819 3399 6699</t>
  </si>
  <si>
    <t>leidelmeyer.geoffrey07@gmail.com</t>
  </si>
  <si>
    <t>Raja Wangi Laundry</t>
  </si>
  <si>
    <t>Kota Makassar</t>
  </si>
  <si>
    <t>Jl. Dg. Tata 3 No. 70</t>
  </si>
  <si>
    <t>Ahmad Junair</t>
  </si>
  <si>
    <t>0852 4062 7917</t>
  </si>
  <si>
    <t>zillaundry23@gmail.com</t>
  </si>
  <si>
    <t>Zil Laundry/KAY LAUNDRY</t>
  </si>
  <si>
    <t>Minasa Upa</t>
  </si>
  <si>
    <t xml:space="preserve">Erni </t>
  </si>
  <si>
    <t>081241917199</t>
  </si>
  <si>
    <t>rnlaundry4@gmail.com</t>
  </si>
  <si>
    <t>RN LAUNDRY</t>
  </si>
  <si>
    <t>Kab. Pinrang</t>
  </si>
  <si>
    <t>jl. poros pinrang pare dekat jembatan kariango</t>
  </si>
  <si>
    <t xml:space="preserve">marzul sakke pabisa </t>
  </si>
  <si>
    <t>0812 41271717</t>
  </si>
  <si>
    <t>marzulpabisa@rocketmail.com</t>
  </si>
  <si>
    <t>M Laundry/M. LAUNDRY TORAJA</t>
  </si>
  <si>
    <t>Kab. Toraja Utara</t>
  </si>
  <si>
    <t>rura/tedong bonga. jalan poros rantepao-makale. Toraja Utara</t>
  </si>
  <si>
    <t>Fiqhi Hidayat</t>
  </si>
  <si>
    <t>0822 19017903</t>
  </si>
  <si>
    <t>Finhcompany@gmail.com</t>
  </si>
  <si>
    <t>FIQHI INDAH LAUNDRY</t>
  </si>
  <si>
    <t>JL.POLITEKNIK (PINTU NOL UNHAS)</t>
  </si>
  <si>
    <t>Candra budiarti</t>
  </si>
  <si>
    <t>0813 55860479</t>
  </si>
  <si>
    <t>candra30092021@gmail.com</t>
  </si>
  <si>
    <t>kaflaundry/kaflaundry</t>
  </si>
  <si>
    <t xml:space="preserve">Kab. Takalar </t>
  </si>
  <si>
    <t>BTN griya bajeng lestari B3 no. 1</t>
  </si>
  <si>
    <t>Hiro Laundry</t>
  </si>
  <si>
    <t>0853 43632389</t>
  </si>
  <si>
    <t>akmalhaidir02@gmail.com</t>
  </si>
  <si>
    <t>Hiro Laundry/Hiro Laundry</t>
  </si>
  <si>
    <t>BTN Asal Mula E3/8</t>
  </si>
  <si>
    <t>Aditya Saputra</t>
  </si>
  <si>
    <t>0811 469327</t>
  </si>
  <si>
    <t>Adit.travel@gmail.com</t>
  </si>
  <si>
    <t>Adit laundry/ Laundry 88</t>
  </si>
  <si>
    <t>dg sirua</t>
  </si>
  <si>
    <t xml:space="preserve">Divya </t>
  </si>
  <si>
    <t>0822 56571726</t>
  </si>
  <si>
    <t>divyaandini@gmail.com</t>
  </si>
  <si>
    <t>Qonita Jaya Laundry</t>
  </si>
  <si>
    <t>Toddopuli 10 Baru Blok A1 No 1C</t>
  </si>
  <si>
    <t>Awwalu Laundry</t>
  </si>
  <si>
    <t>0821 88671029</t>
  </si>
  <si>
    <t>awwalulaundry@gmail.com</t>
  </si>
  <si>
    <t>Ruko Grand Orchid 1 No 12, Jalan Gontang Raya</t>
  </si>
  <si>
    <t>Ada Loundry (Owner)</t>
  </si>
  <si>
    <t>0811 4227767</t>
  </si>
  <si>
    <t>intanswaramusic2018@gmail.com</t>
  </si>
  <si>
    <t>Ada Loundry</t>
  </si>
  <si>
    <t>Kota Parepare</t>
  </si>
  <si>
    <t>Jl. Callakara No. 12 Parepare</t>
  </si>
  <si>
    <t xml:space="preserve">irwansyah </t>
  </si>
  <si>
    <t>0822 08226123</t>
  </si>
  <si>
    <t>wds.bachmid@gmail.com</t>
  </si>
  <si>
    <t>WDS LAUNDRY/WDS LAUNDRY PERDOS UNM</t>
  </si>
  <si>
    <t>Komp Perum Dosen UNM Blok BB no.21</t>
  </si>
  <si>
    <t>PonPes NU - AS</t>
  </si>
  <si>
    <t>0811 445195</t>
  </si>
  <si>
    <t>annisalaundrynu@gmail.com</t>
  </si>
  <si>
    <t>ANNISA Laundry</t>
  </si>
  <si>
    <t>jalan Samudra no 37SoreangMarosSulawesi Selatan</t>
  </si>
  <si>
    <t>Mulia Ish</t>
  </si>
  <si>
    <t>0852 98007187</t>
  </si>
  <si>
    <t>rajaalauddinlaundry@gmail.com</t>
  </si>
  <si>
    <t>Raja Alauddin Laundry</t>
  </si>
  <si>
    <t>Perum. Indah Bumi Bosowa Blok N no 7</t>
  </si>
  <si>
    <t>Hiro Laundry/Hiro Box laundry</t>
  </si>
  <si>
    <t>SITI SARAH KOROMPOT</t>
  </si>
  <si>
    <t>0821 88012012</t>
  </si>
  <si>
    <t>abhe2302@gmail.com</t>
  </si>
  <si>
    <t>RANI LAUNDRY</t>
  </si>
  <si>
    <t>Jln. Muhajirin 2 No. 17</t>
  </si>
  <si>
    <t>Inda sari</t>
  </si>
  <si>
    <t>0823 46811877</t>
  </si>
  <si>
    <t>indasriinda@gmail.com</t>
  </si>
  <si>
    <t>Laundry/Berkah Laundry</t>
  </si>
  <si>
    <t xml:space="preserve">Kab. Bone </t>
  </si>
  <si>
    <t>Jl. makmur</t>
  </si>
  <si>
    <t>Banua Laundry</t>
  </si>
  <si>
    <t>0811 4444294</t>
  </si>
  <si>
    <t>ionerahman@gmail.com</t>
  </si>
  <si>
    <t>BANUA LAUNDRY</t>
  </si>
  <si>
    <t>Jl.Jati No 20</t>
  </si>
  <si>
    <t xml:space="preserve">andi alex  </t>
  </si>
  <si>
    <t>0823 22119777</t>
  </si>
  <si>
    <t>andialexsyam15@gmail.com</t>
  </si>
  <si>
    <t>Agis Laundry</t>
  </si>
  <si>
    <t>Kab. Soppeng</t>
  </si>
  <si>
    <t>jl.kemiri,panincong,kec.marioriawa,kab.soppeng</t>
  </si>
  <si>
    <t>nur asia marisa</t>
  </si>
  <si>
    <t>0811 4204933</t>
  </si>
  <si>
    <t>nurasiamarisa@gmail.com</t>
  </si>
  <si>
    <t>Zahirah Laundry</t>
  </si>
  <si>
    <t>Jl. Abdullah Daeng Sirua No. 197A</t>
  </si>
  <si>
    <t>ASMI RAHMAN</t>
  </si>
  <si>
    <t>0852 42047952</t>
  </si>
  <si>
    <t>heaslaundry4921@gmail.com</t>
  </si>
  <si>
    <t>HEAS LAUNDRY/HEAS LAUNDRY</t>
  </si>
  <si>
    <t>Jl. Meranti 1A no 19</t>
  </si>
  <si>
    <t>Jack</t>
  </si>
  <si>
    <t>0812 42205998</t>
  </si>
  <si>
    <t>mathiuslamberth@gmail.com</t>
  </si>
  <si>
    <t>Deval Laundry/DEVAL Laundry</t>
  </si>
  <si>
    <t>jl.Nipa Nipa Lama, Antang,Manggala_Makassar</t>
  </si>
  <si>
    <t>0822 93835888</t>
  </si>
  <si>
    <t>Deval Laundry/ABELO Laundry</t>
  </si>
  <si>
    <t xml:space="preserve">Anita Yulianti Asgar </t>
  </si>
  <si>
    <t>0811 4220487</t>
  </si>
  <si>
    <t>rumahlaundryprestige@gmail.com</t>
  </si>
  <si>
    <t>Rumah Laundry Prestige</t>
  </si>
  <si>
    <t xml:space="preserve">Kota Palopo </t>
  </si>
  <si>
    <t>Jln Mungkasa No 52</t>
  </si>
  <si>
    <t>Usman</t>
  </si>
  <si>
    <t>0823 43559488</t>
  </si>
  <si>
    <t>usman93347@gmail.com</t>
  </si>
  <si>
    <t>barakka laundry</t>
  </si>
  <si>
    <t>jalan andi tonro 4 no 15</t>
  </si>
  <si>
    <t>Bunda Azka Group</t>
  </si>
  <si>
    <t>0812 25605642</t>
  </si>
  <si>
    <t>bundaazkagroup@gmail.com</t>
  </si>
  <si>
    <t>Laundry Bunda Azka</t>
  </si>
  <si>
    <t>JL Monginsidi Baru No 26</t>
  </si>
  <si>
    <t xml:space="preserve">Amirul Mu'miNin Leo </t>
  </si>
  <si>
    <t>0852 56318733</t>
  </si>
  <si>
    <t>ipmawanleo@gmail.com</t>
  </si>
  <si>
    <t>Laundry Pawawois</t>
  </si>
  <si>
    <t>Jalan Damai UNHAS</t>
  </si>
  <si>
    <t xml:space="preserve">Inara </t>
  </si>
  <si>
    <t>0811 429934</t>
  </si>
  <si>
    <t>zefendy08@gmail.com</t>
  </si>
  <si>
    <t>Nizaqira Laundry</t>
  </si>
  <si>
    <t>Kab. Luwu</t>
  </si>
  <si>
    <t>Bolong</t>
  </si>
  <si>
    <t>N W</t>
  </si>
  <si>
    <t>087753213595</t>
  </si>
  <si>
    <t>nurwina908@gmail.com</t>
  </si>
  <si>
    <t>FAMILY LAUNDRY/MOHON MAAF SEMENTRA</t>
  </si>
  <si>
    <t>jl abdullah daeng sirua no 153 C</t>
  </si>
  <si>
    <t>HEAS LAUNDRY/MAJAYA LAUNDRY</t>
  </si>
  <si>
    <t>idola laundry</t>
  </si>
  <si>
    <t>0821 9008 0044</t>
  </si>
  <si>
    <t>idolalaundry01@gmail.com</t>
  </si>
  <si>
    <t>Idola Laundry</t>
  </si>
  <si>
    <t>jl.poros BTP blok E.15</t>
  </si>
  <si>
    <t>Kasmianti</t>
  </si>
  <si>
    <t>0811 4104 491</t>
  </si>
  <si>
    <t>muh.fauzi.afrizal@gmail.com</t>
  </si>
  <si>
    <t>Laundry Karpet Palattae</t>
  </si>
  <si>
    <t>Kab. Bone</t>
  </si>
  <si>
    <t>Jl. Pendidikan</t>
  </si>
  <si>
    <t>Vebri Gangga</t>
  </si>
  <si>
    <t>087862310169</t>
  </si>
  <si>
    <t>washup.laundry01@gmail.com</t>
  </si>
  <si>
    <t>Wash Up Laundry/Ny.Uci Laundry</t>
  </si>
  <si>
    <t>Tamangapa Raya</t>
  </si>
  <si>
    <t xml:space="preserve">Resky </t>
  </si>
  <si>
    <t>085342448845</t>
  </si>
  <si>
    <t>awwadiania@gmail.com</t>
  </si>
  <si>
    <t>Loundry ZAMZAM</t>
  </si>
  <si>
    <t>Jln Sukaria XI no 33</t>
  </si>
  <si>
    <t xml:space="preserve">NEW LAUNDRY 99 </t>
  </si>
  <si>
    <t>0821 9132 2882</t>
  </si>
  <si>
    <t>mhngg26@gmail.com</t>
  </si>
  <si>
    <t>LAUNDRY99</t>
  </si>
  <si>
    <t>Kab. Gowa</t>
  </si>
  <si>
    <t>jl pallantikang 1 no 9</t>
  </si>
  <si>
    <t>kaflaundry/outlet kaflaundry</t>
  </si>
  <si>
    <t xml:space="preserve">SM </t>
  </si>
  <si>
    <t>085823397895</t>
  </si>
  <si>
    <t>marwahhh@gmail.co.id</t>
  </si>
  <si>
    <t>Family laundry</t>
  </si>
  <si>
    <t>jl. abd sirua no 153b</t>
  </si>
  <si>
    <t>Yanuar</t>
  </si>
  <si>
    <t>085255567606</t>
  </si>
  <si>
    <t>sealtiel.abraham@gmail.com</t>
  </si>
  <si>
    <t>RUMAH LAUNDRY KARASSIK</t>
  </si>
  <si>
    <t>Jalan Pongtiku Karassik Poros Rantepao Makale</t>
  </si>
  <si>
    <t xml:space="preserve">Hafizh laundry </t>
  </si>
  <si>
    <t>089521080986</t>
  </si>
  <si>
    <t>mayasarim461@gmail.com</t>
  </si>
  <si>
    <t>Hafizh laundry</t>
  </si>
  <si>
    <t>jln jend Sudirman dpn oayng adipura ruko putih</t>
  </si>
  <si>
    <t>085256318733</t>
  </si>
  <si>
    <t>Laundry Pawawois/Nasi Bakar Pawawois</t>
  </si>
  <si>
    <t>KEDAI LAUNDRY</t>
  </si>
  <si>
    <t>082393333236</t>
  </si>
  <si>
    <t>kedailaundry@gmail.com</t>
  </si>
  <si>
    <t>KEDAI LAUNDRY/KEDAI LAUNDRY</t>
  </si>
  <si>
    <t>Jl. Dato Ripanggentungan</t>
  </si>
  <si>
    <t xml:space="preserve">KEDAI LAUNDRY </t>
  </si>
  <si>
    <t>KEDAI LAUNDRY/LAUNDRY AGUSSAL</t>
  </si>
  <si>
    <t xml:space="preserve">Rina </t>
  </si>
  <si>
    <t>085247011514</t>
  </si>
  <si>
    <t>Adit laundry/Laundry 88</t>
  </si>
  <si>
    <t xml:space="preserve">                       </t>
  </si>
  <si>
    <t>afif saifuddin</t>
  </si>
  <si>
    <t>085256710146</t>
  </si>
  <si>
    <t>Magfirah Laundry</t>
  </si>
  <si>
    <t>Kab. Jeneponto</t>
  </si>
  <si>
    <t>jembatan kanawayya tamanroya</t>
  </si>
  <si>
    <t xml:space="preserve">Rahmi </t>
  </si>
  <si>
    <t>08561272728</t>
  </si>
  <si>
    <t>btc.mks@gmail.com</t>
  </si>
  <si>
    <t>Lafayete laundry</t>
  </si>
  <si>
    <t>Kab. Takalar</t>
  </si>
  <si>
    <t>takalar</t>
  </si>
  <si>
    <t>FAHRUN ANGRIAWAN</t>
  </si>
  <si>
    <t>085696686419</t>
  </si>
  <si>
    <t>amanahlaundry099@gmail.com</t>
  </si>
  <si>
    <t>Amanah Laundry 99</t>
  </si>
  <si>
    <t>Jl. Amal Bakti</t>
  </si>
  <si>
    <t>Andi Zakyah</t>
  </si>
  <si>
    <t>081284010501</t>
  </si>
  <si>
    <t>Momsqy Laundry</t>
  </si>
  <si>
    <t>racing center</t>
  </si>
  <si>
    <t>085333337722</t>
  </si>
  <si>
    <t>Inas Anin Laundry/Alea Laundry</t>
  </si>
  <si>
    <t>Jl. Mon Emmy Saelan III, B11</t>
  </si>
  <si>
    <t>085298007187</t>
  </si>
  <si>
    <t>Raja Alauddin Laundry/Raja Alauddin Laundry Gowa</t>
  </si>
  <si>
    <t>Jln. Yusuf Bauty Ruko No. 8A</t>
  </si>
  <si>
    <t>Arfan</t>
  </si>
  <si>
    <t>081342971411</t>
  </si>
  <si>
    <t>kopiropu@gmail.com</t>
  </si>
  <si>
    <t>Ropu Coffee &amp; Shoes Carr/Ropu Coffee &amp; Shoes Carr</t>
  </si>
  <si>
    <t>Jl. Monginsidi Baru No 62</t>
  </si>
  <si>
    <t xml:space="preserve">Nuzul Rahmat </t>
  </si>
  <si>
    <t>081342250940</t>
  </si>
  <si>
    <t>Wonder Wash/Wonder Wash</t>
  </si>
  <si>
    <t xml:space="preserve">September </t>
  </si>
  <si>
    <t xml:space="preserve">kiki </t>
  </si>
  <si>
    <t>082210807123</t>
  </si>
  <si>
    <t>kulaundrymakassar@gmail.com</t>
  </si>
  <si>
    <t>kulaundry/kulaundry</t>
  </si>
  <si>
    <t>jln Andi mappaoddang no 95A</t>
  </si>
  <si>
    <t>Aulia Laundry_PP</t>
  </si>
  <si>
    <t>085336166676</t>
  </si>
  <si>
    <t>Aulia Laundry/Aulia Laundry</t>
  </si>
  <si>
    <t>Jl. Bau Massepe</t>
  </si>
  <si>
    <t>Komang purna</t>
  </si>
  <si>
    <t>0822 3214 9881</t>
  </si>
  <si>
    <t>bliopodokon@gmail.com</t>
  </si>
  <si>
    <t>Dewi Laundry</t>
  </si>
  <si>
    <t>Kota Palu</t>
  </si>
  <si>
    <t>Jln. Thamrin no.4 Palu</t>
  </si>
  <si>
    <t>Andy fariansyah</t>
  </si>
  <si>
    <t>0823 2120 3718</t>
  </si>
  <si>
    <t>andifariansyah35@gmail.com</t>
  </si>
  <si>
    <t>LAUNDRY_TA'</t>
  </si>
  <si>
    <t>Kab. Morowali</t>
  </si>
  <si>
    <t>Kolonodale</t>
  </si>
  <si>
    <t>Muhammad Rifai</t>
  </si>
  <si>
    <t>08114597333</t>
  </si>
  <si>
    <t>ardiyantonuhdi@gmail.com</t>
  </si>
  <si>
    <t>Solusi Laundry/ AMM LAUNDRY</t>
  </si>
  <si>
    <t>Kab. Poso</t>
  </si>
  <si>
    <t>jln tanjumbulu</t>
  </si>
  <si>
    <t xml:space="preserve">Muhammad Rifai </t>
  </si>
  <si>
    <t xml:space="preserve">Solusi Laundry/AMM LOUNDRY AHMAD YANI        </t>
  </si>
  <si>
    <t xml:space="preserve">Acil Nini </t>
  </si>
  <si>
    <t>0822 91124535</t>
  </si>
  <si>
    <t>m32laundry@gmail.com</t>
  </si>
  <si>
    <t>M32 Laundry</t>
  </si>
  <si>
    <t>Jl. Mangga No. 32</t>
  </si>
  <si>
    <t>frylara visca datu adam</t>
  </si>
  <si>
    <t>082187851922</t>
  </si>
  <si>
    <t>frylaravisca27@gmail.com</t>
  </si>
  <si>
    <t>Queen laundry</t>
  </si>
  <si>
    <t>Kab. Banggai</t>
  </si>
  <si>
    <t>jl. setia budi</t>
  </si>
  <si>
    <t>0823 9139 5390</t>
  </si>
  <si>
    <t>JOSSLAUNDRYPALU/AKANG'S LAUNDRY PALU</t>
  </si>
  <si>
    <t>Jln Kijang Raya Palu Sulawesi Tengah</t>
  </si>
  <si>
    <t>BINT⭐NG LAUNDRY</t>
  </si>
  <si>
    <t>0822 5060 6590</t>
  </si>
  <si>
    <t>lovata487@gmail.com</t>
  </si>
  <si>
    <t>lonri</t>
  </si>
  <si>
    <t>Bonesompe</t>
  </si>
  <si>
    <t>JOSSLAUNDRYPALU/JOSSLAUNDRY 2</t>
  </si>
  <si>
    <t xml:space="preserve">Bunda Ama </t>
  </si>
  <si>
    <t>085241232200</t>
  </si>
  <si>
    <t>Amakirzhasyi04@gmail.com</t>
  </si>
  <si>
    <t>AMM Laundry Palu</t>
  </si>
  <si>
    <t>Jln. Gunung Bale No. 29 Palu</t>
  </si>
  <si>
    <t xml:space="preserve">Sania kartika </t>
  </si>
  <si>
    <t>082252788533</t>
  </si>
  <si>
    <t>Fastlaundrykdi@gmail.com</t>
  </si>
  <si>
    <t>Fast Laundry (Sania kartika)</t>
  </si>
  <si>
    <t>Kota Kendari</t>
  </si>
  <si>
    <t>Anduonohu</t>
  </si>
  <si>
    <t xml:space="preserve">Andi alfiani </t>
  </si>
  <si>
    <t>082195110445</t>
  </si>
  <si>
    <t>rqtsumreskosu@gmail.com</t>
  </si>
  <si>
    <t>Qian Laundry</t>
  </si>
  <si>
    <t>Kab. Parigi Moutong</t>
  </si>
  <si>
    <t>jl.trans sulawesi kampal dekat indomaret kampal samping id expres/indah cargo</t>
  </si>
  <si>
    <t xml:space="preserve">Riska </t>
  </si>
  <si>
    <t>082292486888</t>
  </si>
  <si>
    <t>fastlaundrykolaka@gmail.com</t>
  </si>
  <si>
    <t>Fast Laundry (Riska )</t>
  </si>
  <si>
    <t>Kab. Kolaka</t>
  </si>
  <si>
    <t>Jln Pemuda</t>
  </si>
  <si>
    <t>082391395390</t>
  </si>
  <si>
    <t>JOSSLAUNDRYPALU/AKANG'S LAUNDRY TANGGUL SELATAN</t>
  </si>
  <si>
    <t>08114002168</t>
  </si>
  <si>
    <t>toplaundrykendari@gmail.com</t>
  </si>
  <si>
    <t>TOP LAUNDRY KENDARI</t>
  </si>
  <si>
    <t>Jl. Saranani No 104 - Kendari</t>
  </si>
  <si>
    <t>Bunda Ama</t>
  </si>
  <si>
    <t>AMM Laundry Palu/AMM Laundry Gatsu</t>
  </si>
  <si>
    <t>Jln. Gatot Subroto Poso</t>
  </si>
  <si>
    <t xml:space="preserve">icha </t>
  </si>
  <si>
    <t>085756912077</t>
  </si>
  <si>
    <t>aiamolaundry47@gmail.com</t>
  </si>
  <si>
    <t>Aiamo Laundry</t>
  </si>
  <si>
    <t>jl.EdelweisHanga-hanga Permai</t>
  </si>
  <si>
    <t>Andi alfiani</t>
  </si>
  <si>
    <t>081245973412</t>
  </si>
  <si>
    <t>Qian Laundry/Qian laundry 2</t>
  </si>
  <si>
    <t>jl. Hi Agus Salim</t>
  </si>
  <si>
    <t>AMM Laundry Palu/AMM Santri</t>
  </si>
  <si>
    <t>085399708480</t>
  </si>
  <si>
    <t>aimolaundry47@gmail.com</t>
  </si>
  <si>
    <t>aiamo</t>
  </si>
  <si>
    <t>hanga-hanga permai</t>
  </si>
  <si>
    <t>Fitria Irano</t>
  </si>
  <si>
    <t>082188386888</t>
  </si>
  <si>
    <t>fitriirano@gmail.com</t>
  </si>
  <si>
    <t>Joss Londry 2/Rizky Londry</t>
  </si>
  <si>
    <t>Jl.P.Diponegoro</t>
  </si>
  <si>
    <t xml:space="preserve">Wolter </t>
  </si>
  <si>
    <t>081524115808</t>
  </si>
  <si>
    <t>woltherpaut1@gmail.com</t>
  </si>
  <si>
    <t>Victory Laundry</t>
  </si>
  <si>
    <t xml:space="preserve">Kab. Minahasa </t>
  </si>
  <si>
    <t>Jln Raya Sea WenwinDs Sea Jaga 3</t>
  </si>
  <si>
    <t>0821 8887 7846</t>
  </si>
  <si>
    <t>laundry.harapanbaru@gmail.com</t>
  </si>
  <si>
    <t>laundry harapan baru/Laundry Harapan Baru Matungkas</t>
  </si>
  <si>
    <t>Kab. Minahasa Utara</t>
  </si>
  <si>
    <t>Jl Raya Matungkas Jaga 7</t>
  </si>
  <si>
    <t>laundry harapan baru/Laundry Harapan Baru Cab Tatelu</t>
  </si>
  <si>
    <t>Jl Pinilih Tatelu Jaga 3</t>
  </si>
  <si>
    <t>warukapas laundry</t>
  </si>
  <si>
    <t>0822 9269 6490</t>
  </si>
  <si>
    <t>bambanglamakasigap@gmail.com</t>
  </si>
  <si>
    <t>kompleks masjid al mujahidin pondol - warukapasjln trans tatelu likupang</t>
  </si>
  <si>
    <t>laundry harapan baru/Laundry Harapan Baru Outlet Vista</t>
  </si>
  <si>
    <t>Jl. Raya Matungkas</t>
  </si>
  <si>
    <t>David Wijaya</t>
  </si>
  <si>
    <t>0811 4317794</t>
  </si>
  <si>
    <t>qiannfa@gmail.com</t>
  </si>
  <si>
    <t>Quick Wash Laundry</t>
  </si>
  <si>
    <t>Kota Manado</t>
  </si>
  <si>
    <t>Jl. Raya Politeknik</t>
  </si>
  <si>
    <t xml:space="preserve">Admin 1
</t>
  </si>
  <si>
    <t>0813 56709000</t>
  </si>
  <si>
    <t>livia.f.yoloan@gmail.com</t>
  </si>
  <si>
    <t>Red Laundry Bethesda/Red Laundry Bethesda</t>
  </si>
  <si>
    <t>Jln. Bethesda no. 38</t>
  </si>
  <si>
    <t>Flavia Montolalu</t>
  </si>
  <si>
    <t>0811 4316 008</t>
  </si>
  <si>
    <t>flavia.montolalu@gmail.com</t>
  </si>
  <si>
    <t>S&amp;K Laundry</t>
  </si>
  <si>
    <t>Kota Tomohon</t>
  </si>
  <si>
    <t>Jl Babe Palar Lingkungan IKel. Matani IIIKec. Tomohon Tengah</t>
  </si>
  <si>
    <t>Elvi Mandiangan</t>
  </si>
  <si>
    <t>0852 400 1331</t>
  </si>
  <si>
    <t>The Doctor's Laundry/Satu Jalur Laundry</t>
  </si>
  <si>
    <t>Jalan Raya Sea, Seputaran Indomaret 5 September</t>
  </si>
  <si>
    <t>The Doctor's Laundry/Satu Jalur Laundry Outlet Bungalawang</t>
  </si>
  <si>
    <t xml:space="preserve">Hendro Eko </t>
  </si>
  <si>
    <t>0858 6004 5556</t>
  </si>
  <si>
    <t>realita.4862@gmail.com</t>
  </si>
  <si>
    <t>Fragrant Laundry</t>
  </si>
  <si>
    <t>Jon Raya Manado - Bitung Jaga IV Watutumou</t>
  </si>
  <si>
    <t>Nova V Rumondor</t>
  </si>
  <si>
    <t>0821 95851635</t>
  </si>
  <si>
    <t>vicevicanovarumondor@gmail.com</t>
  </si>
  <si>
    <t>Fresh Laundry/AMARIS LAUNDRY EXPRESS</t>
  </si>
  <si>
    <t>Jln. Gunung Krakatau No.198 Pakowa lingkungan. I</t>
  </si>
  <si>
    <t>Red Laundry Bethesda/ Red Laundry Wonasa</t>
  </si>
  <si>
    <t>Elvie Periscilla Elim</t>
  </si>
  <si>
    <t>082110001765</t>
  </si>
  <si>
    <t>mylaundry.sario@gmail.com</t>
  </si>
  <si>
    <t>MyLaundry</t>
  </si>
  <si>
    <t>Jl Ahmad Yani No 10AB</t>
  </si>
  <si>
    <t xml:space="preserve">jeffry imbar </t>
  </si>
  <si>
    <t>0812 4480 7575</t>
  </si>
  <si>
    <t>jeffryimbar7777@gmail.com</t>
  </si>
  <si>
    <t>Match Laundry/MATCH LAUNDRY EXPRESS</t>
  </si>
  <si>
    <t>jl Samratulangi No 204 Manado (Depan Diva Karaoke)</t>
  </si>
  <si>
    <t>Ivana Ingkiriwang</t>
  </si>
  <si>
    <t>081321888804</t>
  </si>
  <si>
    <t>Ivana.ingkiriwang@gmail.com</t>
  </si>
  <si>
    <t xml:space="preserve">Mami Laundry/Mami Laundry Pramuka </t>
  </si>
  <si>
    <t>Ruko Grand Meridian no 35jln. Ring Roadmenado</t>
  </si>
  <si>
    <t xml:space="preserve">Mami Laundry/Mami Laundry Ringroad </t>
  </si>
  <si>
    <t>Match Laundry/2MATCH LAUNDRY EXPRESS</t>
  </si>
  <si>
    <t xml:space="preserve">YayuPratiwiPalakia Ampel </t>
  </si>
  <si>
    <t>081354827061</t>
  </si>
  <si>
    <t>yayupratiwipalakiaampel@gmail.com</t>
  </si>
  <si>
    <t>NurbaQhi Laundry</t>
  </si>
  <si>
    <t>Kab. Bolaang Mongondow Timur</t>
  </si>
  <si>
    <t>kotabunan induk jln. puskesmas dusun III kecamatan kotabunan Bolaang Mongondow Timur</t>
  </si>
  <si>
    <t>themama laundry</t>
  </si>
  <si>
    <t>desa buyat 2</t>
  </si>
  <si>
    <t>Winn Laundry</t>
  </si>
  <si>
    <t>ratatotok</t>
  </si>
  <si>
    <t xml:space="preserve">Dedy </t>
  </si>
  <si>
    <t>085343551882</t>
  </si>
  <si>
    <t>victorylaundry7@gmail.com</t>
  </si>
  <si>
    <t>victory laundry express/VICTORY LAUNDRY EXPRESS TOMOHON</t>
  </si>
  <si>
    <t>Jl Raya Tomohon</t>
  </si>
  <si>
    <t xml:space="preserve">November </t>
  </si>
  <si>
    <t>jeffry imbar</t>
  </si>
  <si>
    <t>081244807575</t>
  </si>
  <si>
    <t>Match Laundry/MATCH 7 LAUNDRY EXPRESS</t>
  </si>
  <si>
    <t xml:space="preserve">Amber </t>
  </si>
  <si>
    <t>088246024138</t>
  </si>
  <si>
    <t>Amber Laundry/Amber Laundry</t>
  </si>
  <si>
    <t>Jl. Bethel</t>
  </si>
  <si>
    <t>081356709000</t>
  </si>
  <si>
    <t>Red Laundry Bethesda/Red Laundry Tomohon</t>
  </si>
  <si>
    <t>OZIL LAUNDRY BOMBANA</t>
  </si>
  <si>
    <t>0812 5450 0850</t>
  </si>
  <si>
    <t>tris.basir03@gmail.com</t>
  </si>
  <si>
    <t>OZIL LAUNDRY</t>
  </si>
  <si>
    <t>Kab. Bombana</t>
  </si>
  <si>
    <t>Lrg PDAM DEPAN EX HOTEL CITRA BOMBANA</t>
  </si>
  <si>
    <t>Point laundry</t>
  </si>
  <si>
    <t>0822 3544 6704</t>
  </si>
  <si>
    <t>ryasaranani0@gmail.com</t>
  </si>
  <si>
    <t>point. laundry</t>
  </si>
  <si>
    <t>Kab. Konawe Utara</t>
  </si>
  <si>
    <t>kec.andowia kel. andowia kab. konawe utara prov. sulawesi tenggara</t>
  </si>
  <si>
    <t xml:space="preserve">Isni ashara </t>
  </si>
  <si>
    <t>0822 32215698</t>
  </si>
  <si>
    <t>isni.azharah@gmail.com</t>
  </si>
  <si>
    <t>Al Fatih laundry/AL-FATIH LAUNDRY</t>
  </si>
  <si>
    <t>jl.pattimura no.11 puuwatu kendari</t>
  </si>
  <si>
    <t>Al Fatih laundry/AL-FATIH 2 LAUNDRY</t>
  </si>
  <si>
    <t>jl.chairil Anwar thr watulondo</t>
  </si>
  <si>
    <t>Muzayyanah</t>
  </si>
  <si>
    <t>0852 32440272</t>
  </si>
  <si>
    <t>ummukhawla5@gmail.com</t>
  </si>
  <si>
    <t xml:space="preserve">RUMAHCUCI PASSASSA/Rumahcuci Passassa 1       </t>
  </si>
  <si>
    <t>Kab. Kolaka Utara</t>
  </si>
  <si>
    <t>jl.pongtiku, poros lasusua ranteangi, kec.lasusua, kab.kolaka Utara,Sulawesi tenggara</t>
  </si>
  <si>
    <t>RUMAHCUCI PASSASSA/RUMAHCUCI PASSASSA 2</t>
  </si>
  <si>
    <t>Rahmawaty Madjid</t>
  </si>
  <si>
    <t>0812 4210 665</t>
  </si>
  <si>
    <t>aromapaloponmie@gmail.com</t>
  </si>
  <si>
    <t>Aroma Palopo/Aroma Palopo</t>
  </si>
  <si>
    <t>Food Court The Park</t>
  </si>
  <si>
    <t>08124210665</t>
  </si>
  <si>
    <t>Aroma Palopo/NETTO LAUNDRY</t>
  </si>
  <si>
    <t xml:space="preserve">admin DC </t>
  </si>
  <si>
    <t>082188220040</t>
  </si>
  <si>
    <t>dclaundryexpress@gmail.com</t>
  </si>
  <si>
    <t>Dc Laundry Express</t>
  </si>
  <si>
    <t>jln. jendral ah. nasution</t>
  </si>
  <si>
    <t>adlina husni putri</t>
  </si>
  <si>
    <t>082151540024</t>
  </si>
  <si>
    <t>adlinahusnip@gmail.com</t>
  </si>
  <si>
    <t>KASNA2000/KASNA2000</t>
  </si>
  <si>
    <t>Jl. Jend. AH. Nasution No.2, Kambu, Kec. Kambu, Kota Kendari, Sulawesi Tenggara 93231</t>
  </si>
  <si>
    <t xml:space="preserve">ARNIANTI </t>
  </si>
  <si>
    <t>08114037544</t>
  </si>
  <si>
    <t>RUMAH LAUNDRY/RUMAH LAUNDRY</t>
  </si>
  <si>
    <t>Desa Wanggudu. Kecamatan Asera</t>
  </si>
  <si>
    <t>Delta Plus Laundry</t>
  </si>
  <si>
    <t>082344337583</t>
  </si>
  <si>
    <t>deltapluslaundry@gmail.com</t>
  </si>
  <si>
    <t>Delta+ Laundry/Delta+ Laundry</t>
  </si>
  <si>
    <t>Jln. Transmina, No 5</t>
  </si>
  <si>
    <t xml:space="preserve">Irma </t>
  </si>
  <si>
    <t>08999999308</t>
  </si>
  <si>
    <t>fastlaundryKdi2@gmail.com</t>
  </si>
  <si>
    <t>Fast Laundry 2/Fast Laundry 2</t>
  </si>
  <si>
    <t>Jln. Kapten Pierre Tendean</t>
  </si>
  <si>
    <t xml:space="preserve">Tia Suardi </t>
  </si>
  <si>
    <t>0852 7124 0927</t>
  </si>
  <si>
    <t>septiaandika88@gmail.com</t>
  </si>
  <si>
    <t>Fizi Parfum &amp; Laundry</t>
  </si>
  <si>
    <t>Kota Solok</t>
  </si>
  <si>
    <t>Jalan tembok raya kelurahan nan balimo</t>
  </si>
  <si>
    <t>yonrizal</t>
  </si>
  <si>
    <t>0853 7645 9637</t>
  </si>
  <si>
    <t>dionnsaja@gmail.com</t>
  </si>
  <si>
    <t>orange laundry</t>
  </si>
  <si>
    <t>Kab. Pasaman Barat</t>
  </si>
  <si>
    <t>jln raya simpang empat Pasaman baru depan ayam geprek Krispy,</t>
  </si>
  <si>
    <t>alpika laundry</t>
  </si>
  <si>
    <t>0822 83418219</t>
  </si>
  <si>
    <t>oktavirlina.chintya@gmail.com</t>
  </si>
  <si>
    <t>laundry alpika</t>
  </si>
  <si>
    <t>Kota Padang</t>
  </si>
  <si>
    <t>Padang</t>
  </si>
  <si>
    <t>edo desrianto</t>
  </si>
  <si>
    <t>0821 70486107</t>
  </si>
  <si>
    <t>edodesrianto27@gmail.com</t>
  </si>
  <si>
    <t>Tama Laundry/ Tama Laundry</t>
  </si>
  <si>
    <t>jln.raya pagang no8.siteba padang</t>
  </si>
  <si>
    <t>zulkifli</t>
  </si>
  <si>
    <t>0812 67907799</t>
  </si>
  <si>
    <t>syamsiyanti01@gmail.com</t>
  </si>
  <si>
    <t>RASYAD Laundry</t>
  </si>
  <si>
    <t>jln.Alai timur 1. no18 . depan SPBU ampang</t>
  </si>
  <si>
    <t>Ayu</t>
  </si>
  <si>
    <t>0852 74077932</t>
  </si>
  <si>
    <t>J77Laundry@gmail.com</t>
  </si>
  <si>
    <t>J77 Laundry</t>
  </si>
  <si>
    <t>Jl Jati 7 no 7</t>
  </si>
  <si>
    <t>CIMPAGO LAUNDRY</t>
  </si>
  <si>
    <t>0813 64245400</t>
  </si>
  <si>
    <t>vajri88@yahoo.com</t>
  </si>
  <si>
    <t>Cimpago Laundry</t>
  </si>
  <si>
    <t>komplek cimpago permai kel. koto luar</t>
  </si>
  <si>
    <t>Nina Yuniarta</t>
  </si>
  <si>
    <t>0852 63639580</t>
  </si>
  <si>
    <t>yuniartanina@gmail.com</t>
  </si>
  <si>
    <t>laundry goceng</t>
  </si>
  <si>
    <t>Jl Raya Belimbing Kuranji Padang</t>
  </si>
  <si>
    <t xml:space="preserve">Hasbi Kurniadi Siregar </t>
  </si>
  <si>
    <t>0852 63370282</t>
  </si>
  <si>
    <t>toelanksiregar@gmail.com</t>
  </si>
  <si>
    <t>BIO CLEAN LAUNDRY</t>
  </si>
  <si>
    <t xml:space="preserve">Kab. Dharmasraya
</t>
  </si>
  <si>
    <t>Jln. Durian Blok A. no 8 Perumahan lawai permai, nagari Gunung Medan, kec Sitiung Kab. Dharmasraya</t>
  </si>
  <si>
    <t>AKIFA</t>
  </si>
  <si>
    <t>0812 6883 6439</t>
  </si>
  <si>
    <t>febriadi2674@gmail.com</t>
  </si>
  <si>
    <t>LOUNDRY AKIFA/AKIFA LAUNDRY 1</t>
  </si>
  <si>
    <t>jln.dpr raya dadok tunggul hitam</t>
  </si>
  <si>
    <t>Rita</t>
  </si>
  <si>
    <t>0812 75902708</t>
  </si>
  <si>
    <t>dzakiganteng7514@gmail.com</t>
  </si>
  <si>
    <t>tiga saudara laundry</t>
  </si>
  <si>
    <t>Kota Payakumbuh</t>
  </si>
  <si>
    <t>jl. jeruk no 49 depan kampus unand</t>
  </si>
  <si>
    <t xml:space="preserve">Hadi Hidayat </t>
  </si>
  <si>
    <t>0823 9167 9997</t>
  </si>
  <si>
    <t>nadyalaundry123@gmail.com</t>
  </si>
  <si>
    <t>NADYA Laundry</t>
  </si>
  <si>
    <t>jln.kampung lalang no 05 kec Kuranji,Kel pasar ambacang</t>
  </si>
  <si>
    <t>Syukura Laundry</t>
  </si>
  <si>
    <t>0821 4057 3921</t>
  </si>
  <si>
    <t>laundrisyukura@gmail.com</t>
  </si>
  <si>
    <t>Syukura Laundri</t>
  </si>
  <si>
    <t>Jalan Gajah Mada,  Siteba</t>
  </si>
  <si>
    <t>Dewi Yusno</t>
  </si>
  <si>
    <t>0853 6332 9206</t>
  </si>
  <si>
    <t>Naura laundry</t>
  </si>
  <si>
    <t>padang tiakar</t>
  </si>
  <si>
    <t>Tama Laundry/GILANG Laundry</t>
  </si>
  <si>
    <t xml:space="preserve">Rika Marthin </t>
  </si>
  <si>
    <t>0877 9437 1614</t>
  </si>
  <si>
    <t>Moencak21@gmail.com</t>
  </si>
  <si>
    <t>Moencak Laundry</t>
  </si>
  <si>
    <t>jl.jamal jamil,no 16 RT 01/RW 01,Kel Surau gadang</t>
  </si>
  <si>
    <t xml:space="preserve">Sayyiza </t>
  </si>
  <si>
    <t>0813 7898 5594</t>
  </si>
  <si>
    <t>anoramilda@gmail.com</t>
  </si>
  <si>
    <t>QIASHA Laundry</t>
  </si>
  <si>
    <t>Kab. Dharmasraya</t>
  </si>
  <si>
    <t>Sikabau - Dharmasraya</t>
  </si>
  <si>
    <t xml:space="preserve">M IKHSAN HERFIANDA </t>
  </si>
  <si>
    <t>0083852523508</t>
  </si>
  <si>
    <t>premiumlaundryroom@gmail.com</t>
  </si>
  <si>
    <t>PREMIUM LAUNDRY ROOM</t>
  </si>
  <si>
    <t>Jln Mata Air No 23 Parak Laweh Nan XX</t>
  </si>
  <si>
    <t xml:space="preserve">Arkan laundry </t>
  </si>
  <si>
    <t>0831 1417 6901</t>
  </si>
  <si>
    <t>Arkan londry</t>
  </si>
  <si>
    <t>Dadok Tunggul hitam</t>
  </si>
  <si>
    <t>Mama laundry</t>
  </si>
  <si>
    <t>083866642066</t>
  </si>
  <si>
    <t>laundry1708@gmail.com</t>
  </si>
  <si>
    <t>jalan Gajah Mada no. 20p Gunung Pangilun</t>
  </si>
  <si>
    <t>LOUNDRY AKIFA/AKIFA LAUNDRY 2</t>
  </si>
  <si>
    <t>089503016728</t>
  </si>
  <si>
    <t>winda090973@gmail.com</t>
  </si>
  <si>
    <t>Syifa laundry</t>
  </si>
  <si>
    <t>Asri Rahmi Ali</t>
  </si>
  <si>
    <t>082288359011</t>
  </si>
  <si>
    <t>asrirahmiali@gmail.com</t>
  </si>
  <si>
    <t>EA Laundry</t>
  </si>
  <si>
    <t>Depan Gerbang 2 Kompi Bantuan Siteba Padang</t>
  </si>
  <si>
    <t>Zoel</t>
  </si>
  <si>
    <t>0895340483681</t>
  </si>
  <si>
    <t>efridonzulham@gmail.com</t>
  </si>
  <si>
    <t>grand green laundry</t>
  </si>
  <si>
    <t>jl.pabatim 15 no.10 padang</t>
  </si>
  <si>
    <t xml:space="preserve">Berkah Laundry </t>
  </si>
  <si>
    <t>081378687437</t>
  </si>
  <si>
    <t>lenierlinda159@gmail.com</t>
  </si>
  <si>
    <t>Ayudina loundry/Berkah Laundry</t>
  </si>
  <si>
    <t>jln Bakti n9. 30 Dadok Tunggul Hitam</t>
  </si>
  <si>
    <t>M IKHSAN HERFIANDA</t>
  </si>
  <si>
    <t>0081378497465</t>
  </si>
  <si>
    <t>PREMIUM LAUNDRY ROOM/VEY LAUNDRY ROOM</t>
  </si>
  <si>
    <t>febi</t>
  </si>
  <si>
    <t>085767378153</t>
  </si>
  <si>
    <t>febifebi230294@gmail.com</t>
  </si>
  <si>
    <t>Laundry Ama/ell laundry</t>
  </si>
  <si>
    <t>jl. ganting parak gadang no. 30b</t>
  </si>
  <si>
    <t xml:space="preserve">Julia Fitriani </t>
  </si>
  <si>
    <t>082385436125</t>
  </si>
  <si>
    <t>mamafarey05@gmail.com</t>
  </si>
  <si>
    <t>Laundry Zeroun</t>
  </si>
  <si>
    <t>Kota Pariaman</t>
  </si>
  <si>
    <t>Perumahan D'NaFa Royal garden Ruko no 3 Sintuk Pariaman</t>
  </si>
  <si>
    <t xml:space="preserve">Edwin Tanjung </t>
  </si>
  <si>
    <t>082392426700</t>
  </si>
  <si>
    <t>tanjungwin@gmail.com</t>
  </si>
  <si>
    <t>Hana Laundry/Hana Laundry</t>
  </si>
  <si>
    <t>Komplek Taruko 1 Blok V V No. 23</t>
  </si>
  <si>
    <t xml:space="preserve">Mizan </t>
  </si>
  <si>
    <t>089507120437</t>
  </si>
  <si>
    <t>mizan/mizan</t>
  </si>
  <si>
    <t>Kab. Agam</t>
  </si>
  <si>
    <t>bukareh</t>
  </si>
  <si>
    <t xml:space="preserve">Fitri Ani </t>
  </si>
  <si>
    <t>082287326448</t>
  </si>
  <si>
    <t>anif41931@gmail.com</t>
  </si>
  <si>
    <t>sahabat laundry/sahabat laundry</t>
  </si>
  <si>
    <t>jln delima raya belimbing kuranji</t>
  </si>
  <si>
    <t xml:space="preserve">Susri </t>
  </si>
  <si>
    <t>082171814391</t>
  </si>
  <si>
    <t>amandaputrifebbyola@gmail.com</t>
  </si>
  <si>
    <t>Bi LAUNDRY/Bi LAUNDRY</t>
  </si>
  <si>
    <t>jalan taman siswa, kota Padang, sumatera barat, Indonesia</t>
  </si>
  <si>
    <t>081268836439</t>
  </si>
  <si>
    <t xml:space="preserve">LOUNDRY AKIFA/AKIFA LAUNDRY3	</t>
  </si>
  <si>
    <t>jln.utama dadok Tunggul hitam padang</t>
  </si>
  <si>
    <t xml:space="preserve">Skuyy Laundry </t>
  </si>
  <si>
    <t>082170927742</t>
  </si>
  <si>
    <t>skuuyaja@gmail.com</t>
  </si>
  <si>
    <t>Skuyy Laundry/Skuyy Laundry</t>
  </si>
  <si>
    <t>Jalan Sutan Syahrir No 30</t>
  </si>
  <si>
    <t>Anton wijaya</t>
  </si>
  <si>
    <t>0812 7145 8606</t>
  </si>
  <si>
    <t>dapuntalaundry@gmail.com</t>
  </si>
  <si>
    <t>Dapunta Laundry</t>
  </si>
  <si>
    <t>Kota Palembang</t>
  </si>
  <si>
    <t>OPI Raya Jakabaring</t>
  </si>
  <si>
    <t>Sadam husen</t>
  </si>
  <si>
    <t>081367453793</t>
  </si>
  <si>
    <t>saddamjeremy@gmail.com</t>
  </si>
  <si>
    <t xml:space="preserve">ALFA LAUNDRY/alfa LAUNDRY 1        </t>
  </si>
  <si>
    <t>cabang1 KEBUN BUNGA KM9..cabang2 CELENTANG TERMINAL PERUM.. cabang3 PAKJO JLN SEIRAMBANG</t>
  </si>
  <si>
    <t>Eva Anggun</t>
  </si>
  <si>
    <t>0823 76391187</t>
  </si>
  <si>
    <t>eva.anggun.wahyuningtias@gmail.com</t>
  </si>
  <si>
    <t>Anggun Laundry Rupit</t>
  </si>
  <si>
    <t>Kab. Musi Rawas</t>
  </si>
  <si>
    <t>jl.deputi kecik (SMAN Rupit)</t>
  </si>
  <si>
    <t>Nova widiastusti</t>
  </si>
  <si>
    <t>0821 76603563</t>
  </si>
  <si>
    <t>novawidiastuti67@gmail.com</t>
  </si>
  <si>
    <t>Amanah Laundry (Nova widiastusti)</t>
  </si>
  <si>
    <t>komp griya Sako permai blok AA No 6 Palembang</t>
  </si>
  <si>
    <t>Evi Susanti</t>
  </si>
  <si>
    <t>0813 77777736</t>
  </si>
  <si>
    <t>evisusanti.rossi@gmail.com</t>
  </si>
  <si>
    <t xml:space="preserve">Alfa Laundry 2/Alfa Laundry 2	</t>
  </si>
  <si>
    <t>jl. musi raya simpang bombat</t>
  </si>
  <si>
    <t xml:space="preserve">Kasir </t>
  </si>
  <si>
    <t>0811 7830702</t>
  </si>
  <si>
    <t>amanahlaundry78@gmail.com</t>
  </si>
  <si>
    <t>Amanah Laundry (Kasir)</t>
  </si>
  <si>
    <t>Palembang</t>
  </si>
  <si>
    <t>smart laundry</t>
  </si>
  <si>
    <t>08117100938</t>
  </si>
  <si>
    <t>weilie0914@gmail.com</t>
  </si>
  <si>
    <t>smart coin laundry</t>
  </si>
  <si>
    <t>jln kenten</t>
  </si>
  <si>
    <t xml:space="preserve">Rina  </t>
  </si>
  <si>
    <t>0852 82120228</t>
  </si>
  <si>
    <t>jalilhakimuhakim@gmail.com</t>
  </si>
  <si>
    <t>jl gaya baru, samping Indomaret plaju Palembang</t>
  </si>
  <si>
    <t>D</t>
  </si>
  <si>
    <t>0813 79708383</t>
  </si>
  <si>
    <t>hoki600@gmail.com</t>
  </si>
  <si>
    <t>Rakaclean Laundry/RAKACLEAN LAUNDRY LLG</t>
  </si>
  <si>
    <t>Kota Lubuklinggau</t>
  </si>
  <si>
    <t>LUBUKLINGGAU</t>
  </si>
  <si>
    <t>Neat Laundry</t>
  </si>
  <si>
    <t>081367630200</t>
  </si>
  <si>
    <t xml:space="preserve">
neatlaundryidn@gmail.com
</t>
  </si>
  <si>
    <t>Jl. Proklamasi Blok K No.21</t>
  </si>
  <si>
    <t>081367453794</t>
  </si>
  <si>
    <t>ALFA LAUNDRY/alfa LAUNDRY 3</t>
  </si>
  <si>
    <t>andrie fadly</t>
  </si>
  <si>
    <t>0823 06833445</t>
  </si>
  <si>
    <t>papatango617@gmail.com</t>
  </si>
  <si>
    <t>Adek/Waroenk Laundry Express</t>
  </si>
  <si>
    <t>plaju</t>
  </si>
  <si>
    <t>Alfa Laundry 2/Alfa Laundry 3</t>
  </si>
  <si>
    <t xml:space="preserve">Owner HN </t>
  </si>
  <si>
    <t>0821 82828693</t>
  </si>
  <si>
    <t>ayuningtyasyusuf@yahoo.co.id</t>
  </si>
  <si>
    <t>HN Laundry Express</t>
  </si>
  <si>
    <t>Jalan Embacang No. 75 Rt. 002</t>
  </si>
  <si>
    <t>Donis</t>
  </si>
  <si>
    <t>085383848281</t>
  </si>
  <si>
    <t>babanglaundryllg@gmail.com</t>
  </si>
  <si>
    <t>Babang Laundry</t>
  </si>
  <si>
    <t>Samping SMAN 1 LubuklinggauJl. Depati Said Kel. Pelita JayaKel. Lubuklinggau Barat IKota Lubuklinggau</t>
  </si>
  <si>
    <t xml:space="preserve">AJ </t>
  </si>
  <si>
    <t>0817 7547 5072</t>
  </si>
  <si>
    <t>Tegal Binangun</t>
  </si>
  <si>
    <t>Adek/Waroenk Laundry Cabang Opi</t>
  </si>
  <si>
    <t>Arata</t>
  </si>
  <si>
    <t>0895 2242 3197</t>
  </si>
  <si>
    <t>aratalaundry2@gmail.com</t>
  </si>
  <si>
    <t>Arata Laundry</t>
  </si>
  <si>
    <t>Jl. Kapten Abdullah (Samping Apotek Serasi)</t>
  </si>
  <si>
    <t>Krisna Wardiana</t>
  </si>
  <si>
    <t>085750908665</t>
  </si>
  <si>
    <t>wardianakrisna@gmail.com</t>
  </si>
  <si>
    <t>CrizCroz Shoe Care/Hyper Shoe and Helm Care</t>
  </si>
  <si>
    <t>Kota palembang</t>
  </si>
  <si>
    <t>Jl. R. Sukamto No 41 Palembang Sumatera Selatan</t>
  </si>
  <si>
    <t xml:space="preserve">Sweet Laundry </t>
  </si>
  <si>
    <t>085378586493</t>
  </si>
  <si>
    <t>laundrysweet2@gmail.com</t>
  </si>
  <si>
    <t>Sweet Laundry</t>
  </si>
  <si>
    <t>pipa reja kemuning</t>
  </si>
  <si>
    <t>Fantastic Laundry</t>
  </si>
  <si>
    <t>0895392644646</t>
  </si>
  <si>
    <t>fantasticlaundry2024@gmail.com</t>
  </si>
  <si>
    <t>fantastic laundry</t>
  </si>
  <si>
    <t>jl. DI. Pandjaitan bagus kuning</t>
  </si>
  <si>
    <t xml:space="preserve">Keewash </t>
  </si>
  <si>
    <t>085368994046</t>
  </si>
  <si>
    <t>keewashlaundry@gmail.com</t>
  </si>
  <si>
    <t>KeeWash Laundry</t>
  </si>
  <si>
    <t>Jl. Tegal Binangun</t>
  </si>
  <si>
    <t>Akbar Sbda</t>
  </si>
  <si>
    <t>085216747197</t>
  </si>
  <si>
    <t>akbarsbda@gmail.com</t>
  </si>
  <si>
    <t>koko Bet</t>
  </si>
  <si>
    <t>jalan lunjuk jaya no.11 unsri bukit palembang</t>
  </si>
  <si>
    <t xml:space="preserve">Fantastic Laundry </t>
  </si>
  <si>
    <t>fantastic laundr/SuperJet Laundry</t>
  </si>
  <si>
    <t>HAYOO! LAUNDRY</t>
  </si>
  <si>
    <t>082282555977</t>
  </si>
  <si>
    <t>hayoolaundry01@gmail.com</t>
  </si>
  <si>
    <t>Hayoo! Laundry/Hayoo! Laundry</t>
  </si>
  <si>
    <t>Jl. Lubuk Kawah, Perumahan bunga indah residence, Ruko 01, Kebun Bunga, Sukarami, Palembang, Sumsel.</t>
  </si>
  <si>
    <t>sesil &amp;cilla</t>
  </si>
  <si>
    <t>083113040536</t>
  </si>
  <si>
    <t>cilaasesil1212@gemail.com</t>
  </si>
  <si>
    <t>sungai rebo ry 10 rw002</t>
  </si>
  <si>
    <t>Ree laundry</t>
  </si>
  <si>
    <t>082176537176</t>
  </si>
  <si>
    <t>renalaja1234@gmail.com</t>
  </si>
  <si>
    <t>REE Laundry/REE Laundry</t>
  </si>
  <si>
    <t>Kab. Banyu Asin</t>
  </si>
  <si>
    <t>Jalan Sungai rengit , Airbatu</t>
  </si>
  <si>
    <t xml:space="preserve">Osman Kadir </t>
  </si>
  <si>
    <t>6285251519797</t>
  </si>
  <si>
    <t>bamassgroup@gmail.com</t>
  </si>
  <si>
    <t>BAMASS LAUNDRY/</t>
  </si>
  <si>
    <t>Kab. Bulukumba</t>
  </si>
  <si>
    <t>Jl Jati,Caile,Kec, Ujung Bulu, Kabupaten Bulukumba, Sulawesi Selatan</t>
  </si>
  <si>
    <t>Dian Maulidini</t>
  </si>
  <si>
    <t>081398606092</t>
  </si>
  <si>
    <t>dianmaulidini19@gmail.com</t>
  </si>
  <si>
    <t>Yusuf Laundry/Yusuf Laundry</t>
  </si>
  <si>
    <t>Kab. Lahat</t>
  </si>
  <si>
    <t>Jalan Lingkar Tanjung payang</t>
  </si>
  <si>
    <t xml:space="preserve">BOBBY EDWARD </t>
  </si>
  <si>
    <t>0851 5603 4413</t>
  </si>
  <si>
    <t>bobbyed426@gmail.com</t>
  </si>
  <si>
    <t>OK LAUNDRY</t>
  </si>
  <si>
    <t>Kota Medan</t>
  </si>
  <si>
    <t>Jl. Bunga Mawar IX No.23, Padang Bulan Selayang II, Kec. Medan Selayang, Medan, Indonesia, 20156</t>
  </si>
  <si>
    <t xml:space="preserve">Alfa Alfi </t>
  </si>
  <si>
    <t>0812 76280549</t>
  </si>
  <si>
    <t>alfaalfi932@gmail.com</t>
  </si>
  <si>
    <t>Haff Ny Laundry</t>
  </si>
  <si>
    <t>Kab. Batu Bara</t>
  </si>
  <si>
    <t>Dusun KejoraDesa Bulan-bulan</t>
  </si>
  <si>
    <t>Naswar hasibuan</t>
  </si>
  <si>
    <t>0852 52880016</t>
  </si>
  <si>
    <t>hasibuannaswar@gmail.com</t>
  </si>
  <si>
    <t>Galaxsy Louindry</t>
  </si>
  <si>
    <t>Kab. Deli Serdang</t>
  </si>
  <si>
    <t>JL.Rel Bandar Klippa</t>
  </si>
  <si>
    <t>Rasmun Effendi Lubis</t>
  </si>
  <si>
    <t>0812 6420317</t>
  </si>
  <si>
    <t>r45laundry@gmail.com</t>
  </si>
  <si>
    <t>R45 Laundry/DAILY FRESH (R45@)</t>
  </si>
  <si>
    <t>Jl. Turi</t>
  </si>
  <si>
    <t>Uwais laundry</t>
  </si>
  <si>
    <t>0823 62693115</t>
  </si>
  <si>
    <t>pahlevipahlevi718@gmail.com</t>
  </si>
  <si>
    <t>jalan lintas Sumatra Utara,simpang kebun kopi,dusun anggrek,belakang indomaret</t>
  </si>
  <si>
    <t>Rima Paramita</t>
  </si>
  <si>
    <t>0812 63214007</t>
  </si>
  <si>
    <t>iemany.kie091113@gmail.com</t>
  </si>
  <si>
    <t>Jaya Clean Laundry</t>
  </si>
  <si>
    <t>Jln Karya Jaya no 80</t>
  </si>
  <si>
    <t>0811 6360330</t>
  </si>
  <si>
    <t>superlte4g@gmail.com</t>
  </si>
  <si>
    <t>My Laundry (Evi Susanti)</t>
  </si>
  <si>
    <t>JL LEMBAGA PEMASYARAKATAN NO 225</t>
  </si>
  <si>
    <t>Rindi Wahyu Saragih</t>
  </si>
  <si>
    <t>6287888371406</t>
  </si>
  <si>
    <t>rwahyusaragih@gmail.com</t>
  </si>
  <si>
    <t>laundry/TinyFeet Laundry</t>
  </si>
  <si>
    <t>jl pematang pasir no 72, tj mulia</t>
  </si>
  <si>
    <t>Richy S.</t>
  </si>
  <si>
    <t>0812 75625575</t>
  </si>
  <si>
    <t>mariloundry.pulsa@gmail.com</t>
  </si>
  <si>
    <t>Mari Laundry/Mari Laundry &amp; Pulsa</t>
  </si>
  <si>
    <t>Jl. Sembada IV no. 218a</t>
  </si>
  <si>
    <t>givson Agustinus Hutapea</t>
  </si>
  <si>
    <t>0812 96803704</t>
  </si>
  <si>
    <t>augustgivson@gmail.com</t>
  </si>
  <si>
    <t>ALOVA LAUNDRY EXPRESS</t>
  </si>
  <si>
    <t>jalan suasa raya, Mabar hilir, Medan Deli .</t>
  </si>
  <si>
    <t>Susanty Geby</t>
  </si>
  <si>
    <t>0812 6500297</t>
  </si>
  <si>
    <t>susanty0505@gmail.com</t>
  </si>
  <si>
    <t>33 laundry</t>
  </si>
  <si>
    <t>jln Denai 75</t>
  </si>
  <si>
    <t>0812 2195873</t>
  </si>
  <si>
    <t>herlina_antiek@yahoo.com</t>
  </si>
  <si>
    <t>Jl.Sultan Serdang</t>
  </si>
  <si>
    <t>Tya</t>
  </si>
  <si>
    <t>0812 77922090</t>
  </si>
  <si>
    <t>tya.sabri21@gmail.com</t>
  </si>
  <si>
    <t>Real Clean Laundry</t>
  </si>
  <si>
    <t>jalan Bakaran batu, No. 268</t>
  </si>
  <si>
    <t>WAHYU LAUNDRY</t>
  </si>
  <si>
    <t>0821 66557772</t>
  </si>
  <si>
    <t>davyhazy13@gmail.com</t>
  </si>
  <si>
    <t>Wahyu Laundry</t>
  </si>
  <si>
    <t>jln. Tanjung Raya No.16</t>
  </si>
  <si>
    <t xml:space="preserve">haga ginting </t>
  </si>
  <si>
    <t>0853 59781005</t>
  </si>
  <si>
    <t>jeelaundry@gmail.com</t>
  </si>
  <si>
    <t>JE'E laundry</t>
  </si>
  <si>
    <t>jalan jamin Ginting no 178</t>
  </si>
  <si>
    <t>CS laundry</t>
  </si>
  <si>
    <t>081396298076</t>
  </si>
  <si>
    <t>cs.laundryku@gmail.com</t>
  </si>
  <si>
    <t>CS LAUNDRY (CS laundry)</t>
  </si>
  <si>
    <t>jalan sultan serdang pasar6</t>
  </si>
  <si>
    <t>Natanael Tarigan</t>
  </si>
  <si>
    <t>0812 6361699</t>
  </si>
  <si>
    <t>naelsmw@gmail.com</t>
  </si>
  <si>
    <t>Bunda Laundry/BUNDA LAUNDRY</t>
  </si>
  <si>
    <t>Jalan Jamin Ginting No.203b Padang Bulan Medan</t>
  </si>
  <si>
    <t>Chareel Josua</t>
  </si>
  <si>
    <t>087712092001</t>
  </si>
  <si>
    <t>cika.roline77@gmail.com</t>
  </si>
  <si>
    <t xml:space="preserve">Mercy Laundry/DiamondLaundry	</t>
  </si>
  <si>
    <t>Kota Pematang Siantar</t>
  </si>
  <si>
    <t>Jl Pdt Justin Sihombing No 6</t>
  </si>
  <si>
    <t xml:space="preserve">Hernandes News </t>
  </si>
  <si>
    <t>0821 1076 7448</t>
  </si>
  <si>
    <t>ayikdewi908@gmail.com</t>
  </si>
  <si>
    <t>Adde Laundry</t>
  </si>
  <si>
    <t>Kab. Dairi</t>
  </si>
  <si>
    <t xml:space="preserve">Agrifa </t>
  </si>
  <si>
    <t>0813 9634 3453</t>
  </si>
  <si>
    <t>agrifa29@gmail.com</t>
  </si>
  <si>
    <t>Charlos Loundry Expres</t>
  </si>
  <si>
    <t>jl jamin gintingsimpang selayang medan</t>
  </si>
  <si>
    <t>OWNER CS LAUNDRY</t>
  </si>
  <si>
    <t>081370497171</t>
  </si>
  <si>
    <t>cslaundrycindy@gmail.com</t>
  </si>
  <si>
    <t>CS LAUNDRY (OWNER CS LAUNDRY)</t>
  </si>
  <si>
    <t>Jalan Sultan Serdang Pasar 6 Desa Telaga Sari</t>
  </si>
  <si>
    <t xml:space="preserve">Harapan </t>
  </si>
  <si>
    <t>0822 8535 4990</t>
  </si>
  <si>
    <t>daarun18@gmail.com</t>
  </si>
  <si>
    <t>Expert laundry</t>
  </si>
  <si>
    <t>Jl pelajar timur no 157B</t>
  </si>
  <si>
    <t>dinda mustikawati</t>
  </si>
  <si>
    <t>081220523914</t>
  </si>
  <si>
    <t>razqalaundry@gmail.com</t>
  </si>
  <si>
    <t>Razqa Laundry</t>
  </si>
  <si>
    <t xml:space="preserve">Kota Medan </t>
  </si>
  <si>
    <t>Jl. alumunium 1</t>
  </si>
  <si>
    <t xml:space="preserve">PW Laundry </t>
  </si>
  <si>
    <t>0895 2095 7206</t>
  </si>
  <si>
    <t>pwlaundry22@gmail.com</t>
  </si>
  <si>
    <t>PW Laundry</t>
  </si>
  <si>
    <t>Kab. Labuhan Batu Selatan</t>
  </si>
  <si>
    <t>Jalan Labuhan no. 3 Kotapinang</t>
  </si>
  <si>
    <t xml:space="preserve">Londry Today </t>
  </si>
  <si>
    <t>0851 5997 9756</t>
  </si>
  <si>
    <t>Londrytoday.co@gmail.com</t>
  </si>
  <si>
    <t>Londry Today/Londry Today Mansyur</t>
  </si>
  <si>
    <t>Jl. Dr. Mansyur No. 100</t>
  </si>
  <si>
    <t xml:space="preserve">azka </t>
  </si>
  <si>
    <t>0853 5927 6643</t>
  </si>
  <si>
    <t>Alhamdulillah laundry Express</t>
  </si>
  <si>
    <t>Jaharun B dusun Vdepan Batalion 121 Macan Kumbangkec.Galang kab. Deli Serdang</t>
  </si>
  <si>
    <t xml:space="preserve">Raya Loundry </t>
  </si>
  <si>
    <t>0813 8529 3348</t>
  </si>
  <si>
    <t>eka.firman.sinuraya@gmail.com</t>
  </si>
  <si>
    <t>Raya laundry</t>
  </si>
  <si>
    <t>Kota Binjai</t>
  </si>
  <si>
    <t>jln anggrek no 9 kel pahlawan  kec binjai utara kota binjai</t>
  </si>
  <si>
    <t xml:space="preserve">Sri Dewi sallima </t>
  </si>
  <si>
    <t>082304655324</t>
  </si>
  <si>
    <t>sridewisallima@gmail.com</t>
  </si>
  <si>
    <t>Rumah Wiwi Laundry</t>
  </si>
  <si>
    <t>Kab. Langkat</t>
  </si>
  <si>
    <t>Jl Gotong Royong no 101 lwt rel sebelah kanan sebelum simpang 3 curam</t>
  </si>
  <si>
    <t xml:space="preserve">Riza Dalimunthe </t>
  </si>
  <si>
    <t>0895 19226488</t>
  </si>
  <si>
    <t>mylaundrydarussalam@gmail.com</t>
  </si>
  <si>
    <t>My Laundry (Riza Dalimunthe )</t>
  </si>
  <si>
    <t>Jl. Darussalam No.60</t>
  </si>
  <si>
    <t xml:space="preserve">Yogi Lumban Tobing </t>
  </si>
  <si>
    <t>0812 6411 4427</t>
  </si>
  <si>
    <t>yogilumbantobing@gmail.com</t>
  </si>
  <si>
    <t>BAR LAUNDRY</t>
  </si>
  <si>
    <t>Jl. Sisingamangaraja No.250</t>
  </si>
  <si>
    <t>Semut Galak</t>
  </si>
  <si>
    <t>0822 7709 5130</t>
  </si>
  <si>
    <t>ITA LOUNDRY</t>
  </si>
  <si>
    <t>jl mesjid helvetia no 55</t>
  </si>
  <si>
    <t xml:space="preserve">Tri </t>
  </si>
  <si>
    <t>0822 9775 0255</t>
  </si>
  <si>
    <t>gilangpradipta55@gmail.com</t>
  </si>
  <si>
    <t>GG Laundry</t>
  </si>
  <si>
    <t>ruko biru dusun II desa sinembah tanjung morawa</t>
  </si>
  <si>
    <t>ida juliana</t>
  </si>
  <si>
    <t>0851 5635 0331</t>
  </si>
  <si>
    <t>juliida@gmail.com</t>
  </si>
  <si>
    <t>Zj Loundry</t>
  </si>
  <si>
    <t>Jln Kompos Km 12</t>
  </si>
  <si>
    <t>Maria Darmayanti</t>
  </si>
  <si>
    <t>081257626665</t>
  </si>
  <si>
    <t>megalaundryranto@gmail.com</t>
  </si>
  <si>
    <t>Mega Laundry Express</t>
  </si>
  <si>
    <t xml:space="preserve">Kab. Labuhan Batu  </t>
  </si>
  <si>
    <t>Jln. Gatot Subroto Ujung, Samping The Family Spa</t>
  </si>
  <si>
    <t xml:space="preserve">toko </t>
  </si>
  <si>
    <t>0857 1513 7846</t>
  </si>
  <si>
    <t>windautami476@gmail.com</t>
  </si>
  <si>
    <t>afhdol laundry</t>
  </si>
  <si>
    <t>jln Medan Binjai km12 jln mesjid</t>
  </si>
  <si>
    <t>vivi ocktavia</t>
  </si>
  <si>
    <t>0813 7212 0189</t>
  </si>
  <si>
    <t>Rizky loundry / Rizky coin laundry</t>
  </si>
  <si>
    <t>jl. balai desa</t>
  </si>
  <si>
    <t>Rizky loundry / amanah Loundry</t>
  </si>
  <si>
    <t>Rizky loundry / amanah Loundry Tebing</t>
  </si>
  <si>
    <t>Rizky loundry / Rizky laundry 2</t>
  </si>
  <si>
    <t>Simbolon kasir</t>
  </si>
  <si>
    <t>081264254488</t>
  </si>
  <si>
    <t>salepacnekuu@gmail.com</t>
  </si>
  <si>
    <t>jln pertahanan dusun 2, desa patumbak 2kecamatan patumbak (depan polsek baru)</t>
  </si>
  <si>
    <t xml:space="preserve">Tengku ariani </t>
  </si>
  <si>
    <t>081275566111</t>
  </si>
  <si>
    <t>tengkuariani20@gmail.com</t>
  </si>
  <si>
    <t>Mame laundry</t>
  </si>
  <si>
    <t>jalan tani asli gang Samin sebelah kolam renang Wira kel.purwodadi  kec.sunggal kab.deli Serdang Sumatera Utara</t>
  </si>
  <si>
    <t>Yoan</t>
  </si>
  <si>
    <t>0821 1639 0031</t>
  </si>
  <si>
    <t>yoan81326@gmail.com</t>
  </si>
  <si>
    <t>YOAN LAUNDRY EXPRESS</t>
  </si>
  <si>
    <t>Marelan pasar  1 rel</t>
  </si>
  <si>
    <t xml:space="preserve">ZL4 success </t>
  </si>
  <si>
    <t>0821 6501 6005</t>
  </si>
  <si>
    <t>mesin waktu</t>
  </si>
  <si>
    <t>jalan gereja</t>
  </si>
  <si>
    <t xml:space="preserve">Yusliana Lubis </t>
  </si>
  <si>
    <t>0822 7724 4544</t>
  </si>
  <si>
    <t>fatihibnuhafidz@gmail.com</t>
  </si>
  <si>
    <t>UCU LONDRY/UCU LAUNDRY</t>
  </si>
  <si>
    <t>Jl.SM raja no.35 binjai</t>
  </si>
  <si>
    <t>Kasih Laundry</t>
  </si>
  <si>
    <t>081377107023</t>
  </si>
  <si>
    <t>kasihlaundry23@gmail.com</t>
  </si>
  <si>
    <t>Jl.Pdt J Wismar Saragih, No.68B , Bane, Siantar Utara, Kota P.Siantar</t>
  </si>
  <si>
    <t>elieser Ginting</t>
  </si>
  <si>
    <t>085174224201</t>
  </si>
  <si>
    <t>eliesergtg@gmail.com</t>
  </si>
  <si>
    <t>Teman Laundry</t>
  </si>
  <si>
    <t>Jl. Letjend Djamin Ginting No.233</t>
  </si>
  <si>
    <t xml:space="preserve">SRI WAHYUNI </t>
  </si>
  <si>
    <t>0823 6810 0515</t>
  </si>
  <si>
    <t>Sriwahyuni2508@yahoo.com</t>
  </si>
  <si>
    <t>RS LAUNDRY &amp; KOST</t>
  </si>
  <si>
    <t>Jalan Kencana Pasar IV Kel. Lima Puluh Kab. Batu Bara</t>
  </si>
  <si>
    <t>Idamin Waruwu</t>
  </si>
  <si>
    <t>0822 6789 9938</t>
  </si>
  <si>
    <t>Soraya laundry</t>
  </si>
  <si>
    <t>Kab. Nias</t>
  </si>
  <si>
    <t>Hiliweto Gido Kabupaten Nias</t>
  </si>
  <si>
    <t>Mia Limbong</t>
  </si>
  <si>
    <t>0853 6290 3132</t>
  </si>
  <si>
    <t>mialimbong6@gmail.com</t>
  </si>
  <si>
    <t>Rumah laundry sidikalang</t>
  </si>
  <si>
    <t>jalan batukapurgang mesjid sidikalang</t>
  </si>
  <si>
    <t>Rizky loundry / Rizky laundry 3</t>
  </si>
  <si>
    <t xml:space="preserve">Mensen Pangaribuan </t>
  </si>
  <si>
    <t>0822 8229 9811</t>
  </si>
  <si>
    <t>Laundry Mercy</t>
  </si>
  <si>
    <t>JL KL Yos Sudarso Depan Vihara Avalokitesvara</t>
  </si>
  <si>
    <t>Erah Siti Sarah</t>
  </si>
  <si>
    <t>0821 6711 0649</t>
  </si>
  <si>
    <t>AQSA Laundry</t>
  </si>
  <si>
    <t>jl.perintis kemerdekaan Sendang Rejo Binjai</t>
  </si>
  <si>
    <t>imran tambun</t>
  </si>
  <si>
    <t>0858 0512 1992</t>
  </si>
  <si>
    <t>imrantambun96@gmail.com</t>
  </si>
  <si>
    <t>laundry Ta</t>
  </si>
  <si>
    <t>Patumbak</t>
  </si>
  <si>
    <t>Khairil Fahmi</t>
  </si>
  <si>
    <t>0896 5558 0032</t>
  </si>
  <si>
    <t>khairilfahmi94@gmail.com</t>
  </si>
  <si>
    <t>Niyah Loundry</t>
  </si>
  <si>
    <t>simpang sianam</t>
  </si>
  <si>
    <t>Shanty</t>
  </si>
  <si>
    <t>0852 5401 0089</t>
  </si>
  <si>
    <t>shanty.patera@gmail.com</t>
  </si>
  <si>
    <t>Berjaya Laundry</t>
  </si>
  <si>
    <t>jl. purwosari no. 181</t>
  </si>
  <si>
    <t xml:space="preserve">Nicho Laundry </t>
  </si>
  <si>
    <t>0851 7167 6988</t>
  </si>
  <si>
    <t>nicholaundry22@gmail.com</t>
  </si>
  <si>
    <t>Nicho Laundry</t>
  </si>
  <si>
    <t>Jl. Pintu Air IV No. 434</t>
  </si>
  <si>
    <t xml:space="preserve">Kasih Laundry Siantar </t>
  </si>
  <si>
    <t>0859 10676 2310</t>
  </si>
  <si>
    <t>kasihlaundrysiantar@gmail.com</t>
  </si>
  <si>
    <t>Jl.Sisingamangaraja, No.15, Bukit Sofa, Siantar Sitalasari</t>
  </si>
  <si>
    <t xml:space="preserve">Ayu Nadeak </t>
  </si>
  <si>
    <t>0821 6353 2976</t>
  </si>
  <si>
    <t>ayusidik46@gmail.com</t>
  </si>
  <si>
    <t>SIDIQ LAUNDRY</t>
  </si>
  <si>
    <t>Kab. Asahan</t>
  </si>
  <si>
    <t>Jl.Budi Utomo LK.I Siumbut Umbut depat TK RA.ISLAMIYAH sebelum Simpang Fikir</t>
  </si>
  <si>
    <t>Nabila Laundry</t>
  </si>
  <si>
    <t>0822 8805 1096</t>
  </si>
  <si>
    <t>nabilalaundry52@gmail.com</t>
  </si>
  <si>
    <t>Jl.Tuamang No.99, Sidorejo Hilir</t>
  </si>
  <si>
    <t>UCU LONDRY/SMART LAUNDRY</t>
  </si>
  <si>
    <t>Arem Laundry</t>
  </si>
  <si>
    <t>089669674929</t>
  </si>
  <si>
    <t>aremisura@gmail.com</t>
  </si>
  <si>
    <t>Kab. Karo</t>
  </si>
  <si>
    <t>Kabanjahe</t>
  </si>
  <si>
    <t>aldo</t>
  </si>
  <si>
    <t>081993939531</t>
  </si>
  <si>
    <t>teddy.rinaldo@gmail.com</t>
  </si>
  <si>
    <t>Kings Laundry Express</t>
  </si>
  <si>
    <t>Jalan Perjuangan no 17B</t>
  </si>
  <si>
    <t xml:space="preserve">Aminah </t>
  </si>
  <si>
    <t>081265559968</t>
  </si>
  <si>
    <t>amalhtbarat@gmail.com</t>
  </si>
  <si>
    <t>DnA Laundry</t>
  </si>
  <si>
    <t>jl.veteran no.13 Batang kuisDeliserdang, sumatera Utara</t>
  </si>
  <si>
    <t>Marta Situmorang</t>
  </si>
  <si>
    <t>081261540173</t>
  </si>
  <si>
    <t>Jl.Suasa Pasar lV Ling.Vll Kel.Mabar</t>
  </si>
  <si>
    <t>Rama Purba</t>
  </si>
  <si>
    <t>085207548771</t>
  </si>
  <si>
    <t>RAMA LAUNDRY</t>
  </si>
  <si>
    <t>Jln Sadum no.37</t>
  </si>
  <si>
    <t>Rizky loundry/Barokah Loundry</t>
  </si>
  <si>
    <t xml:space="preserve">Dhenny  Siburian </t>
  </si>
  <si>
    <t>0813 73813903</t>
  </si>
  <si>
    <t>dhennysiburian4946@gmail.com</t>
  </si>
  <si>
    <t>OK Laundry2</t>
  </si>
  <si>
    <t>jln. bunga cepaka no.47, pasar 3 padang bulan</t>
  </si>
  <si>
    <t>hilda feronika</t>
  </si>
  <si>
    <t>081265122880</t>
  </si>
  <si>
    <t>rizkylaundry@gmail.com</t>
  </si>
  <si>
    <t>Rizky laundry</t>
  </si>
  <si>
    <t>jl.t imam Bonjol simpang tekun</t>
  </si>
  <si>
    <t xml:space="preserve">Fatnida Sari </t>
  </si>
  <si>
    <t>0811 6072455</t>
  </si>
  <si>
    <t>sfatnida@gmail.com</t>
  </si>
  <si>
    <t>Barokah Loundry/BAROKAH LOUNDRY EXPRESS</t>
  </si>
  <si>
    <t>perumahan Kampoeng Kenanga Blok R2 Btg kuis deli serdang</t>
  </si>
  <si>
    <t xml:space="preserve">INDAH SARI BARUS </t>
  </si>
  <si>
    <t>081336769523</t>
  </si>
  <si>
    <t>indahsaribarus@gmail.com</t>
  </si>
  <si>
    <t>Jl. Pembinaan Hilir Ujung/ PelaksanaanNo. 114 Dsn. 3</t>
  </si>
  <si>
    <t>Erwan Salim</t>
  </si>
  <si>
    <t>081397088188</t>
  </si>
  <si>
    <t>erwanlim11@gmail.com</t>
  </si>
  <si>
    <t>Top Clean</t>
  </si>
  <si>
    <t>jln Diponegoro no 245 kisaran</t>
  </si>
  <si>
    <t>Grace</t>
  </si>
  <si>
    <t xml:space="preserve">0821 65569989 </t>
  </si>
  <si>
    <t>Deta Laundry/Deta Laundry Express</t>
  </si>
  <si>
    <t>Jl Tanjung Jati, Binjai</t>
  </si>
  <si>
    <t>KHANZA LAUNDRY</t>
  </si>
  <si>
    <t>081362438486</t>
  </si>
  <si>
    <t>sianturikristina20@gmail.com</t>
  </si>
  <si>
    <t>jln paku tanah 600</t>
  </si>
  <si>
    <t>Albertus Simatupang</t>
  </si>
  <si>
    <t>087870702070</t>
  </si>
  <si>
    <t>Jalan Tempuling no.155B</t>
  </si>
  <si>
    <t>RUDI HARTONO</t>
  </si>
  <si>
    <t>082267977084</t>
  </si>
  <si>
    <t>jackrudie5@gmail.com</t>
  </si>
  <si>
    <t>YUAN LAUNDRY</t>
  </si>
  <si>
    <t>jln roso no 10 D</t>
  </si>
  <si>
    <t xml:space="preserve">Rani Penggabean </t>
  </si>
  <si>
    <t>081361514077</t>
  </si>
  <si>
    <t>ranipanggabean77@gmail.com</t>
  </si>
  <si>
    <t>delima loundry</t>
  </si>
  <si>
    <t>jln sidodadi no. 9</t>
  </si>
  <si>
    <t xml:space="preserve">Netty kumala sari </t>
  </si>
  <si>
    <t>081266577404</t>
  </si>
  <si>
    <t>netty8731@gmail.com</t>
  </si>
  <si>
    <t>@SYRAF LAUNDRY</t>
  </si>
  <si>
    <t>jalan perintis kemerdekaan</t>
  </si>
  <si>
    <t>oktober</t>
  </si>
  <si>
    <t>Dolok Manullang</t>
  </si>
  <si>
    <t>081266276181</t>
  </si>
  <si>
    <t>dolokpsimanullang@gmail.com</t>
  </si>
  <si>
    <t>Dr Laundry</t>
  </si>
  <si>
    <t>jln Ulakma Sinaga</t>
  </si>
  <si>
    <t>Mieke Simamora</t>
  </si>
  <si>
    <t>081361587215</t>
  </si>
  <si>
    <t>miekesimamora20@gmail.com</t>
  </si>
  <si>
    <t>Gwen Laundry</t>
  </si>
  <si>
    <t>Jln Lapangan Bola Bawah no. 64</t>
  </si>
  <si>
    <t>binawaty</t>
  </si>
  <si>
    <t>0816378080</t>
  </si>
  <si>
    <t>biwilover@gmail.com</t>
  </si>
  <si>
    <t>everyday laundry</t>
  </si>
  <si>
    <t>pukat 1 komp pukat junction no.41</t>
  </si>
  <si>
    <t>Barokah Loundry/BAROKAH LOUNDRY 2 EXPRESS</t>
  </si>
  <si>
    <t xml:space="preserve">duwi </t>
  </si>
  <si>
    <t>082166081986</t>
  </si>
  <si>
    <t>rumah laindry</t>
  </si>
  <si>
    <t>jl sidomulyo dsn 13 no 9</t>
  </si>
  <si>
    <t>Chrisnova Lim</t>
  </si>
  <si>
    <t>083199593377</t>
  </si>
  <si>
    <t>lupitasiang@gmail.com</t>
  </si>
  <si>
    <t>Dora Laundry Express</t>
  </si>
  <si>
    <t>tuamang no.215B</t>
  </si>
  <si>
    <t>Yanti Irwan</t>
  </si>
  <si>
    <t>081360690802</t>
  </si>
  <si>
    <t>yantiirwan456@gmail.com</t>
  </si>
  <si>
    <t>RAJA GEPREK 3</t>
  </si>
  <si>
    <t>jl.jamin Ginting simpang rambung sebelum SPBU</t>
  </si>
  <si>
    <t>Nova Santika</t>
  </si>
  <si>
    <t xml:space="preserve">08116246667
</t>
  </si>
  <si>
    <t>novasantika.1993@gmail.com</t>
  </si>
  <si>
    <t>NS Laundry</t>
  </si>
  <si>
    <t>marelan pasar 2</t>
  </si>
  <si>
    <t>Adriana Laundry Express</t>
  </si>
  <si>
    <t>081362562945</t>
  </si>
  <si>
    <t>fitriwahyuningsih2811@gmail.com</t>
  </si>
  <si>
    <t>ADRIANA LAUNDRY EXPRESS</t>
  </si>
  <si>
    <t>Jl. protokol air joman pasar 7</t>
  </si>
  <si>
    <t>ogi okta</t>
  </si>
  <si>
    <t>081362499827</t>
  </si>
  <si>
    <t>royal loundry express</t>
  </si>
  <si>
    <t>jln terusan dusun 5 bandar setia,kec percut sei tuan sumatera utara medan</t>
  </si>
  <si>
    <t xml:space="preserve">Sanjaya </t>
  </si>
  <si>
    <t>081377277994</t>
  </si>
  <si>
    <t>cleaneatl97@gmail.com</t>
  </si>
  <si>
    <t>Clean &amp; Neat Laundry</t>
  </si>
  <si>
    <t>jalan Prof. H. M. Yamin no 179</t>
  </si>
  <si>
    <t xml:space="preserve">Nur Isnaini </t>
  </si>
  <si>
    <t>082361950727</t>
  </si>
  <si>
    <t>neniihsan123@gmail.com</t>
  </si>
  <si>
    <t>MITRA LAUNDRY</t>
  </si>
  <si>
    <t>jalan siantar simpang AMD</t>
  </si>
  <si>
    <t xml:space="preserve">Saritua malau </t>
  </si>
  <si>
    <t>081265778800</t>
  </si>
  <si>
    <t>sarituaudsaritua@gmail.com</t>
  </si>
  <si>
    <t>Ghita laondry</t>
  </si>
  <si>
    <t>Kab. Samosir</t>
  </si>
  <si>
    <t>Buhit desa parlondut kec pangururan km 3</t>
  </si>
  <si>
    <t>yusni amir</t>
  </si>
  <si>
    <t>082111062896</t>
  </si>
  <si>
    <t>ulan25460@gmail.com</t>
  </si>
  <si>
    <t>yusni mami laundry</t>
  </si>
  <si>
    <t>jln tm pahlawan lorong makmur belawan 1</t>
  </si>
  <si>
    <t>Roni Lawaldy</t>
  </si>
  <si>
    <t>082272104811</t>
  </si>
  <si>
    <t>Lawaldy Laundry Express</t>
  </si>
  <si>
    <t>Jl. Besar Kayu Ara</t>
  </si>
  <si>
    <t>Fadli Nasution</t>
  </si>
  <si>
    <t>085362066667</t>
  </si>
  <si>
    <t>duweeviridish@gmail.com</t>
  </si>
  <si>
    <t>Amanah Laundry Exprees</t>
  </si>
  <si>
    <t>Jl.M. Basir No.24Marelan Raya</t>
  </si>
  <si>
    <t>Edwin Huang</t>
  </si>
  <si>
    <t>081296173936</t>
  </si>
  <si>
    <t>huangedwin123@gmail.com</t>
  </si>
  <si>
    <t xml:space="preserve">hoki/outlet gk trial	</t>
  </si>
  <si>
    <t>jl.sjjssjsd</t>
  </si>
  <si>
    <t>Yasky laundry</t>
  </si>
  <si>
    <t>085269347227</t>
  </si>
  <si>
    <t>rickyazhari79@gmail.com</t>
  </si>
  <si>
    <t>Yasky Laundry Express</t>
  </si>
  <si>
    <t>jl. karya bakti no 71</t>
  </si>
  <si>
    <t>Rully Tobing</t>
  </si>
  <si>
    <t>081361422418</t>
  </si>
  <si>
    <t>sahatpadumpang26@gmail.com</t>
  </si>
  <si>
    <t>Mitra Laundry/Rully</t>
  </si>
  <si>
    <t>Jalan Rela No. 74 Medan Tembung</t>
  </si>
  <si>
    <t>irwan derano parulian sinaga</t>
  </si>
  <si>
    <t>085337390845</t>
  </si>
  <si>
    <t>sinagairwan023@gmail.com</t>
  </si>
  <si>
    <t>monang londry</t>
  </si>
  <si>
    <t>jln. Sisingamangaraja, depan universitas simalungun</t>
  </si>
  <si>
    <t xml:space="preserve">King Laundry Grup </t>
  </si>
  <si>
    <t>081370726941</t>
  </si>
  <si>
    <t>kinglaundry10@gmail.com</t>
  </si>
  <si>
    <t>king Laundry/KING LAUNDRY MARENDAL</t>
  </si>
  <si>
    <t>Jl Roso Marendal</t>
  </si>
  <si>
    <t>king Laundry/KING LAUNDRY MARELAN</t>
  </si>
  <si>
    <t>Jl pasar 1 Rel Marelan</t>
  </si>
  <si>
    <t xml:space="preserve">Linda Veranitta </t>
  </si>
  <si>
    <t>082118499918</t>
  </si>
  <si>
    <t>linda.veranitta@gmail.com</t>
  </si>
  <si>
    <t>linda laundry/RASA LAUNDRY</t>
  </si>
  <si>
    <t>Laut Dendang Medan</t>
  </si>
  <si>
    <t>Top Clean/Master Laundry</t>
  </si>
  <si>
    <t>Agung Setiawan</t>
  </si>
  <si>
    <t>082362329747</t>
  </si>
  <si>
    <t>s.agung5570@gmail.com</t>
  </si>
  <si>
    <t>sedayu laundry express</t>
  </si>
  <si>
    <t>jl. Suryadi No. 2D</t>
  </si>
  <si>
    <t>Nanci Siregar</t>
  </si>
  <si>
    <t>082277782901</t>
  </si>
  <si>
    <t>MALONA LAUNDRY</t>
  </si>
  <si>
    <t>Jln Jendral Ahmad yani no 143</t>
  </si>
  <si>
    <t>Reinaldo Leander</t>
  </si>
  <si>
    <t>087768488232</t>
  </si>
  <si>
    <t>merbauwash@gmail.com</t>
  </si>
  <si>
    <t>Merbau Wash</t>
  </si>
  <si>
    <t>Jl. Merbau No. 12 E</t>
  </si>
  <si>
    <t>Lily Laundry</t>
  </si>
  <si>
    <t>081292001994</t>
  </si>
  <si>
    <t>lilylaundry12@gmail.com</t>
  </si>
  <si>
    <t>Lily Laundry88</t>
  </si>
  <si>
    <t>jalan karya kasih no 50</t>
  </si>
  <si>
    <t>Pya Laundry</t>
  </si>
  <si>
    <t>082275146116</t>
  </si>
  <si>
    <t>pyalaundry@gmail.com</t>
  </si>
  <si>
    <t>PYA LAUNDRY</t>
  </si>
  <si>
    <t>Jl. Karya Jaya No.193 (sblh Gg. Eka prawiro) Kel. Gedung Johor Kec. Medan johor Kode pos 20144</t>
  </si>
  <si>
    <t>Bambang</t>
  </si>
  <si>
    <t>08126388670</t>
  </si>
  <si>
    <t>sofialaundry5@gmail.com</t>
  </si>
  <si>
    <t>sofia laundry</t>
  </si>
  <si>
    <t>jl.Banten perumahan gaperta harmony no.A19 gaperta ujung medan</t>
  </si>
  <si>
    <t xml:space="preserve">NIKO </t>
  </si>
  <si>
    <t>081397200134</t>
  </si>
  <si>
    <t>nicholaundryayahanda@gmail.com</t>
  </si>
  <si>
    <t>NICHO LAUNDRY</t>
  </si>
  <si>
    <t>Jl.AYAHANDA NO.76</t>
  </si>
  <si>
    <t xml:space="preserve">Elma sri Devi nasution </t>
  </si>
  <si>
    <t>081264036992</t>
  </si>
  <si>
    <t>Srielmadevi@gmail.com</t>
  </si>
  <si>
    <t>MINI geprek</t>
  </si>
  <si>
    <t>jl let umar baki no 495 kel sukaramai kec binjai barat kota binjai binjai barat sumatra utara</t>
  </si>
  <si>
    <t xml:space="preserve">martha saragih </t>
  </si>
  <si>
    <t>089521165181</t>
  </si>
  <si>
    <t>marthasaragih147@gmail.com</t>
  </si>
  <si>
    <t>BERKAT ANUGERAH LAUNDRY EKSPRESS</t>
  </si>
  <si>
    <t>Jl Selamat Kota Medan</t>
  </si>
  <si>
    <t>HSS LAUNDRY</t>
  </si>
  <si>
    <t>082275004678</t>
  </si>
  <si>
    <t>hss.smart20@gmail.com</t>
  </si>
  <si>
    <t>jl Piere Tendean no 1b</t>
  </si>
  <si>
    <t>Chris Joni Silalahi</t>
  </si>
  <si>
    <t>082273231320</t>
  </si>
  <si>
    <t>chrisilalahi766@gmail.com</t>
  </si>
  <si>
    <t>766 Laundry Express</t>
  </si>
  <si>
    <t>Jalan Veteran pasar VIII desa Manunggal</t>
  </si>
  <si>
    <t>giri wahyu</t>
  </si>
  <si>
    <t>085250213239</t>
  </si>
  <si>
    <t>giri.dianq@gmail.com</t>
  </si>
  <si>
    <t>TOMO</t>
  </si>
  <si>
    <t>binjai</t>
  </si>
  <si>
    <t>08116246667</t>
  </si>
  <si>
    <t>NS Laundry/NS Laundry Express</t>
  </si>
  <si>
    <t>pasar 1 tengah</t>
  </si>
  <si>
    <t xml:space="preserve">Rolas Laundry express </t>
  </si>
  <si>
    <t>081375144454</t>
  </si>
  <si>
    <t>rolaslaundryexprees@gmail.com</t>
  </si>
  <si>
    <t>ROLAS LAUNDRY EXPRESS</t>
  </si>
  <si>
    <t>Kab. Simalungun</t>
  </si>
  <si>
    <t>jl. sisingamangaraja lormes lorong mesjid</t>
  </si>
  <si>
    <t>R/Mgeprek</t>
  </si>
  <si>
    <t>083845121295</t>
  </si>
  <si>
    <t>tungtungan lingkungan II samping Indomaret</t>
  </si>
  <si>
    <t xml:space="preserve">Nurhaliza </t>
  </si>
  <si>
    <t>0895613286794</t>
  </si>
  <si>
    <t>nurh76310@gmail.com</t>
  </si>
  <si>
    <t>Lavish Londry/HAFIZA LAUNDRY</t>
  </si>
  <si>
    <t>Jln Sukarela Timur</t>
  </si>
  <si>
    <t xml:space="preserve">Adam </t>
  </si>
  <si>
    <t>085260788506</t>
  </si>
  <si>
    <t>mylaundryseipadang@gmail.com</t>
  </si>
  <si>
    <t>Jl.Sei Padang Gg.Langgar No.14</t>
  </si>
  <si>
    <t>Expresso Laundry</t>
  </si>
  <si>
    <t>081533393422</t>
  </si>
  <si>
    <t>EXPRESSO LAUNDRY &amp; DRYCLEAN</t>
  </si>
  <si>
    <t>Jl. Karya Jaya No.212</t>
  </si>
  <si>
    <t>082370098185</t>
  </si>
  <si>
    <t>DIGNITY LAUNDRY/DIGNITY LAUNDRY 3 (Kasuari)</t>
  </si>
  <si>
    <t>jln Kasuari no.33</t>
  </si>
  <si>
    <t xml:space="preserve">HERNANDES </t>
  </si>
  <si>
    <t>082276196758</t>
  </si>
  <si>
    <t>adecafe2@gmail.com</t>
  </si>
  <si>
    <t>ADE CAFE LAUNDRY</t>
  </si>
  <si>
    <t>Jalan Ahmad YaniBatang beruhSidikalang</t>
  </si>
  <si>
    <t xml:space="preserve">Mami Laundry </t>
  </si>
  <si>
    <t>082160303008</t>
  </si>
  <si>
    <t>JL.M.T.Hariyono No.206 Jati Karya Binjai Utara</t>
  </si>
  <si>
    <t xml:space="preserve">Joco Laundry </t>
  </si>
  <si>
    <t>085276349981</t>
  </si>
  <si>
    <t>laundryjoco@gmail.com</t>
  </si>
  <si>
    <t>Joco Warlaund</t>
  </si>
  <si>
    <t>Kota Gunungsitoli</t>
  </si>
  <si>
    <t>Jalan Kelapa Kota Gunungsitoli</t>
  </si>
  <si>
    <t xml:space="preserve">Dedek irawan </t>
  </si>
  <si>
    <t>082272916782</t>
  </si>
  <si>
    <t>irawandedek558@gmail.com</t>
  </si>
  <si>
    <t>arkhan laundry</t>
  </si>
  <si>
    <t>dusun IV desa lau mulgap psr VIII</t>
  </si>
  <si>
    <t>DIGNITY LAUNDRY/DIGNITY LAUNDRY 4 (Daliltani)</t>
  </si>
  <si>
    <t>jln daliltani no.58</t>
  </si>
  <si>
    <t xml:space="preserve">RIUS </t>
  </si>
  <si>
    <t>082374459279</t>
  </si>
  <si>
    <t>DIAMOND LAUNDRY</t>
  </si>
  <si>
    <t>Jl. Pendeta Justin Sihombing, Siopat Suhu, Kec. Siantar Timur, Kota Pematang Siantar, Sumatera Utara 21151 (Depan Kantor Yakult)</t>
  </si>
  <si>
    <t xml:space="preserve">Vannesa Laundry </t>
  </si>
  <si>
    <t>085183398885</t>
  </si>
  <si>
    <t>vannesalaundry88@gmail.com</t>
  </si>
  <si>
    <t>Vannesa Laundry</t>
  </si>
  <si>
    <t>jln makmur no 8cc, Cemara asri</t>
  </si>
  <si>
    <t>Ayu Bebby</t>
  </si>
  <si>
    <t>081265559097</t>
  </si>
  <si>
    <t>abeby836@gmail.com</t>
  </si>
  <si>
    <t>beby laundry expres</t>
  </si>
  <si>
    <t>jalan perhubungan laut dendang</t>
  </si>
  <si>
    <t>Aminah</t>
  </si>
  <si>
    <t>DnA Laundry/DnA Laundry 2</t>
  </si>
  <si>
    <t xml:space="preserve">hans tarigan </t>
  </si>
  <si>
    <t>085779430079</t>
  </si>
  <si>
    <t>laundryterdekat@gmail.com</t>
  </si>
  <si>
    <t>Laundry Terdekat</t>
  </si>
  <si>
    <t>jalan pembangunan no. 103</t>
  </si>
  <si>
    <t>Agum Jaya</t>
  </si>
  <si>
    <t>082273825001</t>
  </si>
  <si>
    <t>jayaagum4@gmail.com</t>
  </si>
  <si>
    <t>agni jaya laundry</t>
  </si>
  <si>
    <t>Kota Tanjung Balai</t>
  </si>
  <si>
    <t>jl lingkar pematang pasir</t>
  </si>
  <si>
    <t>Mentary D.S</t>
  </si>
  <si>
    <t>Mami Laundry/Mami Laundry 2</t>
  </si>
  <si>
    <t>Jln.Teratai No.79</t>
  </si>
  <si>
    <t>Frederik Siregar</t>
  </si>
  <si>
    <t>+6282216273406</t>
  </si>
  <si>
    <t>siregarfrederik@gmail.com</t>
  </si>
  <si>
    <t>queen laundry</t>
  </si>
  <si>
    <t>jalan pembangunan</t>
  </si>
  <si>
    <t>AKBAR</t>
  </si>
  <si>
    <t>08116105500</t>
  </si>
  <si>
    <t>spinlaundrybinjai@gmail.com</t>
  </si>
  <si>
    <t>Spin Laundry/SPIN LAUNDRY</t>
  </si>
  <si>
    <t>Jln Perintis Kemerdekaan No 192</t>
  </si>
  <si>
    <t>Nur Hidayah</t>
  </si>
  <si>
    <t>081396625856</t>
  </si>
  <si>
    <t>nurhidayah2569@gmail.com</t>
  </si>
  <si>
    <t>Dina Laundry</t>
  </si>
  <si>
    <t>Sp.Namorih Desa Lama, Kec. Pancur Batu Kab.Deli Serdang</t>
  </si>
  <si>
    <t>agni jaya laundry/agni 2</t>
  </si>
  <si>
    <t>Chatrine Sihombing</t>
  </si>
  <si>
    <t>082132419509</t>
  </si>
  <si>
    <t>yosefsihombing2@gmail.com</t>
  </si>
  <si>
    <t>DB Laundry</t>
  </si>
  <si>
    <t>Jl.Budi Luhur no. 1 simp. kapten muslim</t>
  </si>
  <si>
    <t xml:space="preserve">Silvia Hsb </t>
  </si>
  <si>
    <t>082115837145</t>
  </si>
  <si>
    <t>Via Laundry/	VIA LAUNDRY</t>
  </si>
  <si>
    <t>Jl.Jamin Ginting Psr III Tanah Seribu Binjai</t>
  </si>
  <si>
    <t xml:space="preserve">Trya Ayunanda </t>
  </si>
  <si>
    <t>082247354014</t>
  </si>
  <si>
    <t>tryaayunanda7@gmail.com</t>
  </si>
  <si>
    <t>queen laundry/queen laundry</t>
  </si>
  <si>
    <t>jl.proklamasi Stabat</t>
  </si>
  <si>
    <t>Orlando Manalu</t>
  </si>
  <si>
    <t>085163695628</t>
  </si>
  <si>
    <t>orlandomanalu0@gmail.com</t>
  </si>
  <si>
    <t>LAUNDRY KITA</t>
  </si>
  <si>
    <t>Jl. Asahan,KM 3,5. Pematang Simalungun, Kec. Siantar, Kabupaten Simalungun, Sumatera Utara 21151(Komplek Graha Asahan Gold)</t>
  </si>
  <si>
    <t>Parlinggoman</t>
  </si>
  <si>
    <t>081397684926</t>
  </si>
  <si>
    <t>parlinggomanpasaribu40@gmail.com</t>
  </si>
  <si>
    <t>Happy laundry/Happy laundry</t>
  </si>
  <si>
    <t>jl kebun kopi Marendal 1</t>
  </si>
  <si>
    <t>samuel sammy</t>
  </si>
  <si>
    <t>085717036862</t>
  </si>
  <si>
    <t>Wezz Laundry/Wezz Laundry</t>
  </si>
  <si>
    <t>Jalan PDT J.Wismar Saragih No.68</t>
  </si>
  <si>
    <t>kasir</t>
  </si>
  <si>
    <t>082161365673</t>
  </si>
  <si>
    <t>cendanalaundry419@gmail.com</t>
  </si>
  <si>
    <t>Cendana laundry express/Cendana laundry express</t>
  </si>
  <si>
    <t>jln teratai lapangan tembak,sari rejo</t>
  </si>
  <si>
    <t>RINI</t>
  </si>
  <si>
    <t>089504770306</t>
  </si>
  <si>
    <t>RURI LAUNDRY/RURI LAUNDRY</t>
  </si>
  <si>
    <t>CHRIS</t>
  </si>
  <si>
    <t>082287768228</t>
  </si>
  <si>
    <t>expressi88laundry@gmail.com</t>
  </si>
  <si>
    <t>EXPRESSI LAUNDRY/EXPRESSI LAUNDRY</t>
  </si>
  <si>
    <t>jl diponegoro no290 c</t>
  </si>
  <si>
    <t>UNDA LAUNDRY</t>
  </si>
  <si>
    <t>082173843600</t>
  </si>
  <si>
    <t xml:space="preserve">UNDA LAUNDRY /UNDA LAUNDRY </t>
  </si>
  <si>
    <t>jalan jamin ginting no 27 kabanjahe seberang SMP negeri 1 kabanjahe</t>
  </si>
  <si>
    <t xml:space="preserve">FENNY KARTINI </t>
  </si>
  <si>
    <t>08566668809</t>
  </si>
  <si>
    <t>fenwie164@gmail.com</t>
  </si>
  <si>
    <t>QUICK WASH LAUNDRY/QUICK WASH LAUNDRY</t>
  </si>
  <si>
    <t>Jl pancing komplek mmtc blok P 24</t>
  </si>
  <si>
    <t>Ria Lestari</t>
  </si>
  <si>
    <t>082168733339</t>
  </si>
  <si>
    <t>lestarir474@gmail.com</t>
  </si>
  <si>
    <t>Raja Laundry/Raja Laundry</t>
  </si>
  <si>
    <t>jl. Pancasila</t>
  </si>
  <si>
    <t xml:space="preserve">Ananda Laundry </t>
  </si>
  <si>
    <t>081214234118</t>
  </si>
  <si>
    <t>anandalaundry012025@gmail.com</t>
  </si>
  <si>
    <t>Ananda Laundry/Ananda Laundry</t>
  </si>
  <si>
    <t>jl perjuangan no 72B</t>
  </si>
  <si>
    <t>Nelly Masril</t>
  </si>
  <si>
    <t>082183058150</t>
  </si>
  <si>
    <t>BUNDA LAUNDRY/BUNDA LAUNDRY</t>
  </si>
  <si>
    <t>Dusun XII Jl. Anggrek</t>
  </si>
  <si>
    <t xml:space="preserve">SPARKLE LAUNDRY </t>
  </si>
  <si>
    <t>087787842633</t>
  </si>
  <si>
    <t>SPARKLE LAUNDRY/SPARKLE LAUNDRY</t>
  </si>
  <si>
    <t>Jl Karya Bakti</t>
  </si>
  <si>
    <t>Septia Nasution</t>
  </si>
  <si>
    <t>082160905595</t>
  </si>
  <si>
    <t>nasutionseptia@gmail.com</t>
  </si>
  <si>
    <t>RATU LAUNDRY/RATU LAUNDRY</t>
  </si>
  <si>
    <t>Jalan Tuan Maja Purba</t>
  </si>
  <si>
    <t xml:space="preserve">Auau Laundry </t>
  </si>
  <si>
    <t>085175255967</t>
  </si>
  <si>
    <t>auaulaundry@gmail.com</t>
  </si>
  <si>
    <t>Au Au Laundry/Au Au Laundry</t>
  </si>
  <si>
    <t>Marelan Pasar 2 Barat</t>
  </si>
  <si>
    <t>Budiansyah SH</t>
  </si>
  <si>
    <t>08126580169</t>
  </si>
  <si>
    <t>budiansyah2810@gmail.com</t>
  </si>
  <si>
    <t>NS Eksprees Loundry/NS Eksprees Loundry</t>
  </si>
  <si>
    <t>Jl. Marelan V Pasar 2 Barat Medan Marelan</t>
  </si>
  <si>
    <t>Sapta Harianto Sinaga</t>
  </si>
  <si>
    <t>085264151088</t>
  </si>
  <si>
    <t>nagalaundry88@gmail.com</t>
  </si>
  <si>
    <t>Naga Laundry/Naga Laundry</t>
  </si>
  <si>
    <t>Jl. Bunga Cempaka No. 38A</t>
  </si>
  <si>
    <t>Denny sagita</t>
  </si>
  <si>
    <t>081369996000</t>
  </si>
  <si>
    <t>dennys210211@gmail.com</t>
  </si>
  <si>
    <t>ninja laundry/ninja laundry</t>
  </si>
  <si>
    <t>pasar 1 tengah Marelan kota medan</t>
  </si>
  <si>
    <t>Yusliana Lubis</t>
  </si>
  <si>
    <t>082277244544</t>
  </si>
  <si>
    <t>UCU LONDRY/Rizqina Laundry</t>
  </si>
  <si>
    <t>Gaperta</t>
  </si>
  <si>
    <t>ikokhai Laundry</t>
  </si>
  <si>
    <t>08116330347</t>
  </si>
  <si>
    <t>eka.julham1990@gmail.com</t>
  </si>
  <si>
    <t>ikokhai laundry/ikokhai laundry</t>
  </si>
  <si>
    <t>jalan musyawarah D, Desa Saentis</t>
  </si>
  <si>
    <t xml:space="preserve">Putri Arios </t>
  </si>
  <si>
    <t>085262511132</t>
  </si>
  <si>
    <t>putriarios424@gmail.com</t>
  </si>
  <si>
    <t>Arios Laundry/Arios Laundry</t>
  </si>
  <si>
    <t>Jl.Parapat</t>
  </si>
  <si>
    <t>Yulistia</t>
  </si>
  <si>
    <t>081375566663</t>
  </si>
  <si>
    <t>yulistiatia85@gmail.com</t>
  </si>
  <si>
    <t>Laundry PakEAN/Laundry PakEAN</t>
  </si>
  <si>
    <t>Jl. Marelan V Pasar 2 Barat</t>
  </si>
  <si>
    <t>Teguh Rizal Hamdany</t>
  </si>
  <si>
    <t>085230781445</t>
  </si>
  <si>
    <t>teguhhamdany2@gmail.com</t>
  </si>
  <si>
    <t>Berkah Laundry/Berkah Laundry</t>
  </si>
  <si>
    <t>Jl. Pringgan Kp. Lalang Kec. Sunggal, Kab. Deli Serdang</t>
  </si>
  <si>
    <t xml:space="preserve">Chelsea </t>
  </si>
  <si>
    <t>085262218833</t>
  </si>
  <si>
    <t>bigfat laundry/Baroqah 2</t>
  </si>
  <si>
    <t>Pasar 4</t>
  </si>
  <si>
    <t>Dora Laundry Express/Yuna laundry express</t>
  </si>
  <si>
    <t>komp. Cemara Asri Boulevard Timur no. 8R-8S Medan</t>
  </si>
  <si>
    <t>Mami Laundry/Mami Laundry 3</t>
  </si>
  <si>
    <t>Jln.Bringin Lingkungan I</t>
  </si>
  <si>
    <t xml:space="preserve">erwin </t>
  </si>
  <si>
    <t>082164222200</t>
  </si>
  <si>
    <t>dorianasteryn9@gmail.com</t>
  </si>
  <si>
    <t>erwin/Yuna Laundry Express</t>
  </si>
  <si>
    <t>komp. cemara asri boulevard timur no.8s (gedung powerbox) medan</t>
  </si>
  <si>
    <t>Venny</t>
  </si>
  <si>
    <t>081361159494</t>
  </si>
  <si>
    <t>vennylaundry5@gmail.com</t>
  </si>
  <si>
    <t>Venny Laundry/Venny Laundry</t>
  </si>
  <si>
    <t>Kota Tebing Tinggi</t>
  </si>
  <si>
    <t>Jl. Abdul Rahim Lubis no.75B (Jl. Cemara)</t>
  </si>
  <si>
    <t xml:space="preserve">Adiputra Tambun </t>
  </si>
  <si>
    <t>081333325865</t>
  </si>
  <si>
    <t>aditambun456@gmail.com</t>
  </si>
  <si>
    <t>Tamora Laundry Express/Tamora Laundry Express</t>
  </si>
  <si>
    <t>Jl. Tengku Raja Muda No. 31, Tj. Garbus Satu, Kec. Lubuk Pakam,
Kab. Deli Serdang, Sumatera Utara 20518</t>
  </si>
  <si>
    <t>Beatrix Gurning</t>
  </si>
  <si>
    <t>082199116323</t>
  </si>
  <si>
    <t>gurningbeatrix@gmail.com</t>
  </si>
  <si>
    <t>BLISSFUL LAUNDRY/BLISSFUL LAUNDRY</t>
  </si>
  <si>
    <t>Jalan Ayahanda No.71</t>
  </si>
  <si>
    <t>Fenny Clara</t>
  </si>
  <si>
    <t>081269322268</t>
  </si>
  <si>
    <t>pipaloundry@gmail.com</t>
  </si>
  <si>
    <t>PIPA LOUNDRY/PIPA LOUNDRY</t>
  </si>
  <si>
    <t>Jl Tuasan pasar III Kompleks Tuasan Palace no 172 C</t>
  </si>
  <si>
    <t>Vera Francika</t>
  </si>
  <si>
    <t>081346552847</t>
  </si>
  <si>
    <t>hutabalianreginan@gmail.com</t>
  </si>
  <si>
    <t>Sukacita Loundry/Sukacita Loundry</t>
  </si>
  <si>
    <t>Jl. Juhar</t>
  </si>
  <si>
    <t>08116072455</t>
  </si>
  <si>
    <t>Barokah Loundry/BAROKAH LOUNDRY 3</t>
  </si>
  <si>
    <t>Jln Duku Raya No. 12 Tembung</t>
  </si>
  <si>
    <t xml:space="preserve">Tika </t>
  </si>
  <si>
    <t>087868951692</t>
  </si>
  <si>
    <t>RUMAH LAUNDRY EXPRESS/RUMAH LAUNDRY EXPRESS</t>
  </si>
  <si>
    <t>Jalan Utama No 114, Medan</t>
  </si>
  <si>
    <t>Alice Susanty</t>
  </si>
  <si>
    <t>08126203908</t>
  </si>
  <si>
    <t>susanty.alice@yahoo.com</t>
  </si>
  <si>
    <t>B*EST Laundry/B*EST Laundry</t>
  </si>
  <si>
    <t>Jl.Garuda Ruko I No 10</t>
  </si>
  <si>
    <t xml:space="preserve">alova </t>
  </si>
  <si>
    <t>085167742572</t>
  </si>
  <si>
    <t>alovalaundryexpress01@gmail.com</t>
  </si>
  <si>
    <t xml:space="preserve">Alova laundry express/Alova laundry express        </t>
  </si>
  <si>
    <t>jalan setia budi no 108</t>
  </si>
  <si>
    <t xml:space="preserve">kasir </t>
  </si>
  <si>
    <t>Cendana laundry express/Cendana Laundry</t>
  </si>
  <si>
    <t>jln starban balai desa</t>
  </si>
  <si>
    <t>ulan dari</t>
  </si>
  <si>
    <t>085763230868</t>
  </si>
  <si>
    <t>jl tm pahlawan lorong bahagia Belawan 1</t>
  </si>
  <si>
    <t>LAUNDRY AL</t>
  </si>
  <si>
    <t>081375027890</t>
  </si>
  <si>
    <t>LAUNDRY/LAUNDRY AL</t>
  </si>
  <si>
    <t>JL.SUASA RAYA NO.328</t>
  </si>
  <si>
    <t xml:space="preserve">Yanti Rhama dani </t>
  </si>
  <si>
    <t>081274675843</t>
  </si>
  <si>
    <t>rhamadaniyanti7@gmail.com</t>
  </si>
  <si>
    <t>Doa ibu/Doa ibu</t>
  </si>
  <si>
    <t>Mabar pasar 4hilir jalan suasan pancing</t>
  </si>
  <si>
    <t xml:space="preserve">ayubeby </t>
  </si>
  <si>
    <t>082191086879</t>
  </si>
  <si>
    <t>bebbyayu110@gmail.com</t>
  </si>
  <si>
    <t>Beby laundry express 2/Beby laundry express 2</t>
  </si>
  <si>
    <t>jalan perjuangan no 35</t>
  </si>
  <si>
    <t xml:space="preserve">Wiki Ria Febriani </t>
  </si>
  <si>
    <t>081269026139</t>
  </si>
  <si>
    <t>devitripramesti2015@gmail.com</t>
  </si>
  <si>
    <t>Rumah Laundry/Banjar Laundry</t>
  </si>
  <si>
    <t>Kab. Labuhan Batu Utara</t>
  </si>
  <si>
    <t>Jl. Lintas Desa, Tanjung Pasir, Kp. Banjar Lr2, Kabupaten Labuhanbatu Utara, Sumatera Utara</t>
  </si>
  <si>
    <t>Vicky loundry 2</t>
  </si>
  <si>
    <t>081362266999</t>
  </si>
  <si>
    <t>loundryvickyloundry@gmail.com</t>
  </si>
  <si>
    <t>loundry/loundry</t>
  </si>
  <si>
    <t>jl.lintas simpang marbau</t>
  </si>
  <si>
    <t>Ari pro</t>
  </si>
  <si>
    <t>081265661926</t>
  </si>
  <si>
    <t>Mitra Laundry exspress/Mitra Laundry exspress</t>
  </si>
  <si>
    <t>jln. Syech Berigin</t>
  </si>
  <si>
    <t>Yogi Pratama</t>
  </si>
  <si>
    <t>085337605662</t>
  </si>
  <si>
    <t>SERDANG LAUNDRY/SERDANG LAUNDRY</t>
  </si>
  <si>
    <t>Jln Ujung Serdang No 23A</t>
  </si>
  <si>
    <t>padli sraagih</t>
  </si>
  <si>
    <t>082277872304</t>
  </si>
  <si>
    <t>padlisaragih18@yahoo.com</t>
  </si>
  <si>
    <t>Mari londry/Mari londry</t>
  </si>
  <si>
    <t>Kab. Labuhan Batu</t>
  </si>
  <si>
    <t>jalan besar negri lama kampung nelayan</t>
  </si>
  <si>
    <t>Susanti A. Tambun</t>
  </si>
  <si>
    <t>081350733064</t>
  </si>
  <si>
    <t>santiclinton82@gmail.com</t>
  </si>
  <si>
    <t>Jalan Medan Lingkungan 1 Paluh Kemiri No 2A</t>
  </si>
  <si>
    <t>Dora Laundry Express/Kai Laundry Express</t>
  </si>
  <si>
    <t>jl. keruntung/rela no.104c</t>
  </si>
  <si>
    <t xml:space="preserve">Oktober </t>
  </si>
  <si>
    <t>Miga Laundry</t>
  </si>
  <si>
    <t>081161628886</t>
  </si>
  <si>
    <t>migalaundry25@gmail.com</t>
  </si>
  <si>
    <t>Miga Laundry/Miga Laundry</t>
  </si>
  <si>
    <t>JL. Diponegoro No 213 Miga</t>
  </si>
  <si>
    <t xml:space="preserve">Micha Laundry </t>
  </si>
  <si>
    <t>085220259052</t>
  </si>
  <si>
    <t>yanti6969@gmail.com</t>
  </si>
  <si>
    <t>Micha Laundry/Micha Laundry</t>
  </si>
  <si>
    <t>JL. PEMBANGUNAN KM 12 NO. 2</t>
  </si>
  <si>
    <t xml:space="preserve">Raya Rumbo </t>
  </si>
  <si>
    <t>081229980026</t>
  </si>
  <si>
    <t>rayarumbo@gmail.com</t>
  </si>
  <si>
    <t>LaundryNow/LaundryNow</t>
  </si>
  <si>
    <t>Jl.Pimpinan No.105</t>
  </si>
  <si>
    <t xml:space="preserve">Wahyu adi Pratama </t>
  </si>
  <si>
    <t>081161601005</t>
  </si>
  <si>
    <t>wahyuadipratama456@gmail.com</t>
  </si>
  <si>
    <t>Aurora Laundry/Aurora Laundry</t>
  </si>
  <si>
    <t>Jl. Teratai No.16c, Simarito, Kec. Siantar Bar., Kota Pematang Siantar, Sumatera Utara 21139, Indonesia</t>
  </si>
  <si>
    <t xml:space="preserve">Muhammad Azrai </t>
  </si>
  <si>
    <t>085261012024</t>
  </si>
  <si>
    <t>mart.adzkia@gmail.com</t>
  </si>
  <si>
    <t>jl. Rajamin PurbaSERBELAWAN</t>
  </si>
  <si>
    <t xml:space="preserve">Parlinggoman </t>
  </si>
  <si>
    <t>Happy laundry/APOTEK GEVASIA FARMA</t>
  </si>
  <si>
    <t>Efriati Siregar</t>
  </si>
  <si>
    <t>085296400111</t>
  </si>
  <si>
    <t>Mp laundry/Mp laundry</t>
  </si>
  <si>
    <t>Kab. Serdang Bedagai</t>
  </si>
  <si>
    <t>desa martebing,  kecamatan dolok masihul Kabupaten Serdang bedagai</t>
  </si>
  <si>
    <t xml:space="preserve">Indra sakti Siagian </t>
  </si>
  <si>
    <t>081260783539</t>
  </si>
  <si>
    <t>JEJE LAUNDRY/JEJE LAUNDRY</t>
  </si>
  <si>
    <t>Jl.STM Gang Arifin No.48 C</t>
  </si>
  <si>
    <t>Trya Ayunanda</t>
  </si>
  <si>
    <t>queen laundry/Queen Laundry 2</t>
  </si>
  <si>
    <t>jl. Jendral Sudirman No.54</t>
  </si>
  <si>
    <t>Sapta Sinaga</t>
  </si>
  <si>
    <t>Naga Laundry/NAGA LAUNDRY EXPRESS</t>
  </si>
  <si>
    <t>Juwita Laundry</t>
  </si>
  <si>
    <t>08116578008</t>
  </si>
  <si>
    <t>juwitalaundry18@gmail.com</t>
  </si>
  <si>
    <t>Juwita Laundry/Juwita Laundry</t>
  </si>
  <si>
    <t>Jl. Irian No. 293 Tanjung Morawa</t>
  </si>
  <si>
    <t>081320584171</t>
  </si>
  <si>
    <t>samsunghpbaruu@gmail.com</t>
  </si>
  <si>
    <t>Zahra laundry/Zahra laundry</t>
  </si>
  <si>
    <t>desa juhar</t>
  </si>
  <si>
    <t xml:space="preserve">YUSMEIDAR </t>
  </si>
  <si>
    <t>082368880888</t>
  </si>
  <si>
    <t>yusmeidar.888@gmail.com</t>
  </si>
  <si>
    <t>KITA LAUNDRY EXPRESS/KITA LAUNDRY EXPRESS</t>
  </si>
  <si>
    <t>Di samping SD Negeri Kampung pajak</t>
  </si>
  <si>
    <t xml:space="preserve">Farida </t>
  </si>
  <si>
    <t>085297197891</t>
  </si>
  <si>
    <t>Hobby_Qu Laundry Express/Hobby_Qu Laundry Express</t>
  </si>
  <si>
    <t>Jl. Balai Desa No.250 Marindal II</t>
  </si>
  <si>
    <t xml:space="preserve">maya rina </t>
  </si>
  <si>
    <t>081375372991</t>
  </si>
  <si>
    <t>mayarinanaura@gmail.com</t>
  </si>
  <si>
    <t>Ry laundry/Ry laundry</t>
  </si>
  <si>
    <t>jln sakti lubis</t>
  </si>
  <si>
    <t>Bunda Laundry Sisilia</t>
  </si>
  <si>
    <t>08217665853</t>
  </si>
  <si>
    <t>laundrysisilia57@gmail.com</t>
  </si>
  <si>
    <t>Laundry sisilia/Laundry sisilia</t>
  </si>
  <si>
    <t>jl. sumber amalkomplek sisilia residence</t>
  </si>
  <si>
    <t>Leny Agustina</t>
  </si>
  <si>
    <t>083165077731</t>
  </si>
  <si>
    <t>gokillondri3@gmail.com</t>
  </si>
  <si>
    <t>GOKIL LAUNDRY/GOKIL LAUNDRY</t>
  </si>
  <si>
    <t>jln.pkl brandan link 8 kelurahan beras basah kecamatan PKL susu kabupaten Langkat provinsi sumatera Utara</t>
  </si>
  <si>
    <t>Mentari Group</t>
  </si>
  <si>
    <t>082372013838</t>
  </si>
  <si>
    <t>mentarigroup888@gmail.com</t>
  </si>
  <si>
    <t>Mentari Laundry/Mentari Laundry</t>
  </si>
  <si>
    <t>Jl. Laksana no.90 Kel. Kotamatsum III Kec. Medan Kota , Kota Medan</t>
  </si>
  <si>
    <t>Kode Wilayah</t>
  </si>
  <si>
    <t>Nama Provinsi</t>
  </si>
  <si>
    <t>PULAU SUMATERA</t>
  </si>
  <si>
    <t>Aceh (NAD)</t>
  </si>
  <si>
    <t>Riau</t>
  </si>
  <si>
    <t>Jambi</t>
  </si>
  <si>
    <t>Bengkulu</t>
  </si>
  <si>
    <t>Lampung</t>
  </si>
  <si>
    <t>Kepulauan Bangka Belitung</t>
  </si>
  <si>
    <t>PULAU JAWA</t>
  </si>
  <si>
    <t>Banten</t>
  </si>
  <si>
    <t>Bali</t>
  </si>
  <si>
    <t>Nusa Tenggara Barat (NTB)</t>
  </si>
  <si>
    <t>Nusa Tenggara Timur (NTT)</t>
  </si>
  <si>
    <t>Gorontalo</t>
  </si>
  <si>
    <t>Maluku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</si>
</sst>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_-[$Rp-421]* #,##0_-;_-[$Rp-421]* \-#,##0_-;_-[$Rp-421]* &quot;-&quot;??_-;_-@"/>
    <numFmt numFmtId="166" formatCode="dd/mm/yy"/>
    <numFmt numFmtId="167" formatCode="[$Rp-421]#,##0.00"/>
  </numFmts>
  <fonts count="27">
    <font>
      <sz val="11.0"/>
      <color theme="1"/>
      <name val="Calibri"/>
      <scheme val="minor"/>
    </font>
    <font>
      <b/>
      <sz val="15.0"/>
      <color theme="1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color rgb="FFFFFFFF"/>
      <name val="Calibri"/>
    </font>
    <font>
      <b/>
      <color rgb="FFFFFFFF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theme="1"/>
      <name val="Calibri"/>
    </font>
    <font>
      <sz val="9.0"/>
      <color rgb="FFFFFFFF"/>
      <name val="Calibri"/>
    </font>
    <font>
      <sz val="9.0"/>
      <color theme="0"/>
      <name val="Calibri"/>
    </font>
    <font>
      <b/>
      <sz val="9.0"/>
      <color theme="0"/>
      <name val="Calibri"/>
    </font>
    <font>
      <sz val="11.0"/>
      <color theme="1"/>
      <name val="Calibri"/>
    </font>
    <font>
      <sz val="9.0"/>
      <color rgb="FF2D2E34"/>
      <name val="Calibri"/>
    </font>
    <font>
      <u/>
      <sz val="9.0"/>
      <color rgb="FF858796"/>
      <name val="Calibri"/>
    </font>
    <font>
      <sz val="9.0"/>
      <color rgb="FF858796"/>
      <name val="Calibri"/>
    </font>
    <font>
      <sz val="9.0"/>
      <color rgb="FF858796"/>
      <name val="Nunito"/>
    </font>
    <font>
      <u/>
      <sz val="9.0"/>
      <color rgb="FF8B8948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b/>
      <sz val="9.0"/>
      <color rgb="FF000000"/>
      <name val="Calibri"/>
    </font>
    <font>
      <color theme="1"/>
      <name val="Calibri"/>
    </font>
    <font>
      <sz val="11.0"/>
      <color theme="0"/>
      <name val="Calibri"/>
    </font>
    <font>
      <b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ont="1">
      <alignment readingOrder="0"/>
    </xf>
    <xf borderId="0" fillId="3" fontId="2" numFmtId="49" xfId="0" applyAlignment="1" applyFill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" numFmtId="49" xfId="0" applyAlignment="1" applyFont="1" applyNumberForma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4" fontId="6" numFmtId="49" xfId="0" applyAlignment="1" applyFill="1" applyFont="1" applyNumberFormat="1">
      <alignment horizontal="center" vertical="center"/>
    </xf>
    <xf borderId="0" fillId="4" fontId="9" numFmtId="0" xfId="0" applyAlignment="1" applyFont="1">
      <alignment horizontal="left" vertical="center"/>
    </xf>
    <xf borderId="0" fillId="4" fontId="1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3" numFmtId="49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2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2" fontId="6" numFmtId="0" xfId="0" applyAlignment="1" applyFon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quotePrefix="1" borderId="0" fillId="2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quotePrefix="1" borderId="0" fillId="0" fontId="6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quotePrefix="1" borderId="2" fillId="0" fontId="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vertical="center"/>
    </xf>
    <xf quotePrefix="1" borderId="0" fillId="0" fontId="6" numFmtId="0" xfId="0" applyAlignment="1" applyFont="1">
      <alignment horizontal="center" vertical="center"/>
    </xf>
    <xf borderId="0" fillId="0" fontId="8" numFmtId="0" xfId="0" applyAlignment="1" applyFont="1">
      <alignment vertical="center"/>
    </xf>
    <xf quotePrefix="1" borderId="0" fillId="0" fontId="8" numFmtId="0" xfId="0" applyAlignment="1" applyFont="1">
      <alignment horizontal="center" vertical="center"/>
    </xf>
    <xf borderId="0" fillId="5" fontId="9" numFmtId="0" xfId="0" applyAlignment="1" applyFill="1" applyFont="1">
      <alignment readingOrder="0" shrinkToFit="0" vertical="center" wrapText="1"/>
    </xf>
    <xf borderId="0" fillId="5" fontId="15" numFmtId="0" xfId="0" applyAlignment="1" applyFont="1">
      <alignment vertical="center"/>
    </xf>
    <xf borderId="0" fillId="5" fontId="9" numFmtId="0" xfId="0" applyAlignment="1" applyFont="1">
      <alignment horizontal="center" shrinkToFit="0" vertical="center" wrapText="1"/>
    </xf>
    <xf borderId="0" fillId="0" fontId="8" numFmtId="49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6" numFmtId="49" xfId="0" applyAlignment="1" applyFont="1" applyNumberForma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2" fontId="8" numFmtId="0" xfId="0" applyAlignment="1" applyFont="1">
      <alignment vertical="center"/>
    </xf>
    <xf borderId="0" fillId="2" fontId="8" numFmtId="49" xfId="0" applyAlignment="1" applyFont="1" applyNumberForma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2" fontId="8" numFmtId="0" xfId="0" applyAlignment="1" applyFont="1">
      <alignment horizontal="center" vertical="center"/>
    </xf>
    <xf borderId="0" fillId="2" fontId="8" numFmtId="0" xfId="0" applyAlignment="1" applyFont="1">
      <alignment vertical="center"/>
    </xf>
    <xf borderId="0" fillId="2" fontId="8" numFmtId="49" xfId="0" applyAlignment="1" applyFont="1" applyNumberFormat="1">
      <alignment horizontal="center" vertical="center"/>
    </xf>
    <xf borderId="0" fillId="6" fontId="8" numFmtId="0" xfId="0" applyAlignment="1" applyFill="1" applyFont="1">
      <alignment horizontal="center" vertical="center"/>
    </xf>
    <xf borderId="0" fillId="6" fontId="8" numFmtId="0" xfId="0" applyAlignment="1" applyFont="1">
      <alignment vertical="center"/>
    </xf>
    <xf borderId="0" fillId="6" fontId="8" numFmtId="49" xfId="0" applyAlignment="1" applyFont="1" applyNumberFormat="1">
      <alignment horizontal="center" vertical="center"/>
    </xf>
    <xf borderId="0" fillId="6" fontId="8" numFmtId="0" xfId="0" applyAlignment="1" applyFont="1">
      <alignment horizontal="left" readingOrder="0" vertical="center"/>
    </xf>
    <xf borderId="0" fillId="7" fontId="8" numFmtId="0" xfId="0" applyAlignment="1" applyFill="1" applyFont="1">
      <alignment vertical="center"/>
    </xf>
    <xf borderId="0" fillId="6" fontId="8" numFmtId="0" xfId="0" applyAlignment="1" applyFont="1">
      <alignment readingOrder="0" vertical="center"/>
    </xf>
    <xf borderId="0" fillId="6" fontId="8" numFmtId="0" xfId="0" applyAlignment="1" applyFont="1">
      <alignment horizontal="center" readingOrder="0" vertical="center"/>
    </xf>
    <xf quotePrefix="1" borderId="0" fillId="2" fontId="6" numFmtId="0" xfId="0" applyAlignment="1" applyFont="1">
      <alignment horizontal="center" vertical="center"/>
    </xf>
    <xf borderId="0" fillId="5" fontId="9" numFmtId="0" xfId="0" applyAlignment="1" applyFont="1">
      <alignment horizontal="center" readingOrder="0" shrinkToFit="0" vertical="center" wrapText="1"/>
    </xf>
    <xf borderId="1" fillId="3" fontId="14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readingOrder="0" vertical="center"/>
    </xf>
    <xf borderId="0" fillId="2" fontId="8" numFmtId="0" xfId="0" applyAlignment="1" applyFont="1">
      <alignment vertical="center"/>
    </xf>
    <xf borderId="0" fillId="2" fontId="8" numFmtId="0" xfId="0" applyAlignment="1" applyFont="1">
      <alignment horizontal="center" readingOrder="0" vertical="center"/>
    </xf>
    <xf borderId="0" fillId="2" fontId="8" numFmtId="49" xfId="0" applyAlignment="1" applyFont="1" applyNumberFormat="1">
      <alignment horizontal="center" readingOrder="0" vertical="center"/>
    </xf>
    <xf borderId="0" fillId="5" fontId="15" numFmtId="0" xfId="0" applyAlignment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2" fontId="17" numFmtId="0" xfId="0" applyAlignment="1" applyFont="1">
      <alignment vertical="center"/>
    </xf>
    <xf borderId="0" fillId="2" fontId="18" numFmtId="0" xfId="0" applyAlignment="1" applyFont="1">
      <alignment vertical="center"/>
    </xf>
    <xf borderId="0" fillId="2" fontId="19" numFmtId="0" xfId="0" applyAlignment="1" applyFont="1">
      <alignment vertical="center"/>
    </xf>
    <xf quotePrefix="1" borderId="0" fillId="2" fontId="8" numFmtId="0" xfId="0" applyAlignment="1" applyFont="1">
      <alignment horizontal="center" vertical="center"/>
    </xf>
    <xf quotePrefix="1" borderId="0" fillId="0" fontId="6" numFmtId="49" xfId="0" applyAlignment="1" applyFont="1" applyNumberFormat="1">
      <alignment horizontal="center" vertical="center"/>
    </xf>
    <xf borderId="0" fillId="0" fontId="8" numFmtId="49" xfId="0" applyAlignment="1" applyFont="1" applyNumberFormat="1">
      <alignment vertical="center"/>
    </xf>
    <xf borderId="0" fillId="0" fontId="8" numFmtId="0" xfId="0" applyAlignment="1" applyFont="1">
      <alignment horizontal="left" readingOrder="1" vertical="center"/>
    </xf>
    <xf borderId="0" fillId="0" fontId="20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1"/>
    </xf>
    <xf borderId="0" fillId="2" fontId="8" numFmtId="0" xfId="0" applyAlignment="1" applyFont="1">
      <alignment horizontal="left" readingOrder="0" vertical="center"/>
    </xf>
    <xf borderId="0" fillId="2" fontId="8" numFmtId="0" xfId="0" applyAlignment="1" applyFont="1">
      <alignment readingOrder="0" vertical="center"/>
    </xf>
    <xf borderId="0" fillId="7" fontId="8" numFmtId="0" xfId="0" applyAlignment="1" applyFont="1">
      <alignment vertical="center"/>
    </xf>
    <xf borderId="0" fillId="8" fontId="6" numFmtId="49" xfId="0" applyAlignment="1" applyFill="1" applyFont="1" applyNumberFormat="1">
      <alignment horizontal="center" vertical="center"/>
    </xf>
    <xf borderId="0" fillId="8" fontId="6" numFmtId="0" xfId="0" applyAlignment="1" applyFont="1">
      <alignment horizontal="center" readingOrder="0" vertical="center"/>
    </xf>
    <xf borderId="0" fillId="8" fontId="8" numFmtId="0" xfId="0" applyAlignment="1" applyFont="1">
      <alignment horizontal="center" vertical="center"/>
    </xf>
    <xf borderId="0" fillId="8" fontId="8" numFmtId="0" xfId="0" applyAlignment="1" applyFont="1">
      <alignment vertical="center"/>
    </xf>
    <xf borderId="0" fillId="8" fontId="8" numFmtId="49" xfId="0" applyAlignment="1" applyFont="1" applyNumberFormat="1">
      <alignment horizontal="center" vertical="center"/>
    </xf>
    <xf borderId="0" fillId="8" fontId="8" numFmtId="0" xfId="0" applyAlignment="1" applyFont="1">
      <alignment readingOrder="0" vertical="center"/>
    </xf>
    <xf borderId="0" fillId="8" fontId="8" numFmtId="0" xfId="0" applyAlignment="1" applyFont="1">
      <alignment vertical="center"/>
    </xf>
    <xf borderId="0" fillId="8" fontId="6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49" xfId="0" applyAlignment="1" applyFont="1" applyNumberForma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2" fontId="6" numFmtId="49" xfId="0" applyAlignment="1" applyFont="1" applyNumberFormat="1">
      <alignment horizontal="center" vertical="center"/>
    </xf>
    <xf borderId="0" fillId="2" fontId="6" numFmtId="49" xfId="0" applyAlignment="1" applyFont="1" applyNumberForma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2" fontId="6" numFmtId="164" xfId="0" applyAlignment="1" applyFont="1" applyNumberFormat="1">
      <alignment vertical="center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shrinkToFit="0" vertical="center" wrapText="1"/>
    </xf>
    <xf quotePrefix="1" borderId="2" fillId="2" fontId="6" numFmtId="0" xfId="0" applyAlignment="1" applyBorder="1" applyFont="1">
      <alignment horizontal="center" shrinkToFit="0" vertical="center" wrapText="1"/>
    </xf>
    <xf borderId="0" fillId="2" fontId="21" numFmtId="0" xfId="0" applyAlignment="1" applyFont="1">
      <alignment shrinkToFit="0" vertical="center" wrapText="1"/>
    </xf>
    <xf borderId="0" fillId="2" fontId="6" numFmtId="165" xfId="0" applyAlignment="1" applyFont="1" applyNumberFormat="1">
      <alignment shrinkToFit="0" vertical="center" wrapText="1"/>
    </xf>
    <xf borderId="0" fillId="0" fontId="22" numFmtId="0" xfId="0" applyAlignment="1" applyFont="1">
      <alignment vertical="center"/>
    </xf>
    <xf borderId="0" fillId="2" fontId="15" numFmtId="0" xfId="0" applyAlignment="1" applyFont="1">
      <alignment vertical="center"/>
    </xf>
    <xf borderId="0" fillId="0" fontId="8" numFmtId="166" xfId="0" applyAlignment="1" applyFont="1" applyNumberFormat="1">
      <alignment vertical="center"/>
    </xf>
    <xf quotePrefix="1" borderId="0" fillId="0" fontId="8" numFmtId="49" xfId="0" applyAlignment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quotePrefix="1" borderId="0" fillId="0" fontId="8" numFmtId="49" xfId="0" applyAlignment="1" applyFont="1" applyNumberFormat="1">
      <alignment horizontal="center" shrinkToFit="0" vertical="center" wrapText="0"/>
    </xf>
    <xf borderId="0" fillId="2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6" fontId="8" numFmtId="0" xfId="0" applyAlignment="1" applyFont="1">
      <alignment vertical="center"/>
    </xf>
    <xf borderId="0" fillId="6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8" numFmtId="49" xfId="0" applyAlignment="1" applyFont="1" applyNumberFormat="1">
      <alignment horizontal="left" readingOrder="0" vertical="center"/>
    </xf>
    <xf borderId="0" fillId="2" fontId="8" numFmtId="49" xfId="0" applyAlignment="1" applyFont="1" applyNumberFormat="1">
      <alignment vertical="center"/>
    </xf>
    <xf borderId="0" fillId="8" fontId="8" numFmtId="49" xfId="0" applyAlignment="1" applyFont="1" applyNumberFormat="1">
      <alignment vertical="center"/>
    </xf>
    <xf borderId="0" fillId="8" fontId="8" numFmtId="49" xfId="0" applyAlignment="1" applyFont="1" applyNumberFormat="1">
      <alignment horizontal="left" readingOrder="0" vertical="center"/>
    </xf>
    <xf borderId="0" fillId="8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49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2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6" numFmtId="165" xfId="0" applyAlignment="1" applyFont="1" applyNumberFormat="1">
      <alignment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6" fontId="8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0" fontId="6" numFmtId="0" xfId="0" applyFont="1"/>
    <xf borderId="0" fillId="2" fontId="6" numFmtId="0" xfId="0" applyAlignment="1" applyFont="1">
      <alignment shrinkToFit="0" wrapText="1"/>
    </xf>
    <xf borderId="0" fillId="0" fontId="8" numFmtId="49" xfId="0" applyAlignment="1" applyFont="1" applyNumberFormat="1">
      <alignment horizontal="center" shrinkToFit="0" vertical="center" wrapText="0"/>
    </xf>
    <xf borderId="0" fillId="0" fontId="8" numFmtId="49" xfId="0" applyAlignment="1" applyFont="1" applyNumberFormat="1">
      <alignment horizontal="left" vertical="center"/>
    </xf>
    <xf borderId="0" fillId="2" fontId="8" numFmtId="49" xfId="0" applyAlignment="1" applyFont="1" applyNumberFormat="1">
      <alignment vertical="center"/>
    </xf>
    <xf borderId="0" fillId="0" fontId="6" numFmtId="167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left" readingOrder="0" shrinkToFit="0" vertical="center" wrapText="0"/>
    </xf>
    <xf borderId="0" fillId="2" fontId="6" numFmtId="0" xfId="0" applyAlignment="1" applyFont="1">
      <alignment readingOrder="0" vertical="center"/>
    </xf>
    <xf borderId="0" fillId="2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5" fontId="23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readingOrder="0" vertical="center"/>
    </xf>
    <xf borderId="2" fillId="0" fontId="15" numFmtId="0" xfId="0" applyAlignment="1" applyBorder="1" applyFont="1">
      <alignment vertical="center"/>
    </xf>
    <xf borderId="2" fillId="0" fontId="6" numFmtId="0" xfId="0" applyAlignment="1" applyBorder="1" applyFont="1">
      <alignment shrinkToFit="0" vertical="center" wrapText="1"/>
    </xf>
    <xf borderId="0" fillId="0" fontId="24" numFmtId="0" xfId="0" applyAlignment="1" applyFont="1">
      <alignment vertical="center"/>
    </xf>
    <xf borderId="0" fillId="0" fontId="8" numFmtId="0" xfId="0" applyAlignment="1" applyFont="1">
      <alignment horizontal="center" readingOrder="1" vertical="center"/>
    </xf>
    <xf borderId="0" fillId="2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0" fillId="3" fontId="25" numFmtId="0" xfId="0" applyAlignment="1" applyFont="1">
      <alignment horizontal="center" vertical="center"/>
    </xf>
    <xf borderId="0" fillId="0" fontId="26" numFmtId="0" xfId="0" applyAlignment="1" applyFont="1">
      <alignment horizontal="left"/>
    </xf>
    <xf borderId="0" fillId="0" fontId="26" numFmtId="0" xfId="0" applyAlignment="1" applyFont="1">
      <alignment horizontal="center"/>
    </xf>
    <xf borderId="0" fillId="0" fontId="2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3">
    <tableStyle count="2" pivot="0" name="Bali-style">
      <tableStyleElement dxfId="1" type="firstRowStripe"/>
      <tableStyleElement dxfId="2" type="secondRowStripe"/>
    </tableStyle>
    <tableStyle count="2" pivot="0" name="Bali-style 2">
      <tableStyleElement dxfId="1" type="firstRowStripe"/>
      <tableStyleElement dxfId="2" type="secondRowStripe"/>
    </tableStyle>
    <tableStyle count="2" pivot="0" name="Bali-style 3">
      <tableStyleElement dxfId="1" type="firstRowStripe"/>
      <tableStyleElement dxfId="2" type="secondRowStripe"/>
    </tableStyle>
    <tableStyle count="2" pivot="0" name="Bali-style 4">
      <tableStyleElement dxfId="1" type="firstRowStripe"/>
      <tableStyleElement dxfId="2" type="secondRowStripe"/>
    </tableStyle>
    <tableStyle count="2" pivot="0" name="DI Yogyakarta-style">
      <tableStyleElement dxfId="2" type="firstRowStripe"/>
      <tableStyleElement dxfId="1" type="secondRowStripe"/>
    </tableStyle>
    <tableStyle count="2" pivot="0" name="DI Yogyakarta-style 2">
      <tableStyleElement dxfId="2" type="firstRowStripe"/>
      <tableStyleElement dxfId="1" type="secondRowStripe"/>
    </tableStyle>
    <tableStyle count="2" pivot="0" name="DKI Jakarta-style">
      <tableStyleElement dxfId="1" type="firstRowStripe"/>
      <tableStyleElement dxfId="2" type="secondRowStripe"/>
    </tableStyle>
    <tableStyle count="2" pivot="0" name="DKI Jakarta-style 2">
      <tableStyleElement dxfId="1" type="firstRowStripe"/>
      <tableStyleElement dxfId="2" type="secondRowStripe"/>
    </tableStyle>
    <tableStyle count="2" pivot="0" name="DKI Jakarta-style 3">
      <tableStyleElement dxfId="1" type="firstRowStripe"/>
      <tableStyleElement dxfId="2" type="secondRowStripe"/>
    </tableStyle>
    <tableStyle count="2" pivot="0" name="DKI Jakarta-style 4">
      <tableStyleElement dxfId="1" type="firstRowStripe"/>
      <tableStyleElement dxfId="2" type="secondRowStripe"/>
    </tableStyle>
    <tableStyle count="2" pivot="0" name="Jambi-style">
      <tableStyleElement dxfId="1" type="firstRowStripe"/>
      <tableStyleElement dxfId="2" type="secondRowStripe"/>
    </tableStyle>
    <tableStyle count="2" pivot="0" name="Jambi-style 2">
      <tableStyleElement dxfId="1" type="firstRowStripe"/>
      <tableStyleElement dxfId="2" type="secondRowStripe"/>
    </tableStyle>
    <tableStyle count="2" pivot="0" name="Jawa Barat-style">
      <tableStyleElement dxfId="2" type="firstRowStripe"/>
      <tableStyleElement dxfId="1" type="secondRowStripe"/>
    </tableStyle>
    <tableStyle count="2" pivot="0" name="Jawa Barat-style 2">
      <tableStyleElement dxfId="2" type="firstRowStripe"/>
      <tableStyleElement dxfId="1" type="secondRowStripe"/>
    </tableStyle>
    <tableStyle count="2" pivot="0" name="Jawa Barat-style 3">
      <tableStyleElement dxfId="2" type="firstRowStripe"/>
      <tableStyleElement dxfId="1" type="secondRowStripe"/>
    </tableStyle>
    <tableStyle count="2" pivot="0" name="Jawa Barat-style 4">
      <tableStyleElement dxfId="2" type="firstRowStripe"/>
      <tableStyleElement dxfId="1" type="secondRowStripe"/>
    </tableStyle>
    <tableStyle count="2" pivot="0" name="Jawa Tengah-style">
      <tableStyleElement dxfId="2" type="firstRowStripe"/>
      <tableStyleElement dxfId="1" type="secondRowStripe"/>
    </tableStyle>
    <tableStyle count="2" pivot="0" name="Jawa Tengah-style 2">
      <tableStyleElement dxfId="2" type="firstRowStripe"/>
      <tableStyleElement dxfId="1" type="secondRowStripe"/>
    </tableStyle>
    <tableStyle count="2" pivot="0" name="Jawa Tengah-style 3">
      <tableStyleElement dxfId="2" type="firstRowStripe"/>
      <tableStyleElement dxfId="1" type="secondRowStripe"/>
    </tableStyle>
    <tableStyle count="2" pivot="0" name="Jawa Tengah-style 4">
      <tableStyleElement dxfId="2" type="firstRowStripe"/>
      <tableStyleElement dxfId="1" type="secondRowStripe"/>
    </tableStyle>
    <tableStyle count="2" pivot="0" name="Jawa Timur-style">
      <tableStyleElement dxfId="2" type="firstRowStripe"/>
      <tableStyleElement dxfId="1" type="secondRowStripe"/>
    </tableStyle>
    <tableStyle count="2" pivot="0" name="Jawa Timur-style 2">
      <tableStyleElement dxfId="2" type="firstRowStripe"/>
      <tableStyleElement dxfId="1" type="secondRowStripe"/>
    </tableStyle>
    <tableStyle count="2" pivot="0" name="Kalimantan Selatan-style">
      <tableStyleElement dxfId="1" type="firstRowStripe"/>
      <tableStyleElement dxfId="2" type="secondRowStripe"/>
    </tableStyle>
    <tableStyle count="2" pivot="0" name="Kalimantan Tengah -style">
      <tableStyleElement dxfId="2" type="firstRowStripe"/>
      <tableStyleElement dxfId="1" type="secondRowStripe"/>
    </tableStyle>
    <tableStyle count="2" pivot="0" name="Kalimantan Tengah -style 2">
      <tableStyleElement dxfId="2" type="firstRowStripe"/>
      <tableStyleElement dxfId="1" type="secondRowStripe"/>
    </tableStyle>
    <tableStyle count="2" pivot="0" name="Kepulauan Riau -style">
      <tableStyleElement dxfId="1" type="firstRowStripe"/>
      <tableStyleElement dxfId="2" type="secondRowStripe"/>
    </tableStyle>
    <tableStyle count="2" pivot="0" name="Kepulauan Riau -style 2">
      <tableStyleElement dxfId="1" type="firstRowStripe"/>
      <tableStyleElement dxfId="2" type="secondRowStripe"/>
    </tableStyle>
    <tableStyle count="2" pivot="0" name="Lampung-style">
      <tableStyleElement dxfId="2" type="firstRowStripe"/>
      <tableStyleElement dxfId="1" type="secondRowStripe"/>
    </tableStyle>
    <tableStyle count="2" pivot="0" name="Lampung-style 2">
      <tableStyleElement dxfId="2" type="firstRowStripe"/>
      <tableStyleElement dxfId="1" type="secondRowStripe"/>
    </tableStyle>
    <tableStyle count="2" pivot="0" name="Sulawesi Selatan-style">
      <tableStyleElement dxfId="1" type="firstRowStripe"/>
      <tableStyleElement dxfId="2" type="secondRowStripe"/>
    </tableStyle>
    <tableStyle count="2" pivot="0" name="Sulawesi Selatan-style 2">
      <tableStyleElement dxfId="1" type="firstRowStripe"/>
      <tableStyleElement dxfId="2" type="secondRowStripe"/>
    </tableStyle>
    <tableStyle count="2" pivot="0" name="Sulawesi Utara-style">
      <tableStyleElement dxfId="2" type="firstRowStripe"/>
      <tableStyleElement dxfId="1" type="secondRowStripe"/>
    </tableStyle>
    <tableStyle count="2" pivot="0" name="Sulawesi Utara-style 2">
      <tableStyleElement dxfId="2" type="firstRowStripe"/>
      <tableStyleElement dxfId="1" type="secondRowStripe"/>
    </tableStyle>
    <tableStyle count="2" pivot="0" name="Sulawesi Utara-style 3">
      <tableStyleElement dxfId="2" type="firstRowStripe"/>
      <tableStyleElement dxfId="1" type="secondRowStripe"/>
    </tableStyle>
    <tableStyle count="2" pivot="0" name="Sulawesi Utara-style 4">
      <tableStyleElement dxfId="2" type="firstRowStripe"/>
      <tableStyleElement dxfId="1" type="secondRowStripe"/>
    </tableStyle>
    <tableStyle count="2" pivot="0" name="Sulawesi Tenggara-style">
      <tableStyleElement dxfId="2" type="firstRowStripe"/>
      <tableStyleElement dxfId="1" type="secondRowStripe"/>
    </tableStyle>
    <tableStyle count="2" pivot="0" name="Sumatera Barat-style">
      <tableStyleElement dxfId="1" type="firstRowStripe"/>
      <tableStyleElement dxfId="2" type="secondRowStripe"/>
    </tableStyle>
    <tableStyle count="2" pivot="0" name="Sumatera Barat-style 2">
      <tableStyleElement dxfId="1" type="firstRowStripe"/>
      <tableStyleElement dxfId="2" type="secondRowStripe"/>
    </tableStyle>
    <tableStyle count="2" pivot="0" name="Sumatera Barat-style 3">
      <tableStyleElement dxfId="1" type="firstRowStripe"/>
      <tableStyleElement dxfId="2" type="secondRowStripe"/>
    </tableStyle>
    <tableStyle count="2" pivot="0" name="Sumatera Barat-style 4">
      <tableStyleElement dxfId="1" type="firstRowStripe"/>
      <tableStyleElement dxfId="2" type="secondRowStripe"/>
    </tableStyle>
    <tableStyle count="2" pivot="0" name="Sumatera Selatan-style">
      <tableStyleElement dxfId="2" type="firstRowStripe"/>
      <tableStyleElement dxfId="1" type="secondRowStripe"/>
    </tableStyle>
    <tableStyle count="2" pivot="0" name="Sumatera Utara-style">
      <tableStyleElement dxfId="1" type="firstRowStripe"/>
      <tableStyleElement dxfId="2" type="secondRowStripe"/>
    </tableStyle>
    <tableStyle count="2" pivot="0" name="Sumatera Utara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428625</xdr:colOff>
      <xdr:row>0</xdr:row>
      <xdr:rowOff>-104775</xdr:rowOff>
    </xdr:from>
    <xdr:ext cx="3295650" cy="1066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1238250</xdr:colOff>
      <xdr:row>0</xdr:row>
      <xdr:rowOff>0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971550</xdr:colOff>
      <xdr:row>0</xdr:row>
      <xdr:rowOff>0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1914525</xdr:colOff>
      <xdr:row>0</xdr:row>
      <xdr:rowOff>-104775</xdr:rowOff>
    </xdr:from>
    <xdr:ext cx="3390900" cy="10953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59:F60" displayName="Table_1" name="Table_1" id="1">
  <tableColumns count="3">
    <tableColumn name="Column1" id="1"/>
    <tableColumn name="Column2" id="2"/>
    <tableColumn name="Column3" id="3"/>
  </tableColumns>
  <tableStyleInfo name="Bali-style" showColumnStripes="0" showFirstColumn="1" showLastColumn="1" showRowStripes="1"/>
</table>
</file>

<file path=xl/tables/table2.xml><?xml version="1.0" encoding="utf-8"?>
<table xmlns="http://schemas.openxmlformats.org/spreadsheetml/2006/main" headerRowCount="0" ref="H59:I60" displayName="Table_2" name="Table_2" id="2">
  <tableColumns count="2">
    <tableColumn name="Column1" id="1"/>
    <tableColumn name="Column2" id="2"/>
  </tableColumns>
  <tableStyleInfo name="Bali-style 2" showColumnStripes="0" showFirstColumn="1" showLastColumn="1" showRowStripes="1"/>
</table>
</file>

<file path=xl/tables/table3.xml><?xml version="1.0" encoding="utf-8"?>
<table xmlns="http://schemas.openxmlformats.org/spreadsheetml/2006/main" headerRowCount="0" ref="D61:G61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Bali-style 3" showColumnStripes="0" showFirstColumn="1" showLastColumn="1" showRowStripes="1"/>
</table>
</file>

<file path=xl/tables/table4.xml><?xml version="1.0" encoding="utf-8"?>
<table xmlns="http://schemas.openxmlformats.org/spreadsheetml/2006/main" headerRowCount="0" ref="H61:J61" displayName="Table_4" name="Table_4" id="4">
  <tableColumns count="3">
    <tableColumn name="Column1" id="1"/>
    <tableColumn name="Column2" id="2"/>
    <tableColumn name="Column3" id="3"/>
  </tableColumns>
  <tableStyleInfo name="Bali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4:G3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DI Yogyakarta-style" showColumnStripes="0" showFirstColumn="1" showLastColumn="1" showRowStripes="1"/>
</table>
</file>

<file path=xl/tables/table6.xml><?xml version="1.0" encoding="utf-8"?>
<table xmlns="http://schemas.openxmlformats.org/spreadsheetml/2006/main" headerRowCount="0" ref="H34:J34" displayName="Table_6" name="Table_6" id="6">
  <tableColumns count="3">
    <tableColumn name="Column1" id="1"/>
    <tableColumn name="Column2" id="2"/>
    <tableColumn name="Column3" id="3"/>
  </tableColumns>
  <tableStyleInfo name="DI Yogyakarta-style 2" showColumnStripes="0" showFirstColumn="1" showLastColumn="1" showRowStripes="1"/>
</table>
</file>

<file path=xl/tables/table7.xml><?xml version="1.0" encoding="utf-8"?>
<table xmlns="http://schemas.openxmlformats.org/spreadsheetml/2006/main" headerRowCount="0" ref="D288:G299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DKI Jakarta-style" showColumnStripes="0" showFirstColumn="1" showLastColumn="1" showRowStripes="1"/>
</table>
</file>

<file path=xl/tables/table8.xml><?xml version="1.0" encoding="utf-8"?>
<table xmlns="http://schemas.openxmlformats.org/spreadsheetml/2006/main" headerRowCount="0" ref="H288:J299" displayName="Table_8" name="Table_8" id="8">
  <tableColumns count="3">
    <tableColumn name="Column1" id="1"/>
    <tableColumn name="Column2" id="2"/>
    <tableColumn name="Column3" id="3"/>
  </tableColumns>
  <tableStyleInfo name="DKI Jakarta-style 2" showColumnStripes="0" showFirstColumn="1" showLastColumn="1" showRowStripes="1"/>
</table>
</file>

<file path=xl/tables/table9.xml><?xml version="1.0" encoding="utf-8"?>
<table xmlns="http://schemas.openxmlformats.org/spreadsheetml/2006/main" headerRowCount="0" ref="D300:G300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DKI Jakarta-style 3" showColumnStripes="0" showFirstColumn="1" showLastColumn="1" showRowStripes="1"/>
</table>
</file>

<file path=xl/tables/table10.xml><?xml version="1.0" encoding="utf-8"?>
<table xmlns="http://schemas.openxmlformats.org/spreadsheetml/2006/main" headerRowCount="0" ref="H300:J300" displayName="Table_10" name="Table_10" id="10">
  <tableColumns count="3">
    <tableColumn name="Column1" id="1"/>
    <tableColumn name="Column2" id="2"/>
    <tableColumn name="Column3" id="3"/>
  </tableColumns>
  <tableStyleInfo name="DKI Jakarta-style 4" showColumnStripes="0" showFirstColumn="1" showLastColumn="1" showRowStripes="1"/>
</table>
</file>

<file path=xl/tables/table11.xml><?xml version="1.0" encoding="utf-8"?>
<table xmlns="http://schemas.openxmlformats.org/spreadsheetml/2006/main" headerRowCount="0" ref="D24:G26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Jambi-style" showColumnStripes="0" showFirstColumn="1" showLastColumn="1" showRowStripes="1"/>
</table>
</file>

<file path=xl/tables/table12.xml><?xml version="1.0" encoding="utf-8"?>
<table xmlns="http://schemas.openxmlformats.org/spreadsheetml/2006/main" headerRowCount="0" ref="H24:J26" displayName="Table_12" name="Table_12" id="12">
  <tableColumns count="3">
    <tableColumn name="Column1" id="1"/>
    <tableColumn name="Column2" id="2"/>
    <tableColumn name="Column3" id="3"/>
  </tableColumns>
  <tableStyleInfo name="Jambi-style 2" showColumnStripes="0" showFirstColumn="1" showLastColumn="1" showRowStripes="1"/>
</table>
</file>

<file path=xl/tables/table13.xml><?xml version="1.0" encoding="utf-8"?>
<table xmlns="http://schemas.openxmlformats.org/spreadsheetml/2006/main" headerRowCount="0" ref="D415:F419" displayName="Table_13" name="Table_13" id="13">
  <tableColumns count="3">
    <tableColumn name="Column1" id="1"/>
    <tableColumn name="Column2" id="2"/>
    <tableColumn name="Column3" id="3"/>
  </tableColumns>
  <tableStyleInfo name="Jawa Barat-style" showColumnStripes="0" showFirstColumn="1" showLastColumn="1" showRowStripes="1"/>
</table>
</file>

<file path=xl/tables/table14.xml><?xml version="1.0" encoding="utf-8"?>
<table xmlns="http://schemas.openxmlformats.org/spreadsheetml/2006/main" headerRowCount="0" ref="H415:J419" displayName="Table_14" name="Table_14" id="14">
  <tableColumns count="3">
    <tableColumn name="Column1" id="1"/>
    <tableColumn name="Column2" id="2"/>
    <tableColumn name="Column3" id="3"/>
  </tableColumns>
  <tableStyleInfo name="Jawa Barat-style 2" showColumnStripes="0" showFirstColumn="1" showLastColumn="1" showRowStripes="1"/>
</table>
</file>

<file path=xl/tables/table15.xml><?xml version="1.0" encoding="utf-8"?>
<table xmlns="http://schemas.openxmlformats.org/spreadsheetml/2006/main" headerRowCount="0" ref="D420:G431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Jawa Barat-style 3" showColumnStripes="0" showFirstColumn="1" showLastColumn="1" showRowStripes="1"/>
</table>
</file>

<file path=xl/tables/table16.xml><?xml version="1.0" encoding="utf-8"?>
<table xmlns="http://schemas.openxmlformats.org/spreadsheetml/2006/main" headerRowCount="0" ref="H420:J431" displayName="Table_16" name="Table_16" id="16">
  <tableColumns count="3">
    <tableColumn name="Column1" id="1"/>
    <tableColumn name="Column2" id="2"/>
    <tableColumn name="Column3" id="3"/>
  </tableColumns>
  <tableStyleInfo name="Jawa Barat-style 4" showColumnStripes="0" showFirstColumn="1" showLastColumn="1" showRowStripes="1"/>
</table>
</file>

<file path=xl/tables/table17.xml><?xml version="1.0" encoding="utf-8"?>
<table xmlns="http://schemas.openxmlformats.org/spreadsheetml/2006/main" headerRowCount="0" ref="D155:G158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Jawa Tengah-style" showColumnStripes="0" showFirstColumn="1" showLastColumn="1" showRowStripes="1"/>
</table>
</file>

<file path=xl/tables/table18.xml><?xml version="1.0" encoding="utf-8"?>
<table xmlns="http://schemas.openxmlformats.org/spreadsheetml/2006/main" headerRowCount="0" ref="H155:J158" displayName="Table_18" name="Table_18" id="18">
  <tableColumns count="3">
    <tableColumn name="Column1" id="1"/>
    <tableColumn name="Column2" id="2"/>
    <tableColumn name="Column3" id="3"/>
  </tableColumns>
  <tableStyleInfo name="Jawa Tengah-style 2" showColumnStripes="0" showFirstColumn="1" showLastColumn="1" showRowStripes="1"/>
</table>
</file>

<file path=xl/tables/table19.xml><?xml version="1.0" encoding="utf-8"?>
<table xmlns="http://schemas.openxmlformats.org/spreadsheetml/2006/main" headerRowCount="0" ref="D159:G159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Jawa Tengah-style 3" showColumnStripes="0" showFirstColumn="1" showLastColumn="1" showRowStripes="1"/>
</table>
</file>

<file path=xl/tables/table20.xml><?xml version="1.0" encoding="utf-8"?>
<table xmlns="http://schemas.openxmlformats.org/spreadsheetml/2006/main" headerRowCount="0" ref="H159:J159" displayName="Table_20" name="Table_20" id="20">
  <tableColumns count="3">
    <tableColumn name="Column1" id="1"/>
    <tableColumn name="Column2" id="2"/>
    <tableColumn name="Column3" id="3"/>
  </tableColumns>
  <tableStyleInfo name="Jawa Tengah-style 4" showColumnStripes="0" showFirstColumn="1" showLastColumn="1" showRowStripes="1"/>
</table>
</file>

<file path=xl/tables/table21.xml><?xml version="1.0" encoding="utf-8"?>
<table xmlns="http://schemas.openxmlformats.org/spreadsheetml/2006/main" headerRowCount="0" ref="D156:G156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Jawa Timur-style" showColumnStripes="0" showFirstColumn="1" showLastColumn="1" showRowStripes="1"/>
</table>
</file>

<file path=xl/tables/table22.xml><?xml version="1.0" encoding="utf-8"?>
<table xmlns="http://schemas.openxmlformats.org/spreadsheetml/2006/main" headerRowCount="0" ref="H156:J156" displayName="Table_22" name="Table_22" id="22">
  <tableColumns count="3">
    <tableColumn name="Column1" id="1"/>
    <tableColumn name="Column2" id="2"/>
    <tableColumn name="Column3" id="3"/>
  </tableColumns>
  <tableStyleInfo name="Jawa Timur-style 2" showColumnStripes="0" showFirstColumn="1" showLastColumn="1" showRowStripes="1"/>
</table>
</file>

<file path=xl/tables/table23.xml><?xml version="1.0" encoding="utf-8"?>
<table xmlns="http://schemas.openxmlformats.org/spreadsheetml/2006/main" headerRowCount="0" ref="D29:I29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limantan Selatan-style" showColumnStripes="0" showFirstColumn="1" showLastColumn="1" showRowStripes="1"/>
</table>
</file>

<file path=xl/tables/table24.xml><?xml version="1.0" encoding="utf-8"?>
<table xmlns="http://schemas.openxmlformats.org/spreadsheetml/2006/main" headerRowCount="0" ref="D18:G18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Kalimantan Tengah -style" showColumnStripes="0" showFirstColumn="1" showLastColumn="1" showRowStripes="1"/>
</table>
</file>

<file path=xl/tables/table25.xml><?xml version="1.0" encoding="utf-8"?>
<table xmlns="http://schemas.openxmlformats.org/spreadsheetml/2006/main" headerRowCount="0" ref="I18:J18" displayName="Table_25" name="Table_25" id="25">
  <tableColumns count="2">
    <tableColumn name="Column1" id="1"/>
    <tableColumn name="Column2" id="2"/>
  </tableColumns>
  <tableStyleInfo name="Kalimantan Tengah -style 2" showColumnStripes="0" showFirstColumn="1" showLastColumn="1" showRowStripes="1"/>
</table>
</file>

<file path=xl/tables/table26.xml><?xml version="1.0" encoding="utf-8"?>
<table xmlns="http://schemas.openxmlformats.org/spreadsheetml/2006/main" headerRowCount="0" ref="D59:G59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Kepulauan Riau -style" showColumnStripes="0" showFirstColumn="1" showLastColumn="1" showRowStripes="1"/>
</table>
</file>

<file path=xl/tables/table27.xml><?xml version="1.0" encoding="utf-8"?>
<table xmlns="http://schemas.openxmlformats.org/spreadsheetml/2006/main" headerRowCount="0" ref="H59:J59" displayName="Table_27" name="Table_27" id="27">
  <tableColumns count="3">
    <tableColumn name="Column1" id="1"/>
    <tableColumn name="Column2" id="2"/>
    <tableColumn name="Column3" id="3"/>
  </tableColumns>
  <tableStyleInfo name="Kepulauan Riau -style 2" showColumnStripes="0" showFirstColumn="1" showLastColumn="1" showRowStripes="1"/>
</table>
</file>

<file path=xl/tables/table28.xml><?xml version="1.0" encoding="utf-8"?>
<table xmlns="http://schemas.openxmlformats.org/spreadsheetml/2006/main" headerRowCount="0" ref="D28:G28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Lampung-style" showColumnStripes="0" showFirstColumn="1" showLastColumn="1" showRowStripes="1"/>
</table>
</file>

<file path=xl/tables/table29.xml><?xml version="1.0" encoding="utf-8"?>
<table xmlns="http://schemas.openxmlformats.org/spreadsheetml/2006/main" headerRowCount="0" ref="H28:J28" displayName="Table_29" name="Table_29" id="29">
  <tableColumns count="3">
    <tableColumn name="Column1" id="1"/>
    <tableColumn name="Column2" id="2"/>
    <tableColumn name="Column3" id="3"/>
  </tableColumns>
  <tableStyleInfo name="Lampung-style 2" showColumnStripes="0" showFirstColumn="1" showLastColumn="1" showRowStripes="1"/>
</table>
</file>

<file path=xl/tables/table30.xml><?xml version="1.0" encoding="utf-8"?>
<table xmlns="http://schemas.openxmlformats.org/spreadsheetml/2006/main" headerRowCount="0" ref="D58:F58" displayName="Table_30" name="Table_30" id="30">
  <tableColumns count="3">
    <tableColumn name="Column1" id="1"/>
    <tableColumn name="Column2" id="2"/>
    <tableColumn name="Column3" id="3"/>
  </tableColumns>
  <tableStyleInfo name="Sulawesi Selatan-style" showColumnStripes="0" showFirstColumn="1" showLastColumn="1" showRowStripes="1"/>
</table>
</file>

<file path=xl/tables/table31.xml><?xml version="1.0" encoding="utf-8"?>
<table xmlns="http://schemas.openxmlformats.org/spreadsheetml/2006/main" headerRowCount="0" ref="H58:J58" displayName="Table_31" name="Table_31" id="31">
  <tableColumns count="3">
    <tableColumn name="Column1" id="1"/>
    <tableColumn name="Column2" id="2"/>
    <tableColumn name="Column3" id="3"/>
  </tableColumns>
  <tableStyleInfo name="Sulawesi Selata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D28:F28" displayName="Table_32" name="Table_32" id="32">
  <tableColumns count="3">
    <tableColumn name="Column1" id="1"/>
    <tableColumn name="Column2" id="2"/>
    <tableColumn name="Column3" id="3"/>
  </tableColumns>
  <tableStyleInfo name="Sulawesi Utara-style" showColumnStripes="0" showFirstColumn="1" showLastColumn="1" showRowStripes="1"/>
</table>
</file>

<file path=xl/tables/table33.xml><?xml version="1.0" encoding="utf-8"?>
<table xmlns="http://schemas.openxmlformats.org/spreadsheetml/2006/main" headerRowCount="0" ref="H28:J28" displayName="Table_33" name="Table_33" id="33">
  <tableColumns count="3">
    <tableColumn name="Column1" id="1"/>
    <tableColumn name="Column2" id="2"/>
    <tableColumn name="Column3" id="3"/>
  </tableColumns>
  <tableStyleInfo name="Sulawesi Utara-style 2" showColumnStripes="0" showFirstColumn="1" showLastColumn="1" showRowStripes="1"/>
</table>
</file>

<file path=xl/tables/table34.xml><?xml version="1.0" encoding="utf-8"?>
<table xmlns="http://schemas.openxmlformats.org/spreadsheetml/2006/main" headerRowCount="0" ref="D29:F29" displayName="Table_34" name="Table_34" id="34">
  <tableColumns count="3">
    <tableColumn name="Column1" id="1"/>
    <tableColumn name="Column2" id="2"/>
    <tableColumn name="Column3" id="3"/>
  </tableColumns>
  <tableStyleInfo name="Sulawesi Utara-style 3" showColumnStripes="0" showFirstColumn="1" showLastColumn="1" showRowStripes="1"/>
</table>
</file>

<file path=xl/tables/table35.xml><?xml version="1.0" encoding="utf-8"?>
<table xmlns="http://schemas.openxmlformats.org/spreadsheetml/2006/main" headerRowCount="0" ref="H29:J29" displayName="Table_35" name="Table_35" id="35">
  <tableColumns count="3">
    <tableColumn name="Column1" id="1"/>
    <tableColumn name="Column2" id="2"/>
    <tableColumn name="Column3" id="3"/>
  </tableColumns>
  <tableStyleInfo name="Sulawesi Utara-style 4" showColumnStripes="0" showFirstColumn="1" showLastColumn="1" showRowStripes="1"/>
</table>
</file>

<file path=xl/tables/table36.xml><?xml version="1.0" encoding="utf-8"?>
<table xmlns="http://schemas.openxmlformats.org/spreadsheetml/2006/main" headerRowCount="0" ref="I17:J17" displayName="Table_36" name="Table_36" id="36">
  <tableColumns count="2">
    <tableColumn name="Column1" id="1"/>
    <tableColumn name="Column2" id="2"/>
  </tableColumns>
  <tableStyleInfo name="Sulawesi Tenggara-style" showColumnStripes="0" showFirstColumn="1" showLastColumn="1" showRowStripes="1"/>
</table>
</file>

<file path=xl/tables/table37.xml><?xml version="1.0" encoding="utf-8"?>
<table xmlns="http://schemas.openxmlformats.org/spreadsheetml/2006/main" headerRowCount="0" ref="D37:G37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Sumatera Barat-style" showColumnStripes="0" showFirstColumn="1" showLastColumn="1" showRowStripes="1"/>
</table>
</file>

<file path=xl/tables/table38.xml><?xml version="1.0" encoding="utf-8"?>
<table xmlns="http://schemas.openxmlformats.org/spreadsheetml/2006/main" headerRowCount="0" ref="H37:J37" displayName="Table_38" name="Table_38" id="38">
  <tableColumns count="3">
    <tableColumn name="Column1" id="1"/>
    <tableColumn name="Column2" id="2"/>
    <tableColumn name="Column3" id="3"/>
  </tableColumns>
  <tableStyleInfo name="Sumatera Barat-style 2" showColumnStripes="0" showFirstColumn="1" showLastColumn="1" showRowStripes="1"/>
</table>
</file>

<file path=xl/tables/table39.xml><?xml version="1.0" encoding="utf-8"?>
<table xmlns="http://schemas.openxmlformats.org/spreadsheetml/2006/main" headerRowCount="0" ref="D38:G38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Sumatera Barat-style 3" showColumnStripes="0" showFirstColumn="1" showLastColumn="1" showRowStripes="1"/>
</table>
</file>

<file path=xl/tables/table40.xml><?xml version="1.0" encoding="utf-8"?>
<table xmlns="http://schemas.openxmlformats.org/spreadsheetml/2006/main" headerRowCount="0" ref="H38:J38" displayName="Table_40" name="Table_40" id="40">
  <tableColumns count="3">
    <tableColumn name="Column1" id="1"/>
    <tableColumn name="Column2" id="2"/>
    <tableColumn name="Column3" id="3"/>
  </tableColumns>
  <tableStyleInfo name="Sumatera Barat-style 4" showColumnStripes="0" showFirstColumn="1" showLastColumn="1" showRowStripes="1"/>
</table>
</file>

<file path=xl/tables/table41.xml><?xml version="1.0" encoding="utf-8"?>
<table xmlns="http://schemas.openxmlformats.org/spreadsheetml/2006/main" headerRowCount="0" ref="H34:J34" displayName="Table_41" name="Table_41" id="41">
  <tableColumns count="3">
    <tableColumn name="Column1" id="1"/>
    <tableColumn name="Column2" id="2"/>
    <tableColumn name="Column3" id="3"/>
  </tableColumns>
  <tableStyleInfo name="Sumatera Selatan-style" showColumnStripes="0" showFirstColumn="1" showLastColumn="1" showRowStripes="1"/>
</table>
</file>

<file path=xl/tables/table42.xml><?xml version="1.0" encoding="utf-8"?>
<table xmlns="http://schemas.openxmlformats.org/spreadsheetml/2006/main" headerRowCount="0" ref="D207:I207" displayName="Table_42" name="Table_42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umatera Utara-style" showColumnStripes="0" showFirstColumn="1" showLastColumn="1" showRowStripes="1"/>
</table>
</file>

<file path=xl/tables/table43.xml><?xml version="1.0" encoding="utf-8"?>
<table xmlns="http://schemas.openxmlformats.org/spreadsheetml/2006/main" headerRowCount="0" ref="D208:J208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matera Utar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elmankardinal@gmail.com" TargetMode="External"/><Relationship Id="rId3" Type="http://schemas.openxmlformats.org/officeDocument/2006/relationships/hyperlink" Target="mailto:selmankardinal@gmail.com" TargetMode="External"/><Relationship Id="rId4" Type="http://schemas.openxmlformats.org/officeDocument/2006/relationships/hyperlink" Target="http://sakilo.af/Sakilo.AF" TargetMode="External"/><Relationship Id="rId11" Type="http://schemas.openxmlformats.org/officeDocument/2006/relationships/table" Target="../tables/table7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4" Type="http://schemas.openxmlformats.org/officeDocument/2006/relationships/table" Target="../tables/table10.xm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cucisikat.id" TargetMode="External"/><Relationship Id="rId2" Type="http://schemas.openxmlformats.org/officeDocument/2006/relationships/hyperlink" Target="mailto:soekaerjtw@gmail.com" TargetMode="External"/><Relationship Id="rId3" Type="http://schemas.openxmlformats.org/officeDocument/2006/relationships/hyperlink" Target="http://cucisikat.id/Laundry" TargetMode="External"/><Relationship Id="rId4" Type="http://schemas.openxmlformats.org/officeDocument/2006/relationships/drawing" Target="../drawings/drawing11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12" Type="http://schemas.openxmlformats.org/officeDocument/2006/relationships/table" Target="../tables/table16.xml"/><Relationship Id="rId9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ash.co" TargetMode="External"/><Relationship Id="rId2" Type="http://schemas.openxmlformats.org/officeDocument/2006/relationships/drawing" Target="../drawings/drawing12.xml"/><Relationship Id="rId10" Type="http://schemas.openxmlformats.org/officeDocument/2006/relationships/table" Target="../tables/table20.xml"/><Relationship Id="rId9" Type="http://schemas.openxmlformats.org/officeDocument/2006/relationships/table" Target="../tables/table19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T1UUDx4snf2VtTd6" TargetMode="External"/><Relationship Id="rId2" Type="http://schemas.openxmlformats.org/officeDocument/2006/relationships/hyperlink" Target="https://maps.app.goo.gl/4T1UUDx4snf2VtTd6" TargetMode="External"/><Relationship Id="rId3" Type="http://schemas.openxmlformats.org/officeDocument/2006/relationships/drawing" Target="../drawings/drawing13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setrika.in/" TargetMode="External"/><Relationship Id="rId2" Type="http://schemas.openxmlformats.org/officeDocument/2006/relationships/drawing" Target="../drawings/drawing20.xml"/><Relationship Id="rId5" Type="http://schemas.openxmlformats.org/officeDocument/2006/relationships/table" Target="../tables/table28.xml"/><Relationship Id="rId6" Type="http://schemas.openxmlformats.org/officeDocument/2006/relationships/table" Target="../tables/table2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9" Type="http://schemas.openxmlformats.org/officeDocument/2006/relationships/table" Target="../tables/table35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Relationship Id="rId8" Type="http://schemas.openxmlformats.org/officeDocument/2006/relationships/table" Target="../tables/table3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9" Type="http://schemas.openxmlformats.org/officeDocument/2006/relationships/table" Target="../tables/table40.xml"/><Relationship Id="rId6" Type="http://schemas.openxmlformats.org/officeDocument/2006/relationships/table" Target="../tables/table37.xml"/><Relationship Id="rId7" Type="http://schemas.openxmlformats.org/officeDocument/2006/relationships/table" Target="../tables/table38.xml"/><Relationship Id="rId8" Type="http://schemas.openxmlformats.org/officeDocument/2006/relationships/table" Target="../tables/table39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41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4" Type="http://schemas.openxmlformats.org/officeDocument/2006/relationships/table" Target="../tables/table42.xml"/><Relationship Id="rId5" Type="http://schemas.openxmlformats.org/officeDocument/2006/relationships/table" Target="../tables/table43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9.14"/>
    <col customWidth="1" min="2" max="2" width="37.57"/>
    <col customWidth="1" hidden="1" min="3" max="67" width="12.0"/>
    <col customWidth="1" min="68" max="69" width="12.0"/>
  </cols>
  <sheetData>
    <row r="1" ht="25.5" customHeight="1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/>
      <c r="AZ1" s="2"/>
      <c r="BA1" s="2"/>
      <c r="BB1" s="2"/>
      <c r="BC1" s="2"/>
      <c r="BD1" s="2"/>
      <c r="BE1" s="2"/>
      <c r="BF1" s="2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6.25" customHeight="1">
      <c r="A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/>
      <c r="AZ2" s="2"/>
      <c r="BA2" s="2"/>
      <c r="BB2" s="2"/>
      <c r="BC2" s="2"/>
      <c r="BD2" s="2"/>
      <c r="BE2" s="2"/>
      <c r="BF2" s="2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6.25" customHeight="1">
      <c r="A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"/>
      <c r="AZ3" s="2"/>
      <c r="BA3" s="2"/>
      <c r="BB3" s="2"/>
      <c r="BC3" s="2"/>
      <c r="BD3" s="2"/>
      <c r="BE3" s="2"/>
      <c r="BF3" s="2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4.0" customHeight="1">
      <c r="A4" s="4"/>
      <c r="B4" s="5"/>
      <c r="C4" s="5"/>
      <c r="D4" s="5"/>
      <c r="E4" s="5"/>
      <c r="F4" s="5"/>
      <c r="G4" s="5"/>
      <c r="H4" s="5"/>
      <c r="I4" s="5">
        <v>2021.0</v>
      </c>
      <c r="U4" s="5">
        <v>2022.0</v>
      </c>
      <c r="AG4" s="5">
        <v>2023.0</v>
      </c>
      <c r="AS4" s="5">
        <v>2024.0</v>
      </c>
      <c r="BE4" s="5">
        <v>2025.0</v>
      </c>
      <c r="BQ4" s="6">
        <v>2026.0</v>
      </c>
    </row>
    <row r="5" ht="27.75" customHeight="1">
      <c r="A5" s="7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11</v>
      </c>
      <c r="V5" s="8" t="s">
        <v>12</v>
      </c>
      <c r="W5" s="8" t="s">
        <v>13</v>
      </c>
      <c r="X5" s="8" t="s">
        <v>14</v>
      </c>
      <c r="Y5" s="8" t="s">
        <v>15</v>
      </c>
      <c r="Z5" s="8" t="s">
        <v>16</v>
      </c>
      <c r="AA5" s="8" t="s">
        <v>17</v>
      </c>
      <c r="AB5" s="8" t="s">
        <v>18</v>
      </c>
      <c r="AC5" s="8" t="s">
        <v>19</v>
      </c>
      <c r="AD5" s="8" t="s">
        <v>20</v>
      </c>
      <c r="AE5" s="8" t="s">
        <v>21</v>
      </c>
      <c r="AF5" s="8" t="s">
        <v>22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17</v>
      </c>
      <c r="AN5" s="8" t="s">
        <v>18</v>
      </c>
      <c r="AO5" s="8" t="s">
        <v>19</v>
      </c>
      <c r="AP5" s="8" t="s">
        <v>20</v>
      </c>
      <c r="AQ5" s="8" t="s">
        <v>21</v>
      </c>
      <c r="AR5" s="8" t="s">
        <v>22</v>
      </c>
      <c r="AS5" s="8" t="s">
        <v>11</v>
      </c>
      <c r="AT5" s="8" t="s">
        <v>12</v>
      </c>
      <c r="AU5" s="8" t="s">
        <v>13</v>
      </c>
      <c r="AV5" s="8" t="s">
        <v>14</v>
      </c>
      <c r="AW5" s="8" t="s">
        <v>15</v>
      </c>
      <c r="AX5" s="8" t="s">
        <v>16</v>
      </c>
      <c r="AY5" s="8" t="s">
        <v>17</v>
      </c>
      <c r="AZ5" s="8" t="s">
        <v>18</v>
      </c>
      <c r="BA5" s="8" t="s">
        <v>19</v>
      </c>
      <c r="BB5" s="8" t="s">
        <v>20</v>
      </c>
      <c r="BC5" s="8" t="s">
        <v>21</v>
      </c>
      <c r="BD5" s="8" t="s">
        <v>22</v>
      </c>
      <c r="BE5" s="8" t="s">
        <v>11</v>
      </c>
      <c r="BF5" s="8" t="s">
        <v>12</v>
      </c>
      <c r="BG5" s="8" t="s">
        <v>13</v>
      </c>
      <c r="BH5" s="8" t="s">
        <v>14</v>
      </c>
      <c r="BI5" s="8" t="s">
        <v>15</v>
      </c>
      <c r="BJ5" s="8" t="s">
        <v>16</v>
      </c>
      <c r="BK5" s="8" t="s">
        <v>17</v>
      </c>
      <c r="BL5" s="8" t="s">
        <v>18</v>
      </c>
      <c r="BM5" s="8" t="s">
        <v>19</v>
      </c>
      <c r="BN5" s="8" t="s">
        <v>20</v>
      </c>
      <c r="BO5" s="8" t="s">
        <v>21</v>
      </c>
      <c r="BP5" s="8" t="s">
        <v>22</v>
      </c>
      <c r="BQ5" s="9" t="s">
        <v>23</v>
      </c>
      <c r="BR5" s="10" t="s">
        <v>12</v>
      </c>
      <c r="BS5" s="10" t="s">
        <v>13</v>
      </c>
      <c r="BT5" s="10" t="s">
        <v>14</v>
      </c>
      <c r="BU5" s="11" t="s">
        <v>15</v>
      </c>
      <c r="BV5" s="10" t="s">
        <v>16</v>
      </c>
      <c r="BW5" s="10" t="s">
        <v>17</v>
      </c>
      <c r="BX5" s="10" t="s">
        <v>18</v>
      </c>
      <c r="BY5" s="10" t="s">
        <v>19</v>
      </c>
    </row>
    <row r="6" ht="26.25" customHeight="1">
      <c r="A6" s="12" t="s">
        <v>24</v>
      </c>
      <c r="B6" s="13" t="s">
        <v>25</v>
      </c>
      <c r="C6" s="14">
        <f t="shared" ref="C6:C43" si="2">sum(I6:T6)</f>
        <v>4</v>
      </c>
      <c r="D6" s="14">
        <f t="shared" ref="D6:D43" si="3">sum(U6:AF6)</f>
        <v>8</v>
      </c>
      <c r="E6" s="14">
        <f t="shared" ref="E6:E43" si="4">sum(AG6:AR6)</f>
        <v>7</v>
      </c>
      <c r="F6" s="14">
        <f t="shared" ref="F6:F43" si="5">SUM(AS6:BD6)</f>
        <v>8</v>
      </c>
      <c r="G6" s="15">
        <f t="shared" ref="G6:G43" si="6">sum(BE6:BP6)</f>
        <v>0</v>
      </c>
      <c r="H6" s="16">
        <f>Aceh!$H$33</f>
        <v>27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7">
        <v>1.0</v>
      </c>
      <c r="P6" s="17">
        <v>1.0</v>
      </c>
      <c r="Q6" s="17">
        <v>0.0</v>
      </c>
      <c r="R6" s="17">
        <v>1.0</v>
      </c>
      <c r="S6" s="17">
        <v>0.0</v>
      </c>
      <c r="T6" s="17">
        <v>1.0</v>
      </c>
      <c r="U6" s="17">
        <v>1.0</v>
      </c>
      <c r="V6" s="17">
        <v>1.0</v>
      </c>
      <c r="W6" s="17">
        <v>0.0</v>
      </c>
      <c r="X6" s="17">
        <v>0.0</v>
      </c>
      <c r="Y6" s="17">
        <v>0.0</v>
      </c>
      <c r="Z6" s="17">
        <v>2.0</v>
      </c>
      <c r="AA6" s="17">
        <v>0.0</v>
      </c>
      <c r="AB6" s="17">
        <v>1.0</v>
      </c>
      <c r="AC6" s="17">
        <v>1.0</v>
      </c>
      <c r="AD6" s="17">
        <v>0.0</v>
      </c>
      <c r="AE6" s="17">
        <v>2.0</v>
      </c>
      <c r="AF6" s="17">
        <v>0.0</v>
      </c>
      <c r="AG6" s="17">
        <v>0.0</v>
      </c>
      <c r="AH6" s="17">
        <v>0.0</v>
      </c>
      <c r="AI6" s="17">
        <v>0.0</v>
      </c>
      <c r="AJ6" s="17">
        <v>1.0</v>
      </c>
      <c r="AK6" s="17">
        <v>1.0</v>
      </c>
      <c r="AL6" s="17">
        <v>1.0</v>
      </c>
      <c r="AM6" s="17">
        <v>0.0</v>
      </c>
      <c r="AN6" s="17">
        <v>0.0</v>
      </c>
      <c r="AO6" s="17">
        <v>0.0</v>
      </c>
      <c r="AP6" s="17">
        <v>0.0</v>
      </c>
      <c r="AQ6" s="17">
        <v>1.0</v>
      </c>
      <c r="AR6" s="17">
        <v>3.0</v>
      </c>
      <c r="AS6" s="17">
        <v>2.0</v>
      </c>
      <c r="AT6" s="17">
        <v>0.0</v>
      </c>
      <c r="AU6" s="17">
        <v>2.0</v>
      </c>
      <c r="AV6" s="17">
        <v>0.0</v>
      </c>
      <c r="AW6" s="17">
        <v>1.0</v>
      </c>
      <c r="AX6" s="17">
        <v>0.0</v>
      </c>
      <c r="AY6" s="17">
        <f t="shared" ref="AY6:AZ6" si="1">COUNTA(#REF!)</f>
        <v>1</v>
      </c>
      <c r="AZ6" s="17">
        <f t="shared" si="1"/>
        <v>1</v>
      </c>
      <c r="BA6" s="17">
        <v>1.0</v>
      </c>
      <c r="BB6" s="17">
        <v>0.0</v>
      </c>
      <c r="BC6" s="17">
        <v>0.0</v>
      </c>
      <c r="BD6" s="17">
        <v>0.0</v>
      </c>
      <c r="BE6" s="17">
        <v>0.0</v>
      </c>
      <c r="BF6" s="15">
        <v>0.0</v>
      </c>
      <c r="BG6" s="17">
        <v>0.0</v>
      </c>
      <c r="BH6" s="17">
        <v>0.0</v>
      </c>
      <c r="BI6" s="17">
        <v>0.0</v>
      </c>
      <c r="BJ6" s="17">
        <v>0.0</v>
      </c>
      <c r="BK6" s="17">
        <v>0.0</v>
      </c>
      <c r="BL6" s="17">
        <v>0.0</v>
      </c>
      <c r="BM6" s="17">
        <v>0.0</v>
      </c>
      <c r="BN6" s="15">
        <v>0.0</v>
      </c>
      <c r="BO6" s="17">
        <v>0.0</v>
      </c>
      <c r="BP6" s="17">
        <v>0.0</v>
      </c>
      <c r="BQ6" s="17">
        <v>0.0</v>
      </c>
      <c r="BR6" s="17">
        <v>0.0</v>
      </c>
      <c r="BS6" s="17">
        <v>0.0</v>
      </c>
      <c r="BT6" s="17">
        <v>0.0</v>
      </c>
      <c r="BU6" s="17">
        <v>0.0</v>
      </c>
      <c r="BV6" s="17">
        <v>0.0</v>
      </c>
    </row>
    <row r="7" ht="26.25" customHeight="1">
      <c r="A7" s="12">
        <f t="shared" ref="A7:A43" si="7">A6+1</f>
        <v>2</v>
      </c>
      <c r="B7" s="13" t="s">
        <v>26</v>
      </c>
      <c r="C7" s="14">
        <f t="shared" si="2"/>
        <v>12</v>
      </c>
      <c r="D7" s="14">
        <f t="shared" si="3"/>
        <v>23</v>
      </c>
      <c r="E7" s="14">
        <f t="shared" si="4"/>
        <v>53</v>
      </c>
      <c r="F7" s="14">
        <f t="shared" si="5"/>
        <v>52</v>
      </c>
      <c r="G7" s="14">
        <f t="shared" si="6"/>
        <v>51</v>
      </c>
      <c r="H7" s="16">
        <f>'Sumatera Utara'!$H$210</f>
        <v>200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1.0</v>
      </c>
      <c r="O7" s="17">
        <v>0.0</v>
      </c>
      <c r="P7" s="17">
        <v>0.0</v>
      </c>
      <c r="Q7" s="17">
        <v>4.0</v>
      </c>
      <c r="R7" s="17">
        <v>2.0</v>
      </c>
      <c r="S7" s="17">
        <v>1.0</v>
      </c>
      <c r="T7" s="17">
        <v>4.0</v>
      </c>
      <c r="U7" s="17">
        <v>1.0</v>
      </c>
      <c r="V7" s="17">
        <v>2.0</v>
      </c>
      <c r="W7" s="17">
        <v>0.0</v>
      </c>
      <c r="X7" s="17">
        <v>1.0</v>
      </c>
      <c r="Y7" s="17">
        <v>3.0</v>
      </c>
      <c r="Z7" s="17">
        <v>1.0</v>
      </c>
      <c r="AA7" s="17">
        <v>3.0</v>
      </c>
      <c r="AB7" s="17">
        <v>3.0</v>
      </c>
      <c r="AC7" s="17">
        <v>0.0</v>
      </c>
      <c r="AD7" s="17">
        <v>2.0</v>
      </c>
      <c r="AE7" s="17">
        <v>3.0</v>
      </c>
      <c r="AF7" s="17">
        <v>4.0</v>
      </c>
      <c r="AG7" s="17">
        <v>2.0</v>
      </c>
      <c r="AH7" s="17">
        <v>4.0</v>
      </c>
      <c r="AI7" s="17">
        <v>3.0</v>
      </c>
      <c r="AJ7" s="17">
        <v>1.0</v>
      </c>
      <c r="AK7" s="17">
        <v>7.0</v>
      </c>
      <c r="AL7" s="17">
        <v>7.0</v>
      </c>
      <c r="AM7" s="17">
        <v>5.0</v>
      </c>
      <c r="AN7" s="17">
        <v>5.0</v>
      </c>
      <c r="AO7" s="17">
        <v>5.0</v>
      </c>
      <c r="AP7" s="17">
        <v>5.0</v>
      </c>
      <c r="AQ7" s="17">
        <v>4.0</v>
      </c>
      <c r="AR7" s="17">
        <v>5.0</v>
      </c>
      <c r="AS7" s="17">
        <v>6.0</v>
      </c>
      <c r="AT7" s="17">
        <v>6.0</v>
      </c>
      <c r="AU7" s="17">
        <v>7.0</v>
      </c>
      <c r="AV7" s="17">
        <v>4.0</v>
      </c>
      <c r="AW7" s="17">
        <v>5.0</v>
      </c>
      <c r="AX7" s="17">
        <v>5.0</v>
      </c>
      <c r="AY7" s="17">
        <f>COUNTA('Sumatera Utara'!C126:C128)</f>
        <v>3</v>
      </c>
      <c r="AZ7" s="17">
        <v>2.0</v>
      </c>
      <c r="BA7" s="17">
        <v>2.0</v>
      </c>
      <c r="BB7" s="17">
        <v>1.0</v>
      </c>
      <c r="BC7" s="17">
        <v>4.0</v>
      </c>
      <c r="BD7" s="17">
        <v>7.0</v>
      </c>
      <c r="BE7" s="14">
        <v>6.0</v>
      </c>
      <c r="BF7" s="14">
        <v>5.0</v>
      </c>
      <c r="BG7" s="14">
        <v>6.0</v>
      </c>
      <c r="BH7" s="14">
        <v>1.0</v>
      </c>
      <c r="BI7" s="14">
        <v>6.0</v>
      </c>
      <c r="BJ7" s="14">
        <v>4.0</v>
      </c>
      <c r="BK7" s="14">
        <v>4.0</v>
      </c>
      <c r="BL7" s="14">
        <v>5.0</v>
      </c>
      <c r="BM7" s="14">
        <v>4.0</v>
      </c>
      <c r="BN7" s="14">
        <v>7.0</v>
      </c>
      <c r="BO7" s="14">
        <v>2.0</v>
      </c>
      <c r="BP7" s="14">
        <v>1.0</v>
      </c>
      <c r="BQ7" s="18">
        <v>4.0</v>
      </c>
      <c r="BR7" s="17">
        <v>0.0</v>
      </c>
      <c r="BS7" s="19">
        <v>2.0</v>
      </c>
      <c r="BT7" s="18">
        <v>4.0</v>
      </c>
      <c r="BU7" s="17">
        <v>0.0</v>
      </c>
      <c r="BV7" s="18">
        <v>3.0</v>
      </c>
    </row>
    <row r="8" ht="26.25" customHeight="1">
      <c r="A8" s="12">
        <f t="shared" si="7"/>
        <v>3</v>
      </c>
      <c r="B8" s="13" t="s">
        <v>27</v>
      </c>
      <c r="C8" s="14">
        <f t="shared" si="2"/>
        <v>5</v>
      </c>
      <c r="D8" s="14">
        <f t="shared" si="3"/>
        <v>11</v>
      </c>
      <c r="E8" s="14">
        <f t="shared" si="4"/>
        <v>2</v>
      </c>
      <c r="F8" s="14">
        <f t="shared" si="5"/>
        <v>5</v>
      </c>
      <c r="G8" s="14">
        <f t="shared" si="6"/>
        <v>5</v>
      </c>
      <c r="H8" s="16">
        <f>'Sumatera Selatan'!$H$36</f>
        <v>30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7">
        <v>2.0</v>
      </c>
      <c r="O8" s="17">
        <v>0.0</v>
      </c>
      <c r="P8" s="17">
        <v>0.0</v>
      </c>
      <c r="Q8" s="17">
        <v>1.0</v>
      </c>
      <c r="R8" s="17">
        <v>1.0</v>
      </c>
      <c r="S8" s="17">
        <v>0.0</v>
      </c>
      <c r="T8" s="17">
        <v>1.0</v>
      </c>
      <c r="U8" s="17">
        <v>2.0</v>
      </c>
      <c r="V8" s="17">
        <v>1.0</v>
      </c>
      <c r="W8" s="17">
        <v>1.0</v>
      </c>
      <c r="X8" s="17">
        <v>3.0</v>
      </c>
      <c r="Y8" s="17">
        <v>0.0</v>
      </c>
      <c r="Z8" s="17">
        <v>0.0</v>
      </c>
      <c r="AA8" s="17">
        <v>1.0</v>
      </c>
      <c r="AB8" s="17">
        <v>0.0</v>
      </c>
      <c r="AC8" s="17">
        <v>2.0</v>
      </c>
      <c r="AD8" s="17">
        <v>0.0</v>
      </c>
      <c r="AE8" s="17">
        <v>0.0</v>
      </c>
      <c r="AF8" s="17">
        <v>1.0</v>
      </c>
      <c r="AG8" s="17">
        <v>0.0</v>
      </c>
      <c r="AH8" s="17">
        <v>2.0</v>
      </c>
      <c r="AI8" s="17">
        <v>0.0</v>
      </c>
      <c r="AJ8" s="17">
        <v>0.0</v>
      </c>
      <c r="AK8" s="17">
        <v>0.0</v>
      </c>
      <c r="AL8" s="17">
        <v>0.0</v>
      </c>
      <c r="AM8" s="17">
        <v>0.0</v>
      </c>
      <c r="AN8" s="17">
        <v>0.0</v>
      </c>
      <c r="AO8" s="17">
        <v>0.0</v>
      </c>
      <c r="AP8" s="17">
        <v>0.0</v>
      </c>
      <c r="AQ8" s="17">
        <v>0.0</v>
      </c>
      <c r="AR8" s="17">
        <v>0.0</v>
      </c>
      <c r="AS8" s="17">
        <v>0.0</v>
      </c>
      <c r="AT8" s="17">
        <v>2.0</v>
      </c>
      <c r="AU8" s="17">
        <v>0.0</v>
      </c>
      <c r="AV8" s="17">
        <v>0.0</v>
      </c>
      <c r="AW8" s="17">
        <v>0.0</v>
      </c>
      <c r="AX8" s="17">
        <v>1.0</v>
      </c>
      <c r="AY8" s="17">
        <v>0.0</v>
      </c>
      <c r="AZ8" s="17">
        <f>COUNTA(Aceh!D33)</f>
        <v>0</v>
      </c>
      <c r="BA8" s="17">
        <v>1.0</v>
      </c>
      <c r="BB8" s="17">
        <v>0.0</v>
      </c>
      <c r="BC8" s="17">
        <v>0.0</v>
      </c>
      <c r="BD8" s="17">
        <v>1.0</v>
      </c>
      <c r="BE8" s="14">
        <v>1.0</v>
      </c>
      <c r="BF8" s="14">
        <v>1.0</v>
      </c>
      <c r="BG8" s="17">
        <v>0.0</v>
      </c>
      <c r="BH8" s="14">
        <v>1.0</v>
      </c>
      <c r="BI8" s="17">
        <v>0.0</v>
      </c>
      <c r="BJ8" s="14">
        <v>0.0</v>
      </c>
      <c r="BK8" s="14">
        <v>1.0</v>
      </c>
      <c r="BL8" s="14">
        <v>0.0</v>
      </c>
      <c r="BM8" s="14">
        <v>1.0</v>
      </c>
      <c r="BN8" s="17">
        <v>0.0</v>
      </c>
      <c r="BO8" s="17">
        <v>0.0</v>
      </c>
      <c r="BP8" s="17">
        <v>0.0</v>
      </c>
      <c r="BQ8" s="17">
        <v>0.0</v>
      </c>
      <c r="BR8" s="20">
        <v>0.0</v>
      </c>
      <c r="BS8" s="17">
        <v>0.0</v>
      </c>
      <c r="BT8" s="17">
        <v>0.0</v>
      </c>
      <c r="BU8" s="17">
        <v>0.0</v>
      </c>
      <c r="BV8" s="17">
        <v>0.0</v>
      </c>
    </row>
    <row r="9" ht="26.25" customHeight="1">
      <c r="A9" s="12">
        <f t="shared" si="7"/>
        <v>4</v>
      </c>
      <c r="B9" s="13" t="s">
        <v>28</v>
      </c>
      <c r="C9" s="14">
        <f t="shared" si="2"/>
        <v>6</v>
      </c>
      <c r="D9" s="14">
        <f t="shared" si="3"/>
        <v>9</v>
      </c>
      <c r="E9" s="14">
        <f t="shared" si="4"/>
        <v>7</v>
      </c>
      <c r="F9" s="14">
        <f t="shared" si="5"/>
        <v>6</v>
      </c>
      <c r="G9" s="14">
        <f t="shared" si="6"/>
        <v>2</v>
      </c>
      <c r="H9" s="16">
        <f>'Sumatera Barat'!$H$40</f>
        <v>35</v>
      </c>
      <c r="I9" s="17">
        <v>0.0</v>
      </c>
      <c r="J9" s="17">
        <v>0.0</v>
      </c>
      <c r="K9" s="17">
        <v>0.0</v>
      </c>
      <c r="L9" s="17">
        <v>0.0</v>
      </c>
      <c r="M9" s="17">
        <v>1.0</v>
      </c>
      <c r="N9" s="17">
        <v>0.0</v>
      </c>
      <c r="O9" s="17">
        <v>1.0</v>
      </c>
      <c r="P9" s="17">
        <v>2.0</v>
      </c>
      <c r="Q9" s="17">
        <v>0.0</v>
      </c>
      <c r="R9" s="17">
        <v>0.0</v>
      </c>
      <c r="S9" s="17">
        <v>0.0</v>
      </c>
      <c r="T9" s="17">
        <v>2.0</v>
      </c>
      <c r="U9" s="17">
        <v>2.0</v>
      </c>
      <c r="V9" s="17">
        <v>0.0</v>
      </c>
      <c r="W9" s="17">
        <v>0.0</v>
      </c>
      <c r="X9" s="17">
        <v>1.0</v>
      </c>
      <c r="Y9" s="17">
        <v>1.0</v>
      </c>
      <c r="Z9" s="17">
        <v>2.0</v>
      </c>
      <c r="AA9" s="17">
        <v>0.0</v>
      </c>
      <c r="AB9" s="17">
        <v>0.0</v>
      </c>
      <c r="AC9" s="17">
        <v>0.0</v>
      </c>
      <c r="AD9" s="17">
        <v>0.0</v>
      </c>
      <c r="AE9" s="17">
        <v>1.0</v>
      </c>
      <c r="AF9" s="17">
        <v>2.0</v>
      </c>
      <c r="AG9" s="17">
        <v>1.0</v>
      </c>
      <c r="AH9" s="17">
        <v>0.0</v>
      </c>
      <c r="AI9" s="17">
        <v>0.0</v>
      </c>
      <c r="AJ9" s="17">
        <v>0.0</v>
      </c>
      <c r="AK9" s="17">
        <v>2.0</v>
      </c>
      <c r="AL9" s="17">
        <v>1.0</v>
      </c>
      <c r="AM9" s="17">
        <v>0.0</v>
      </c>
      <c r="AN9" s="17">
        <v>0.0</v>
      </c>
      <c r="AO9" s="17">
        <v>0.0</v>
      </c>
      <c r="AP9" s="17">
        <v>2.0</v>
      </c>
      <c r="AQ9" s="17">
        <v>1.0</v>
      </c>
      <c r="AR9" s="17">
        <v>0.0</v>
      </c>
      <c r="AS9" s="17">
        <v>1.0</v>
      </c>
      <c r="AT9" s="17">
        <v>0.0</v>
      </c>
      <c r="AU9" s="17">
        <v>1.0</v>
      </c>
      <c r="AV9" s="17">
        <v>0.0</v>
      </c>
      <c r="AW9" s="17">
        <v>0.0</v>
      </c>
      <c r="AX9" s="17">
        <v>0.0</v>
      </c>
      <c r="AY9" s="17">
        <v>1.0</v>
      </c>
      <c r="AZ9" s="17">
        <v>2.0</v>
      </c>
      <c r="BA9" s="17">
        <v>1.0</v>
      </c>
      <c r="BB9" s="17">
        <v>0.0</v>
      </c>
      <c r="BC9" s="17">
        <v>0.0</v>
      </c>
      <c r="BD9" s="17">
        <v>0.0</v>
      </c>
      <c r="BE9" s="17">
        <v>0.0</v>
      </c>
      <c r="BF9" s="17">
        <v>0.0</v>
      </c>
      <c r="BG9" s="17">
        <v>0.0</v>
      </c>
      <c r="BH9" s="17">
        <v>0.0</v>
      </c>
      <c r="BI9" s="17">
        <v>0.0</v>
      </c>
      <c r="BJ9" s="17">
        <v>0.0</v>
      </c>
      <c r="BK9" s="14">
        <v>1.0</v>
      </c>
      <c r="BL9" s="17">
        <v>0.0</v>
      </c>
      <c r="BM9" s="17">
        <v>0.0</v>
      </c>
      <c r="BN9" s="14">
        <v>1.0</v>
      </c>
      <c r="BO9" s="17">
        <v>0.0</v>
      </c>
      <c r="BP9" s="17">
        <v>0.0</v>
      </c>
      <c r="BQ9" s="17">
        <v>0.0</v>
      </c>
      <c r="BR9" s="18">
        <v>2.0</v>
      </c>
      <c r="BS9" s="17">
        <v>0.0</v>
      </c>
      <c r="BT9" s="17">
        <v>0.0</v>
      </c>
      <c r="BU9" s="17">
        <v>0.0</v>
      </c>
      <c r="BV9" s="19">
        <v>2.0</v>
      </c>
    </row>
    <row r="10" ht="26.25" customHeight="1">
      <c r="A10" s="12">
        <f t="shared" si="7"/>
        <v>5</v>
      </c>
      <c r="B10" s="13" t="s">
        <v>29</v>
      </c>
      <c r="C10" s="14">
        <f t="shared" si="2"/>
        <v>1</v>
      </c>
      <c r="D10" s="17">
        <f t="shared" si="3"/>
        <v>0</v>
      </c>
      <c r="E10" s="14">
        <f t="shared" si="4"/>
        <v>1</v>
      </c>
      <c r="F10" s="17">
        <f t="shared" si="5"/>
        <v>0</v>
      </c>
      <c r="G10" s="15">
        <f t="shared" si="6"/>
        <v>0</v>
      </c>
      <c r="H10" s="16">
        <f>Bengkulu!$H$8</f>
        <v>2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7">
        <v>0.0</v>
      </c>
      <c r="O10" s="17">
        <v>0.0</v>
      </c>
      <c r="P10" s="17">
        <v>0.0</v>
      </c>
      <c r="Q10" s="17">
        <v>1.0</v>
      </c>
      <c r="R10" s="17">
        <v>0.0</v>
      </c>
      <c r="S10" s="17">
        <v>0.0</v>
      </c>
      <c r="T10" s="17">
        <v>0.0</v>
      </c>
      <c r="U10" s="17">
        <v>0.0</v>
      </c>
      <c r="V10" s="17">
        <v>0.0</v>
      </c>
      <c r="W10" s="17">
        <v>0.0</v>
      </c>
      <c r="X10" s="17">
        <v>0.0</v>
      </c>
      <c r="Y10" s="17">
        <v>0.0</v>
      </c>
      <c r="Z10" s="17">
        <v>0.0</v>
      </c>
      <c r="AA10" s="17">
        <v>0.0</v>
      </c>
      <c r="AB10" s="17">
        <v>0.0</v>
      </c>
      <c r="AC10" s="17">
        <v>0.0</v>
      </c>
      <c r="AD10" s="17">
        <v>0.0</v>
      </c>
      <c r="AE10" s="17">
        <v>0.0</v>
      </c>
      <c r="AF10" s="17">
        <v>0.0</v>
      </c>
      <c r="AG10" s="17">
        <v>0.0</v>
      </c>
      <c r="AH10" s="17">
        <v>0.0</v>
      </c>
      <c r="AI10" s="17">
        <v>0.0</v>
      </c>
      <c r="AJ10" s="17">
        <v>0.0</v>
      </c>
      <c r="AK10" s="17">
        <v>0.0</v>
      </c>
      <c r="AL10" s="17">
        <v>0.0</v>
      </c>
      <c r="AM10" s="17">
        <v>0.0</v>
      </c>
      <c r="AN10" s="17">
        <v>0.0</v>
      </c>
      <c r="AO10" s="17">
        <v>0.0</v>
      </c>
      <c r="AP10" s="17">
        <v>0.0</v>
      </c>
      <c r="AQ10" s="17">
        <v>1.0</v>
      </c>
      <c r="AR10" s="17">
        <v>0.0</v>
      </c>
      <c r="AS10" s="17">
        <v>0.0</v>
      </c>
      <c r="AT10" s="17">
        <v>0.0</v>
      </c>
      <c r="AU10" s="17">
        <v>0.0</v>
      </c>
      <c r="AV10" s="17">
        <v>0.0</v>
      </c>
      <c r="AW10" s="17">
        <v>0.0</v>
      </c>
      <c r="AX10" s="17">
        <v>0.0</v>
      </c>
      <c r="AY10" s="17">
        <v>0.0</v>
      </c>
      <c r="AZ10" s="17">
        <f>COUNTA(Aceh!D35)</f>
        <v>0</v>
      </c>
      <c r="BA10" s="17">
        <v>0.0</v>
      </c>
      <c r="BB10" s="17">
        <v>0.0</v>
      </c>
      <c r="BC10" s="17">
        <v>0.0</v>
      </c>
      <c r="BD10" s="17">
        <v>0.0</v>
      </c>
      <c r="BE10" s="17">
        <v>0.0</v>
      </c>
      <c r="BF10" s="17">
        <v>0.0</v>
      </c>
      <c r="BG10" s="17">
        <v>0.0</v>
      </c>
      <c r="BH10" s="17">
        <v>0.0</v>
      </c>
      <c r="BI10" s="17">
        <v>0.0</v>
      </c>
      <c r="BJ10" s="17">
        <v>0.0</v>
      </c>
      <c r="BK10" s="17">
        <v>0.0</v>
      </c>
      <c r="BL10" s="17">
        <v>0.0</v>
      </c>
      <c r="BN10" s="17">
        <v>0.0</v>
      </c>
      <c r="BO10" s="17">
        <v>0.0</v>
      </c>
      <c r="BP10" s="17">
        <v>0.0</v>
      </c>
      <c r="BQ10" s="17">
        <v>0.0</v>
      </c>
      <c r="BR10" s="20">
        <v>0.0</v>
      </c>
      <c r="BS10" s="17">
        <v>0.0</v>
      </c>
      <c r="BT10" s="17">
        <v>0.0</v>
      </c>
      <c r="BU10" s="17">
        <v>0.0</v>
      </c>
      <c r="BV10" s="17">
        <v>0.0</v>
      </c>
    </row>
    <row r="11" ht="26.25" customHeight="1">
      <c r="A11" s="12">
        <f t="shared" si="7"/>
        <v>6</v>
      </c>
      <c r="B11" s="13" t="s">
        <v>30</v>
      </c>
      <c r="C11" s="17">
        <f t="shared" si="2"/>
        <v>0</v>
      </c>
      <c r="D11" s="14">
        <f t="shared" si="3"/>
        <v>7</v>
      </c>
      <c r="E11" s="14">
        <f t="shared" si="4"/>
        <v>4</v>
      </c>
      <c r="F11" s="14">
        <f t="shared" si="5"/>
        <v>1</v>
      </c>
      <c r="G11" s="14">
        <f t="shared" si="6"/>
        <v>5</v>
      </c>
      <c r="H11" s="16">
        <f>Riau!$H$25</f>
        <v>20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17">
        <v>0.0</v>
      </c>
      <c r="T11" s="17">
        <v>0.0</v>
      </c>
      <c r="U11" s="17">
        <v>2.0</v>
      </c>
      <c r="V11" s="17">
        <v>1.0</v>
      </c>
      <c r="W11" s="17">
        <v>1.0</v>
      </c>
      <c r="X11" s="17">
        <v>2.0</v>
      </c>
      <c r="Y11" s="17">
        <v>0.0</v>
      </c>
      <c r="Z11" s="17">
        <v>1.0</v>
      </c>
      <c r="AA11" s="17">
        <v>0.0</v>
      </c>
      <c r="AB11" s="17">
        <v>0.0</v>
      </c>
      <c r="AC11" s="17">
        <v>0.0</v>
      </c>
      <c r="AD11" s="17">
        <v>0.0</v>
      </c>
      <c r="AE11" s="17">
        <v>0.0</v>
      </c>
      <c r="AF11" s="17">
        <v>0.0</v>
      </c>
      <c r="AG11" s="17">
        <v>0.0</v>
      </c>
      <c r="AH11" s="17">
        <v>1.0</v>
      </c>
      <c r="AI11" s="17">
        <v>0.0</v>
      </c>
      <c r="AJ11" s="17">
        <v>0.0</v>
      </c>
      <c r="AK11" s="17">
        <v>1.0</v>
      </c>
      <c r="AL11" s="17">
        <v>0.0</v>
      </c>
      <c r="AM11" s="17">
        <v>0.0</v>
      </c>
      <c r="AN11" s="17">
        <v>0.0</v>
      </c>
      <c r="AO11" s="17">
        <v>1.0</v>
      </c>
      <c r="AP11" s="17">
        <v>0.0</v>
      </c>
      <c r="AQ11" s="17">
        <v>0.0</v>
      </c>
      <c r="AR11" s="17">
        <v>1.0</v>
      </c>
      <c r="AS11" s="17">
        <v>0.0</v>
      </c>
      <c r="AT11" s="17">
        <v>0.0</v>
      </c>
      <c r="AU11" s="17">
        <v>0.0</v>
      </c>
      <c r="AV11" s="17">
        <v>0.0</v>
      </c>
      <c r="AW11" s="17">
        <v>0.0</v>
      </c>
      <c r="AX11" s="17">
        <v>0.0</v>
      </c>
      <c r="AY11" s="17">
        <v>0.0</v>
      </c>
      <c r="AZ11" s="17">
        <f>COUNTA(Aceh!D36)</f>
        <v>0</v>
      </c>
      <c r="BA11" s="17">
        <v>0.0</v>
      </c>
      <c r="BB11" s="17">
        <v>0.0</v>
      </c>
      <c r="BC11" s="17">
        <v>1.0</v>
      </c>
      <c r="BD11" s="17">
        <v>0.0</v>
      </c>
      <c r="BE11" s="14">
        <v>1.0</v>
      </c>
      <c r="BF11" s="14">
        <v>1.0</v>
      </c>
      <c r="BG11" s="17">
        <v>0.0</v>
      </c>
      <c r="BH11" s="17">
        <v>0.0</v>
      </c>
      <c r="BI11" s="14">
        <v>1.0</v>
      </c>
      <c r="BJ11" s="17">
        <v>0.0</v>
      </c>
      <c r="BK11" s="14">
        <v>1.0</v>
      </c>
      <c r="BL11" s="14">
        <v>1.0</v>
      </c>
      <c r="BM11" s="17">
        <v>0.0</v>
      </c>
      <c r="BN11" s="17">
        <v>0.0</v>
      </c>
      <c r="BO11" s="17">
        <v>0.0</v>
      </c>
      <c r="BP11" s="17">
        <v>0.0</v>
      </c>
      <c r="BQ11" s="18">
        <v>1.0</v>
      </c>
      <c r="BR11" s="20">
        <v>0.0</v>
      </c>
      <c r="BS11" s="17">
        <v>0.0</v>
      </c>
      <c r="BT11" s="14">
        <v>1.0</v>
      </c>
      <c r="BU11" s="17">
        <v>0.0</v>
      </c>
      <c r="BV11" s="17">
        <v>0.0</v>
      </c>
    </row>
    <row r="12" ht="26.25" customHeight="1">
      <c r="A12" s="12">
        <f t="shared" si="7"/>
        <v>7</v>
      </c>
      <c r="B12" s="13" t="s">
        <v>31</v>
      </c>
      <c r="C12" s="14">
        <f t="shared" si="2"/>
        <v>16</v>
      </c>
      <c r="D12" s="14">
        <f t="shared" si="3"/>
        <v>5</v>
      </c>
      <c r="E12" s="14">
        <f t="shared" si="4"/>
        <v>3</v>
      </c>
      <c r="F12" s="14">
        <f t="shared" si="5"/>
        <v>11</v>
      </c>
      <c r="G12" s="14">
        <f t="shared" si="6"/>
        <v>9</v>
      </c>
      <c r="H12" s="16">
        <f>'Kepulauan Riau '!$H$61</f>
        <v>51</v>
      </c>
      <c r="I12" s="17">
        <v>0.0</v>
      </c>
      <c r="J12" s="17">
        <v>0.0</v>
      </c>
      <c r="K12" s="17">
        <v>0.0</v>
      </c>
      <c r="L12" s="17">
        <v>0.0</v>
      </c>
      <c r="M12" s="17">
        <v>2.0</v>
      </c>
      <c r="N12" s="17">
        <v>3.0</v>
      </c>
      <c r="O12" s="17">
        <v>2.0</v>
      </c>
      <c r="P12" s="17">
        <v>2.0</v>
      </c>
      <c r="Q12" s="17">
        <v>3.0</v>
      </c>
      <c r="R12" s="17">
        <v>1.0</v>
      </c>
      <c r="S12" s="17">
        <v>0.0</v>
      </c>
      <c r="T12" s="17">
        <v>3.0</v>
      </c>
      <c r="U12" s="17">
        <v>0.0</v>
      </c>
      <c r="V12" s="17">
        <v>0.0</v>
      </c>
      <c r="W12" s="17">
        <v>0.0</v>
      </c>
      <c r="X12" s="17">
        <v>0.0</v>
      </c>
      <c r="Y12" s="17">
        <v>1.0</v>
      </c>
      <c r="Z12" s="17">
        <v>1.0</v>
      </c>
      <c r="AA12" s="17">
        <v>1.0</v>
      </c>
      <c r="AB12" s="17">
        <v>0.0</v>
      </c>
      <c r="AC12" s="17">
        <v>0.0</v>
      </c>
      <c r="AD12" s="17">
        <v>0.0</v>
      </c>
      <c r="AE12" s="17">
        <v>1.0</v>
      </c>
      <c r="AF12" s="17">
        <v>1.0</v>
      </c>
      <c r="AG12" s="17">
        <v>1.0</v>
      </c>
      <c r="AH12" s="17">
        <v>0.0</v>
      </c>
      <c r="AI12" s="17">
        <v>0.0</v>
      </c>
      <c r="AJ12" s="17">
        <v>1.0</v>
      </c>
      <c r="AK12" s="17">
        <v>0.0</v>
      </c>
      <c r="AL12" s="17">
        <v>0.0</v>
      </c>
      <c r="AM12" s="17">
        <v>0.0</v>
      </c>
      <c r="AN12" s="17">
        <v>0.0</v>
      </c>
      <c r="AO12" s="17">
        <v>0.0</v>
      </c>
      <c r="AP12" s="17">
        <v>0.0</v>
      </c>
      <c r="AQ12" s="17">
        <v>1.0</v>
      </c>
      <c r="AR12" s="17">
        <v>0.0</v>
      </c>
      <c r="AS12" s="17">
        <v>2.0</v>
      </c>
      <c r="AT12" s="17">
        <v>1.0</v>
      </c>
      <c r="AU12" s="17">
        <v>1.0</v>
      </c>
      <c r="AV12" s="17">
        <v>0.0</v>
      </c>
      <c r="AW12" s="17">
        <v>1.0</v>
      </c>
      <c r="AX12" s="17">
        <v>1.0</v>
      </c>
      <c r="AY12" s="17">
        <v>3.0</v>
      </c>
      <c r="AZ12" s="17">
        <f>COUNTA(Aceh!D37)</f>
        <v>0</v>
      </c>
      <c r="BA12" s="17">
        <v>1.0</v>
      </c>
      <c r="BB12" s="17">
        <v>1.0</v>
      </c>
      <c r="BC12" s="17">
        <v>0.0</v>
      </c>
      <c r="BD12" s="17">
        <v>0.0</v>
      </c>
      <c r="BE12" s="14">
        <v>1.0</v>
      </c>
      <c r="BF12" s="14">
        <v>1.0</v>
      </c>
      <c r="BG12" s="14">
        <v>1.0</v>
      </c>
      <c r="BH12" s="14">
        <v>1.0</v>
      </c>
      <c r="BI12" s="14">
        <v>1.0</v>
      </c>
      <c r="BJ12" s="14">
        <v>1.0</v>
      </c>
      <c r="BK12" s="14">
        <v>1.0</v>
      </c>
      <c r="BL12" s="17">
        <v>0.0</v>
      </c>
      <c r="BM12" s="17">
        <v>0.0</v>
      </c>
      <c r="BN12" s="14">
        <v>1.0</v>
      </c>
      <c r="BO12" s="17">
        <v>0.0</v>
      </c>
      <c r="BP12" s="14">
        <v>1.0</v>
      </c>
      <c r="BQ12" s="18">
        <v>3.0</v>
      </c>
      <c r="BR12" s="18">
        <v>4.0</v>
      </c>
      <c r="BS12" s="19">
        <v>2.0</v>
      </c>
      <c r="BT12" s="17">
        <v>0.0</v>
      </c>
      <c r="BU12" s="21">
        <v>1.0</v>
      </c>
      <c r="BV12" s="17">
        <v>0.0</v>
      </c>
    </row>
    <row r="13" ht="26.25" customHeight="1">
      <c r="A13" s="12">
        <f t="shared" si="7"/>
        <v>8</v>
      </c>
      <c r="B13" s="13" t="s">
        <v>32</v>
      </c>
      <c r="C13" s="14">
        <f t="shared" si="2"/>
        <v>1</v>
      </c>
      <c r="D13" s="14">
        <f t="shared" si="3"/>
        <v>1</v>
      </c>
      <c r="E13" s="14">
        <f t="shared" si="4"/>
        <v>2</v>
      </c>
      <c r="F13" s="14">
        <f t="shared" si="5"/>
        <v>2</v>
      </c>
      <c r="G13" s="14">
        <f t="shared" si="6"/>
        <v>13</v>
      </c>
      <c r="H13" s="16">
        <f>Jambi!$H$28</f>
        <v>22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7">
        <v>1.0</v>
      </c>
      <c r="U13" s="17">
        <v>0.0</v>
      </c>
      <c r="V13" s="17">
        <v>0.0</v>
      </c>
      <c r="W13" s="17">
        <v>0.0</v>
      </c>
      <c r="X13" s="17">
        <v>1.0</v>
      </c>
      <c r="Y13" s="17">
        <v>0.0</v>
      </c>
      <c r="Z13" s="17">
        <v>0.0</v>
      </c>
      <c r="AA13" s="17">
        <v>0.0</v>
      </c>
      <c r="AB13" s="17">
        <v>0.0</v>
      </c>
      <c r="AC13" s="17">
        <v>0.0</v>
      </c>
      <c r="AD13" s="17">
        <v>0.0</v>
      </c>
      <c r="AE13" s="17">
        <v>0.0</v>
      </c>
      <c r="AF13" s="17">
        <v>0.0</v>
      </c>
      <c r="AG13" s="17">
        <v>0.0</v>
      </c>
      <c r="AH13" s="17">
        <v>0.0</v>
      </c>
      <c r="AI13" s="17">
        <v>0.0</v>
      </c>
      <c r="AJ13" s="17">
        <v>0.0</v>
      </c>
      <c r="AK13" s="17">
        <v>0.0</v>
      </c>
      <c r="AL13" s="17">
        <v>0.0</v>
      </c>
      <c r="AM13" s="17">
        <v>1.0</v>
      </c>
      <c r="AN13" s="17">
        <v>0.0</v>
      </c>
      <c r="AO13" s="17">
        <v>0.0</v>
      </c>
      <c r="AP13" s="17">
        <v>0.0</v>
      </c>
      <c r="AQ13" s="17">
        <v>0.0</v>
      </c>
      <c r="AR13" s="17">
        <v>1.0</v>
      </c>
      <c r="AS13" s="17">
        <v>0.0</v>
      </c>
      <c r="AT13" s="17">
        <v>0.0</v>
      </c>
      <c r="AU13" s="17">
        <v>0.0</v>
      </c>
      <c r="AV13" s="17">
        <v>0.0</v>
      </c>
      <c r="AW13" s="17">
        <v>0.0</v>
      </c>
      <c r="AX13" s="17">
        <v>0.0</v>
      </c>
      <c r="AY13" s="17">
        <v>0.0</v>
      </c>
      <c r="AZ13" s="17">
        <f>COUNTA(Aceh!D38)</f>
        <v>0</v>
      </c>
      <c r="BA13" s="17">
        <v>0.0</v>
      </c>
      <c r="BB13" s="17">
        <v>2.0</v>
      </c>
      <c r="BC13" s="17">
        <v>0.0</v>
      </c>
      <c r="BD13" s="17">
        <v>0.0</v>
      </c>
      <c r="BE13" s="14">
        <v>2.0</v>
      </c>
      <c r="BF13" s="14">
        <v>1.0</v>
      </c>
      <c r="BG13" s="17">
        <v>0.0</v>
      </c>
      <c r="BH13" s="14">
        <v>1.0</v>
      </c>
      <c r="BI13" s="14">
        <v>1.0</v>
      </c>
      <c r="BJ13" s="14">
        <v>0.0</v>
      </c>
      <c r="BK13" s="14">
        <v>1.0</v>
      </c>
      <c r="BL13" s="14">
        <v>5.0</v>
      </c>
      <c r="BM13" s="14">
        <v>1.0</v>
      </c>
      <c r="BN13" s="14">
        <v>1.0</v>
      </c>
      <c r="BO13" s="17">
        <v>0.0</v>
      </c>
      <c r="BP13" s="17">
        <v>0.0</v>
      </c>
      <c r="BQ13" s="17">
        <v>0.0</v>
      </c>
      <c r="BR13" s="20">
        <v>0.0</v>
      </c>
      <c r="BS13" s="17">
        <v>0.0</v>
      </c>
      <c r="BT13" s="17">
        <v>0.0</v>
      </c>
      <c r="BU13" s="19">
        <v>2.0</v>
      </c>
      <c r="BV13" s="14">
        <v>1.0</v>
      </c>
    </row>
    <row r="14" ht="26.25" customHeight="1">
      <c r="A14" s="12">
        <f t="shared" si="7"/>
        <v>9</v>
      </c>
      <c r="B14" s="13" t="s">
        <v>33</v>
      </c>
      <c r="C14" s="14">
        <f t="shared" si="2"/>
        <v>4</v>
      </c>
      <c r="D14" s="14">
        <f t="shared" si="3"/>
        <v>3</v>
      </c>
      <c r="E14" s="14">
        <f t="shared" si="4"/>
        <v>6</v>
      </c>
      <c r="F14" s="14">
        <f t="shared" si="5"/>
        <v>5</v>
      </c>
      <c r="G14" s="14">
        <f t="shared" si="6"/>
        <v>4</v>
      </c>
      <c r="H14" s="16">
        <f>Lampung!$H$30</f>
        <v>22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7">
        <v>1.0</v>
      </c>
      <c r="O14" s="17">
        <v>0.0</v>
      </c>
      <c r="P14" s="17">
        <v>1.0</v>
      </c>
      <c r="Q14" s="17">
        <v>1.0</v>
      </c>
      <c r="R14" s="17">
        <v>1.0</v>
      </c>
      <c r="S14" s="17">
        <v>0.0</v>
      </c>
      <c r="T14" s="17">
        <v>0.0</v>
      </c>
      <c r="U14" s="17">
        <v>1.0</v>
      </c>
      <c r="V14" s="17">
        <v>0.0</v>
      </c>
      <c r="W14" s="17">
        <v>0.0</v>
      </c>
      <c r="X14" s="17">
        <v>0.0</v>
      </c>
      <c r="Y14" s="17">
        <v>1.0</v>
      </c>
      <c r="Z14" s="17">
        <v>0.0</v>
      </c>
      <c r="AA14" s="17">
        <v>0.0</v>
      </c>
      <c r="AB14" s="17">
        <v>0.0</v>
      </c>
      <c r="AC14" s="17">
        <v>0.0</v>
      </c>
      <c r="AD14" s="17">
        <v>1.0</v>
      </c>
      <c r="AE14" s="17">
        <v>0.0</v>
      </c>
      <c r="AF14" s="17">
        <v>0.0</v>
      </c>
      <c r="AG14" s="17">
        <v>0.0</v>
      </c>
      <c r="AH14" s="17">
        <v>0.0</v>
      </c>
      <c r="AI14" s="17">
        <v>0.0</v>
      </c>
      <c r="AJ14" s="17">
        <v>0.0</v>
      </c>
      <c r="AK14" s="17">
        <v>1.0</v>
      </c>
      <c r="AL14" s="17">
        <v>1.0</v>
      </c>
      <c r="AM14" s="17">
        <v>1.0</v>
      </c>
      <c r="AN14" s="17">
        <v>1.0</v>
      </c>
      <c r="AO14" s="17">
        <v>0.0</v>
      </c>
      <c r="AP14" s="17">
        <v>0.0</v>
      </c>
      <c r="AQ14" s="17">
        <v>0.0</v>
      </c>
      <c r="AR14" s="17">
        <v>2.0</v>
      </c>
      <c r="AS14" s="17">
        <v>2.0</v>
      </c>
      <c r="AT14" s="17">
        <v>0.0</v>
      </c>
      <c r="AU14" s="17">
        <v>0.0</v>
      </c>
      <c r="AV14" s="17">
        <v>1.0</v>
      </c>
      <c r="AW14" s="17">
        <v>1.0</v>
      </c>
      <c r="AX14" s="17">
        <v>0.0</v>
      </c>
      <c r="AY14" s="17">
        <v>1.0</v>
      </c>
      <c r="AZ14" s="17">
        <f>COUNTA(Aceh!D39)</f>
        <v>0</v>
      </c>
      <c r="BA14" s="17">
        <v>0.0</v>
      </c>
      <c r="BB14" s="17">
        <v>0.0</v>
      </c>
      <c r="BC14" s="17">
        <v>0.0</v>
      </c>
      <c r="BD14" s="17">
        <v>0.0</v>
      </c>
      <c r="BE14" s="17">
        <v>0.0</v>
      </c>
      <c r="BF14" s="14">
        <v>1.0</v>
      </c>
      <c r="BG14" s="14">
        <v>1.0</v>
      </c>
      <c r="BH14" s="17">
        <v>0.0</v>
      </c>
      <c r="BI14" s="14">
        <v>1.0</v>
      </c>
      <c r="BJ14" s="17">
        <v>0.0</v>
      </c>
      <c r="BK14" s="14">
        <v>1.0</v>
      </c>
      <c r="BL14" s="17">
        <v>0.0</v>
      </c>
      <c r="BM14" s="17">
        <v>0.0</v>
      </c>
      <c r="BN14" s="17">
        <v>0.0</v>
      </c>
      <c r="BO14" s="17">
        <v>0.0</v>
      </c>
      <c r="BP14" s="17">
        <v>0.0</v>
      </c>
      <c r="BQ14" s="18">
        <v>1.0</v>
      </c>
      <c r="BR14" s="20">
        <v>0.0</v>
      </c>
      <c r="BS14" s="17">
        <v>0.0</v>
      </c>
      <c r="BT14" s="17">
        <v>0.0</v>
      </c>
      <c r="BU14" s="19">
        <v>1.0</v>
      </c>
      <c r="BV14" s="17">
        <v>0.0</v>
      </c>
    </row>
    <row r="15" ht="26.25" customHeight="1">
      <c r="A15" s="12">
        <f t="shared" si="7"/>
        <v>10</v>
      </c>
      <c r="B15" s="13" t="s">
        <v>34</v>
      </c>
      <c r="C15" s="14">
        <f t="shared" si="2"/>
        <v>2</v>
      </c>
      <c r="D15" s="17">
        <f t="shared" si="3"/>
        <v>0</v>
      </c>
      <c r="E15" s="17">
        <f t="shared" si="4"/>
        <v>0</v>
      </c>
      <c r="F15" s="14">
        <f t="shared" si="5"/>
        <v>2</v>
      </c>
      <c r="G15" s="15">
        <f t="shared" si="6"/>
        <v>0</v>
      </c>
      <c r="H15" s="16">
        <f>'Bangka Belitung'!$H$10</f>
        <v>4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1.0</v>
      </c>
      <c r="P15" s="17">
        <v>1.0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17">
        <v>0.0</v>
      </c>
      <c r="Z15" s="17">
        <v>0.0</v>
      </c>
      <c r="AA15" s="17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0.0</v>
      </c>
      <c r="AJ15" s="17">
        <v>0.0</v>
      </c>
      <c r="AK15" s="17">
        <v>0.0</v>
      </c>
      <c r="AL15" s="17">
        <v>0.0</v>
      </c>
      <c r="AM15" s="17">
        <v>0.0</v>
      </c>
      <c r="AN15" s="17">
        <v>0.0</v>
      </c>
      <c r="AO15" s="17">
        <v>0.0</v>
      </c>
      <c r="AP15" s="17">
        <v>0.0</v>
      </c>
      <c r="AQ15" s="17">
        <v>0.0</v>
      </c>
      <c r="AR15" s="17">
        <v>0.0</v>
      </c>
      <c r="AS15" s="17">
        <v>0.0</v>
      </c>
      <c r="AT15" s="17">
        <v>0.0</v>
      </c>
      <c r="AU15" s="17">
        <v>1.0</v>
      </c>
      <c r="AV15" s="17">
        <v>0.0</v>
      </c>
      <c r="AW15" s="17">
        <v>1.0</v>
      </c>
      <c r="AX15" s="17">
        <v>0.0</v>
      </c>
      <c r="AY15" s="17">
        <v>0.0</v>
      </c>
      <c r="AZ15" s="17">
        <f>COUNTA(Aceh!D40)</f>
        <v>0</v>
      </c>
      <c r="BA15" s="17">
        <v>0.0</v>
      </c>
      <c r="BB15" s="17">
        <v>0.0</v>
      </c>
      <c r="BC15" s="17">
        <v>0.0</v>
      </c>
      <c r="BD15" s="17">
        <v>0.0</v>
      </c>
      <c r="BE15" s="17">
        <v>0.0</v>
      </c>
      <c r="BF15" s="17">
        <v>0.0</v>
      </c>
      <c r="BG15" s="17">
        <v>0.0</v>
      </c>
      <c r="BH15" s="17">
        <v>0.0</v>
      </c>
      <c r="BI15" s="17">
        <v>0.0</v>
      </c>
      <c r="BJ15" s="17">
        <v>0.0</v>
      </c>
      <c r="BK15" s="17">
        <v>0.0</v>
      </c>
      <c r="BL15" s="17">
        <v>0.0</v>
      </c>
      <c r="BM15" s="17">
        <v>0.0</v>
      </c>
      <c r="BN15" s="17">
        <v>0.0</v>
      </c>
      <c r="BO15" s="17">
        <v>0.0</v>
      </c>
      <c r="BP15" s="17">
        <v>0.0</v>
      </c>
      <c r="BQ15" s="17">
        <v>0.0</v>
      </c>
      <c r="BR15" s="20">
        <v>0.0</v>
      </c>
      <c r="BS15" s="17">
        <v>0.0</v>
      </c>
      <c r="BT15" s="17">
        <v>0.0</v>
      </c>
      <c r="BU15" s="17">
        <v>0.0</v>
      </c>
      <c r="BV15" s="17">
        <v>0.0</v>
      </c>
    </row>
    <row r="16" ht="26.25" customHeight="1">
      <c r="A16" s="12">
        <f t="shared" si="7"/>
        <v>11</v>
      </c>
      <c r="B16" s="13" t="s">
        <v>35</v>
      </c>
      <c r="C16" s="14">
        <f t="shared" si="2"/>
        <v>7</v>
      </c>
      <c r="D16" s="14">
        <f t="shared" si="3"/>
        <v>19</v>
      </c>
      <c r="E16" s="14">
        <f t="shared" si="4"/>
        <v>25</v>
      </c>
      <c r="F16" s="14">
        <f t="shared" si="5"/>
        <v>23</v>
      </c>
      <c r="G16" s="14">
        <f t="shared" si="6"/>
        <v>15</v>
      </c>
      <c r="H16" s="16">
        <f>'Kalimantan Barat '!$H$98</f>
        <v>91</v>
      </c>
      <c r="I16" s="17">
        <v>0.0</v>
      </c>
      <c r="J16" s="17">
        <v>0.0</v>
      </c>
      <c r="K16" s="17">
        <v>0.0</v>
      </c>
      <c r="L16" s="17">
        <v>0.0</v>
      </c>
      <c r="M16" s="17">
        <v>1.0</v>
      </c>
      <c r="N16" s="17">
        <v>2.0</v>
      </c>
      <c r="O16" s="17">
        <v>0.0</v>
      </c>
      <c r="P16" s="17">
        <v>2.0</v>
      </c>
      <c r="Q16" s="17">
        <v>0.0</v>
      </c>
      <c r="R16" s="17">
        <v>0.0</v>
      </c>
      <c r="S16" s="17">
        <v>1.0</v>
      </c>
      <c r="T16" s="17">
        <v>1.0</v>
      </c>
      <c r="U16" s="17">
        <v>4.0</v>
      </c>
      <c r="V16" s="17">
        <v>3.0</v>
      </c>
      <c r="W16" s="17">
        <v>0.0</v>
      </c>
      <c r="X16" s="17">
        <v>1.0</v>
      </c>
      <c r="Y16" s="17">
        <v>4.0</v>
      </c>
      <c r="Z16" s="17">
        <v>1.0</v>
      </c>
      <c r="AA16" s="17">
        <v>4.0</v>
      </c>
      <c r="AB16" s="17">
        <v>1.0</v>
      </c>
      <c r="AC16" s="17">
        <v>0.0</v>
      </c>
      <c r="AD16" s="17">
        <v>0.0</v>
      </c>
      <c r="AE16" s="17">
        <v>0.0</v>
      </c>
      <c r="AF16" s="17">
        <v>1.0</v>
      </c>
      <c r="AG16" s="17">
        <v>1.0</v>
      </c>
      <c r="AH16" s="17">
        <v>2.0</v>
      </c>
      <c r="AI16" s="17">
        <v>0.0</v>
      </c>
      <c r="AJ16" s="17">
        <v>1.0</v>
      </c>
      <c r="AK16" s="17">
        <v>1.0</v>
      </c>
      <c r="AL16" s="17">
        <v>5.0</v>
      </c>
      <c r="AM16" s="17">
        <v>1.0</v>
      </c>
      <c r="AN16" s="17">
        <v>2.0</v>
      </c>
      <c r="AO16" s="17">
        <v>3.0</v>
      </c>
      <c r="AP16" s="17">
        <v>2.0</v>
      </c>
      <c r="AQ16" s="17">
        <v>4.0</v>
      </c>
      <c r="AR16" s="17">
        <v>3.0</v>
      </c>
      <c r="AS16" s="17">
        <v>4.0</v>
      </c>
      <c r="AT16" s="17">
        <v>2.0</v>
      </c>
      <c r="AU16" s="17">
        <v>2.0</v>
      </c>
      <c r="AV16" s="17">
        <v>0.0</v>
      </c>
      <c r="AW16" s="17">
        <v>3.0</v>
      </c>
      <c r="AX16" s="17">
        <v>3.0</v>
      </c>
      <c r="AY16" s="17">
        <v>3.0</v>
      </c>
      <c r="AZ16" s="17">
        <f>COUNTA(Aceh!D41)</f>
        <v>0</v>
      </c>
      <c r="BA16" s="17">
        <v>1.0</v>
      </c>
      <c r="BB16" s="17">
        <v>1.0</v>
      </c>
      <c r="BC16" s="17">
        <v>2.0</v>
      </c>
      <c r="BD16" s="17">
        <v>2.0</v>
      </c>
      <c r="BE16" s="17">
        <v>0.0</v>
      </c>
      <c r="BF16" s="14">
        <v>6.0</v>
      </c>
      <c r="BG16" s="14">
        <v>1.0</v>
      </c>
      <c r="BH16" s="14">
        <v>1.0</v>
      </c>
      <c r="BI16" s="14">
        <v>1.0</v>
      </c>
      <c r="BJ16" s="14">
        <v>1.0</v>
      </c>
      <c r="BK16" s="17">
        <v>0.0</v>
      </c>
      <c r="BL16" s="14">
        <v>1.0</v>
      </c>
      <c r="BM16" s="14">
        <v>2.0</v>
      </c>
      <c r="BN16" s="14">
        <v>1.0</v>
      </c>
      <c r="BO16" s="17">
        <v>0.0</v>
      </c>
      <c r="BP16" s="14">
        <v>1.0</v>
      </c>
      <c r="BQ16" s="18">
        <v>1.0</v>
      </c>
      <c r="BR16" s="20">
        <v>0.0</v>
      </c>
      <c r="BS16" s="19">
        <v>1.0</v>
      </c>
      <c r="BT16" s="17">
        <v>0.0</v>
      </c>
      <c r="BU16" s="19">
        <v>1.0</v>
      </c>
      <c r="BV16" s="17">
        <v>0.0</v>
      </c>
    </row>
    <row r="17" ht="26.25" customHeight="1">
      <c r="A17" s="12">
        <f t="shared" si="7"/>
        <v>12</v>
      </c>
      <c r="B17" s="13" t="s">
        <v>36</v>
      </c>
      <c r="C17" s="14">
        <f t="shared" si="2"/>
        <v>17</v>
      </c>
      <c r="D17" s="14">
        <f t="shared" si="3"/>
        <v>14</v>
      </c>
      <c r="E17" s="14">
        <f t="shared" si="4"/>
        <v>11</v>
      </c>
      <c r="F17" s="14">
        <f t="shared" si="5"/>
        <v>3</v>
      </c>
      <c r="G17" s="14">
        <f t="shared" si="6"/>
        <v>4</v>
      </c>
      <c r="H17" s="16">
        <f>'Kalimantan Timur'!$H$56</f>
        <v>51</v>
      </c>
      <c r="I17" s="17">
        <v>0.0</v>
      </c>
      <c r="J17" s="17">
        <v>0.0</v>
      </c>
      <c r="K17" s="17">
        <v>0.0</v>
      </c>
      <c r="L17" s="17">
        <v>0.0</v>
      </c>
      <c r="M17" s="17">
        <v>1.0</v>
      </c>
      <c r="N17" s="17">
        <v>1.0</v>
      </c>
      <c r="O17" s="17">
        <v>0.0</v>
      </c>
      <c r="P17" s="17">
        <v>2.0</v>
      </c>
      <c r="Q17" s="17">
        <v>0.0</v>
      </c>
      <c r="R17" s="17">
        <v>1.0</v>
      </c>
      <c r="S17" s="17">
        <v>2.0</v>
      </c>
      <c r="T17" s="17">
        <v>10.0</v>
      </c>
      <c r="U17" s="17">
        <v>0.0</v>
      </c>
      <c r="V17" s="17">
        <v>2.0</v>
      </c>
      <c r="W17" s="17">
        <v>2.0</v>
      </c>
      <c r="X17" s="17">
        <v>3.0</v>
      </c>
      <c r="Y17" s="17">
        <v>1.0</v>
      </c>
      <c r="Z17" s="17">
        <v>4.0</v>
      </c>
      <c r="AA17" s="17">
        <v>0.0</v>
      </c>
      <c r="AB17" s="17">
        <v>1.0</v>
      </c>
      <c r="AC17" s="17">
        <v>0.0</v>
      </c>
      <c r="AD17" s="17">
        <v>0.0</v>
      </c>
      <c r="AE17" s="17">
        <v>1.0</v>
      </c>
      <c r="AF17" s="17">
        <v>0.0</v>
      </c>
      <c r="AG17" s="17">
        <v>0.0</v>
      </c>
      <c r="AH17" s="17">
        <v>0.0</v>
      </c>
      <c r="AI17" s="17">
        <v>2.0</v>
      </c>
      <c r="AJ17" s="17">
        <v>1.0</v>
      </c>
      <c r="AK17" s="17">
        <v>1.0</v>
      </c>
      <c r="AL17" s="17">
        <v>1.0</v>
      </c>
      <c r="AM17" s="17">
        <v>1.0</v>
      </c>
      <c r="AN17" s="17">
        <v>1.0</v>
      </c>
      <c r="AO17" s="17">
        <v>2.0</v>
      </c>
      <c r="AP17" s="17">
        <v>2.0</v>
      </c>
      <c r="AQ17" s="17">
        <v>0.0</v>
      </c>
      <c r="AR17" s="17">
        <v>0.0</v>
      </c>
      <c r="AS17" s="17">
        <v>0.0</v>
      </c>
      <c r="AT17" s="17">
        <v>1.0</v>
      </c>
      <c r="AU17" s="17">
        <v>0.0</v>
      </c>
      <c r="AV17" s="17">
        <v>0.0</v>
      </c>
      <c r="AW17" s="17">
        <v>0.0</v>
      </c>
      <c r="AX17" s="17">
        <v>2.0</v>
      </c>
      <c r="AY17" s="17">
        <v>0.0</v>
      </c>
      <c r="AZ17" s="17">
        <f>COUNTA(Aceh!D42)</f>
        <v>0</v>
      </c>
      <c r="BA17" s="17">
        <v>0.0</v>
      </c>
      <c r="BB17" s="17">
        <v>0.0</v>
      </c>
      <c r="BC17" s="17">
        <v>0.0</v>
      </c>
      <c r="BD17" s="17">
        <v>0.0</v>
      </c>
      <c r="BE17" s="17">
        <v>0.0</v>
      </c>
      <c r="BF17" s="14">
        <v>1.0</v>
      </c>
      <c r="BG17" s="17">
        <v>0.0</v>
      </c>
      <c r="BH17" s="17">
        <v>0.0</v>
      </c>
      <c r="BI17" s="14">
        <v>1.0</v>
      </c>
      <c r="BJ17" s="14">
        <v>1.0</v>
      </c>
      <c r="BK17" s="14">
        <v>1.0</v>
      </c>
      <c r="BL17" s="17">
        <v>0.0</v>
      </c>
      <c r="BM17" s="17">
        <v>0.0</v>
      </c>
      <c r="BN17" s="17">
        <v>0.0</v>
      </c>
      <c r="BO17" s="17">
        <v>0.0</v>
      </c>
      <c r="BP17" s="17">
        <v>0.0</v>
      </c>
      <c r="BQ17" s="17">
        <v>0.0</v>
      </c>
      <c r="BR17" s="20">
        <v>0.0</v>
      </c>
      <c r="BS17" s="17">
        <v>0.0</v>
      </c>
      <c r="BT17" s="17">
        <v>0.0</v>
      </c>
      <c r="BU17" s="17">
        <v>0.0</v>
      </c>
      <c r="BV17" s="14">
        <v>1.0</v>
      </c>
    </row>
    <row r="18" ht="26.25" customHeight="1">
      <c r="A18" s="12">
        <f t="shared" si="7"/>
        <v>13</v>
      </c>
      <c r="B18" s="13" t="s">
        <v>37</v>
      </c>
      <c r="C18" s="14">
        <f t="shared" si="2"/>
        <v>5</v>
      </c>
      <c r="D18" s="14">
        <f t="shared" si="3"/>
        <v>1</v>
      </c>
      <c r="E18" s="14">
        <f t="shared" si="4"/>
        <v>3</v>
      </c>
      <c r="F18" s="14">
        <f t="shared" si="5"/>
        <v>5</v>
      </c>
      <c r="G18" s="14">
        <f t="shared" si="6"/>
        <v>6</v>
      </c>
      <c r="H18" s="16">
        <f>'Kalimantan Selatan'!$H$31</f>
        <v>25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1.0</v>
      </c>
      <c r="Q18" s="17">
        <v>2.0</v>
      </c>
      <c r="R18" s="17">
        <v>0.0</v>
      </c>
      <c r="S18" s="17">
        <v>0.0</v>
      </c>
      <c r="T18" s="17">
        <v>2.0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1.0</v>
      </c>
      <c r="AC18" s="17">
        <v>0.0</v>
      </c>
      <c r="AD18" s="17">
        <v>0.0</v>
      </c>
      <c r="AE18" s="17">
        <v>0.0</v>
      </c>
      <c r="AF18" s="17">
        <v>0.0</v>
      </c>
      <c r="AG18" s="17">
        <v>1.0</v>
      </c>
      <c r="AH18" s="17">
        <v>0.0</v>
      </c>
      <c r="AI18" s="17">
        <v>0.0</v>
      </c>
      <c r="AJ18" s="17">
        <v>1.0</v>
      </c>
      <c r="AK18" s="17">
        <v>0.0</v>
      </c>
      <c r="AL18" s="17">
        <v>0.0</v>
      </c>
      <c r="AM18" s="17">
        <v>0.0</v>
      </c>
      <c r="AN18" s="17">
        <v>0.0</v>
      </c>
      <c r="AO18" s="17">
        <v>1.0</v>
      </c>
      <c r="AP18" s="17">
        <v>0.0</v>
      </c>
      <c r="AQ18" s="17">
        <v>0.0</v>
      </c>
      <c r="AR18" s="17">
        <v>0.0</v>
      </c>
      <c r="AS18" s="17">
        <v>0.0</v>
      </c>
      <c r="AT18" s="17">
        <v>0.0</v>
      </c>
      <c r="AU18" s="17">
        <v>1.0</v>
      </c>
      <c r="AV18" s="17">
        <v>0.0</v>
      </c>
      <c r="AW18" s="17">
        <v>1.0</v>
      </c>
      <c r="AX18" s="17">
        <v>0.0</v>
      </c>
      <c r="AY18" s="17">
        <v>1.0</v>
      </c>
      <c r="AZ18" s="17">
        <f>COUNTA(Aceh!D43)</f>
        <v>0</v>
      </c>
      <c r="BA18" s="17">
        <v>1.0</v>
      </c>
      <c r="BB18" s="17">
        <v>0.0</v>
      </c>
      <c r="BC18" s="17">
        <v>0.0</v>
      </c>
      <c r="BD18" s="17">
        <v>1.0</v>
      </c>
      <c r="BE18" s="17">
        <v>0.0</v>
      </c>
      <c r="BF18" s="14">
        <v>1.0</v>
      </c>
      <c r="BG18" s="14">
        <v>2.0</v>
      </c>
      <c r="BH18" s="14">
        <v>1.0</v>
      </c>
      <c r="BI18" s="17">
        <v>0.0</v>
      </c>
      <c r="BJ18" s="17">
        <v>0.0</v>
      </c>
      <c r="BK18" s="17">
        <v>0.0</v>
      </c>
      <c r="BL18" s="17">
        <v>0.0</v>
      </c>
      <c r="BM18" s="14">
        <v>1.0</v>
      </c>
      <c r="BN18" s="17">
        <v>0.0</v>
      </c>
      <c r="BO18" s="14">
        <v>1.0</v>
      </c>
      <c r="BP18" s="17">
        <v>0.0</v>
      </c>
      <c r="BQ18" s="17">
        <v>0.0</v>
      </c>
      <c r="BR18" s="18">
        <v>3.0</v>
      </c>
      <c r="BS18" s="17">
        <v>0.0</v>
      </c>
      <c r="BT18" s="17">
        <v>0.0</v>
      </c>
      <c r="BU18" s="19">
        <v>1.0</v>
      </c>
      <c r="BV18" s="14">
        <v>1.0</v>
      </c>
    </row>
    <row r="19" ht="26.25" customHeight="1">
      <c r="A19" s="12">
        <f t="shared" si="7"/>
        <v>14</v>
      </c>
      <c r="B19" s="13" t="s">
        <v>38</v>
      </c>
      <c r="C19" s="14">
        <f t="shared" si="2"/>
        <v>5</v>
      </c>
      <c r="D19" s="14">
        <f t="shared" si="3"/>
        <v>1</v>
      </c>
      <c r="E19" s="14">
        <f t="shared" si="4"/>
        <v>1</v>
      </c>
      <c r="F19" s="14">
        <f t="shared" si="5"/>
        <v>2</v>
      </c>
      <c r="G19" s="14">
        <f t="shared" si="6"/>
        <v>3</v>
      </c>
      <c r="H19" s="16">
        <f>'Kalimantan Tengah '!$H$20</f>
        <v>14</v>
      </c>
      <c r="I19" s="17">
        <v>0.0</v>
      </c>
      <c r="J19" s="17">
        <v>0.0</v>
      </c>
      <c r="K19" s="17">
        <v>0.0</v>
      </c>
      <c r="L19" s="17">
        <v>0.0</v>
      </c>
      <c r="M19" s="17">
        <v>1.0</v>
      </c>
      <c r="N19" s="17">
        <v>1.0</v>
      </c>
      <c r="O19" s="17">
        <v>2.0</v>
      </c>
      <c r="P19" s="17">
        <v>0.0</v>
      </c>
      <c r="Q19" s="17">
        <v>0.0</v>
      </c>
      <c r="R19" s="17">
        <v>1.0</v>
      </c>
      <c r="S19" s="17">
        <v>0.0</v>
      </c>
      <c r="T19" s="17">
        <v>0.0</v>
      </c>
      <c r="U19" s="17">
        <v>0.0</v>
      </c>
      <c r="V19" s="17">
        <v>1.0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</v>
      </c>
      <c r="AI19" s="17">
        <v>0.0</v>
      </c>
      <c r="AJ19" s="17">
        <v>0.0</v>
      </c>
      <c r="AK19" s="17">
        <v>0.0</v>
      </c>
      <c r="AL19" s="17">
        <v>0.0</v>
      </c>
      <c r="AM19" s="17">
        <v>0.0</v>
      </c>
      <c r="AN19" s="17">
        <v>0.0</v>
      </c>
      <c r="AO19" s="17">
        <v>0.0</v>
      </c>
      <c r="AP19" s="17">
        <v>0.0</v>
      </c>
      <c r="AQ19" s="17">
        <v>0.0</v>
      </c>
      <c r="AR19" s="17">
        <v>1.0</v>
      </c>
      <c r="AS19" s="17">
        <v>0.0</v>
      </c>
      <c r="AT19" s="17">
        <v>0.0</v>
      </c>
      <c r="AU19" s="17">
        <v>0.0</v>
      </c>
      <c r="AV19" s="17">
        <v>0.0</v>
      </c>
      <c r="AW19" s="17">
        <v>0.0</v>
      </c>
      <c r="AX19" s="17">
        <v>0.0</v>
      </c>
      <c r="AY19" s="17">
        <v>1.0</v>
      </c>
      <c r="AZ19" s="17">
        <f>COUNTA(Aceh!D44)</f>
        <v>0</v>
      </c>
      <c r="BA19" s="17">
        <v>1.0</v>
      </c>
      <c r="BB19" s="17">
        <v>0.0</v>
      </c>
      <c r="BC19" s="17">
        <v>0.0</v>
      </c>
      <c r="BD19" s="17">
        <v>0.0</v>
      </c>
      <c r="BE19" s="17">
        <v>0.0</v>
      </c>
      <c r="BF19" s="17">
        <v>0.0</v>
      </c>
      <c r="BG19" s="14">
        <v>1.0</v>
      </c>
      <c r="BH19" s="14">
        <v>1.0</v>
      </c>
      <c r="BI19" s="17">
        <v>0.0</v>
      </c>
      <c r="BJ19" s="17">
        <v>0.0</v>
      </c>
      <c r="BK19" s="17">
        <v>0.0</v>
      </c>
      <c r="BL19" s="17">
        <v>0.0</v>
      </c>
      <c r="BM19" s="17">
        <v>0.0</v>
      </c>
      <c r="BN19" s="17">
        <v>0.0</v>
      </c>
      <c r="BO19" s="17">
        <v>0.0</v>
      </c>
      <c r="BP19" s="14">
        <v>1.0</v>
      </c>
      <c r="BQ19" s="18">
        <v>1.0</v>
      </c>
      <c r="BR19" s="20">
        <v>0.0</v>
      </c>
      <c r="BS19" s="17">
        <v>0.0</v>
      </c>
      <c r="BT19" s="17">
        <v>0.0</v>
      </c>
      <c r="BU19" s="17">
        <v>0.0</v>
      </c>
      <c r="BV19" s="14">
        <v>1.0</v>
      </c>
    </row>
    <row r="20" ht="26.25" customHeight="1">
      <c r="A20" s="12">
        <f t="shared" si="7"/>
        <v>15</v>
      </c>
      <c r="B20" s="13" t="s">
        <v>39</v>
      </c>
      <c r="C20" s="14">
        <f t="shared" si="2"/>
        <v>1</v>
      </c>
      <c r="D20" s="14">
        <f t="shared" si="3"/>
        <v>1</v>
      </c>
      <c r="E20" s="17">
        <f t="shared" si="4"/>
        <v>0</v>
      </c>
      <c r="F20" s="14">
        <f t="shared" si="5"/>
        <v>1</v>
      </c>
      <c r="G20" s="15">
        <f t="shared" si="6"/>
        <v>0</v>
      </c>
      <c r="H20" s="16">
        <f>'Kalimantan Utara'!$H$9</f>
        <v>4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0.0</v>
      </c>
      <c r="S20" s="17">
        <v>1.0</v>
      </c>
      <c r="T20" s="17">
        <v>0.0</v>
      </c>
      <c r="U20" s="17">
        <v>0.0</v>
      </c>
      <c r="V20" s="17">
        <v>0.0</v>
      </c>
      <c r="W20" s="17">
        <v>1.0</v>
      </c>
      <c r="X20" s="17">
        <v>0.0</v>
      </c>
      <c r="Y20" s="17">
        <v>0.0</v>
      </c>
      <c r="Z20" s="17">
        <v>0.0</v>
      </c>
      <c r="AA20" s="17">
        <v>0.0</v>
      </c>
      <c r="AB20" s="17">
        <v>0.0</v>
      </c>
      <c r="AC20" s="17">
        <v>0.0</v>
      </c>
      <c r="AD20" s="17">
        <v>0.0</v>
      </c>
      <c r="AE20" s="17">
        <v>0.0</v>
      </c>
      <c r="AF20" s="17">
        <v>0.0</v>
      </c>
      <c r="AG20" s="17">
        <v>0.0</v>
      </c>
      <c r="AH20" s="17">
        <v>0.0</v>
      </c>
      <c r="AI20" s="17">
        <v>0.0</v>
      </c>
      <c r="AJ20" s="17">
        <v>0.0</v>
      </c>
      <c r="AK20" s="17">
        <v>0.0</v>
      </c>
      <c r="AL20" s="17">
        <v>0.0</v>
      </c>
      <c r="AM20" s="17">
        <v>0.0</v>
      </c>
      <c r="AN20" s="17">
        <v>0.0</v>
      </c>
      <c r="AO20" s="17">
        <v>0.0</v>
      </c>
      <c r="AP20" s="17">
        <v>0.0</v>
      </c>
      <c r="AQ20" s="17">
        <v>0.0</v>
      </c>
      <c r="AR20" s="17">
        <v>0.0</v>
      </c>
      <c r="AS20" s="17">
        <v>0.0</v>
      </c>
      <c r="AT20" s="17">
        <v>0.0</v>
      </c>
      <c r="AU20" s="17">
        <v>0.0</v>
      </c>
      <c r="AV20" s="17">
        <v>0.0</v>
      </c>
      <c r="AW20" s="17">
        <v>0.0</v>
      </c>
      <c r="AX20" s="17">
        <v>0.0</v>
      </c>
      <c r="AY20" s="17">
        <v>0.0</v>
      </c>
      <c r="AZ20" s="17">
        <f>COUNTA(Aceh!D45)</f>
        <v>0</v>
      </c>
      <c r="BA20" s="17">
        <v>1.0</v>
      </c>
      <c r="BB20" s="17">
        <v>0.0</v>
      </c>
      <c r="BC20" s="17">
        <v>0.0</v>
      </c>
      <c r="BD20" s="17">
        <v>0.0</v>
      </c>
      <c r="BE20" s="17">
        <v>0.0</v>
      </c>
      <c r="BF20" s="17">
        <v>0.0</v>
      </c>
      <c r="BG20" s="17">
        <v>0.0</v>
      </c>
      <c r="BH20" s="17">
        <v>0.0</v>
      </c>
      <c r="BI20" s="17">
        <v>0.0</v>
      </c>
      <c r="BJ20" s="17">
        <v>0.0</v>
      </c>
      <c r="BK20" s="17">
        <v>0.0</v>
      </c>
      <c r="BL20" s="17">
        <v>0.0</v>
      </c>
      <c r="BM20" s="17">
        <v>0.0</v>
      </c>
      <c r="BN20" s="17">
        <v>0.0</v>
      </c>
      <c r="BO20" s="17">
        <v>0.0</v>
      </c>
      <c r="BP20" s="17">
        <v>0.0</v>
      </c>
      <c r="BQ20" s="17">
        <v>0.0</v>
      </c>
      <c r="BR20" s="20">
        <v>0.0</v>
      </c>
      <c r="BS20" s="17">
        <v>0.0</v>
      </c>
      <c r="BT20" s="17">
        <v>0.0</v>
      </c>
      <c r="BU20" s="17">
        <v>0.0</v>
      </c>
      <c r="BV20" s="17">
        <v>0.0</v>
      </c>
    </row>
    <row r="21" ht="26.25" customHeight="1">
      <c r="A21" s="12">
        <f t="shared" si="7"/>
        <v>16</v>
      </c>
      <c r="B21" s="13" t="s">
        <v>40</v>
      </c>
      <c r="C21" s="14">
        <f t="shared" si="2"/>
        <v>28</v>
      </c>
      <c r="D21" s="14">
        <f t="shared" si="3"/>
        <v>40</v>
      </c>
      <c r="E21" s="14">
        <f t="shared" si="4"/>
        <v>32</v>
      </c>
      <c r="F21" s="14">
        <f t="shared" si="5"/>
        <v>25</v>
      </c>
      <c r="G21" s="14">
        <f t="shared" si="6"/>
        <v>15</v>
      </c>
      <c r="H21" s="16">
        <f>Banten!$H$152</f>
        <v>141</v>
      </c>
      <c r="I21" s="17">
        <v>0.0</v>
      </c>
      <c r="J21" s="17">
        <v>0.0</v>
      </c>
      <c r="K21" s="17">
        <v>0.0</v>
      </c>
      <c r="L21" s="17">
        <v>0.0</v>
      </c>
      <c r="M21" s="17">
        <v>3.0</v>
      </c>
      <c r="N21" s="17">
        <v>4.0</v>
      </c>
      <c r="O21" s="17">
        <v>3.0</v>
      </c>
      <c r="P21" s="17">
        <v>3.0</v>
      </c>
      <c r="Q21" s="17">
        <v>3.0</v>
      </c>
      <c r="R21" s="17">
        <v>4.0</v>
      </c>
      <c r="S21" s="17">
        <v>5.0</v>
      </c>
      <c r="T21" s="17">
        <v>3.0</v>
      </c>
      <c r="U21" s="17">
        <v>2.0</v>
      </c>
      <c r="V21" s="17">
        <v>6.0</v>
      </c>
      <c r="W21" s="17">
        <v>6.0</v>
      </c>
      <c r="X21" s="17">
        <v>3.0</v>
      </c>
      <c r="Y21" s="17">
        <v>3.0</v>
      </c>
      <c r="Z21" s="17">
        <v>2.0</v>
      </c>
      <c r="AA21" s="17">
        <v>4.0</v>
      </c>
      <c r="AB21" s="17">
        <v>1.0</v>
      </c>
      <c r="AC21" s="17">
        <v>4.0</v>
      </c>
      <c r="AD21" s="17">
        <v>6.0</v>
      </c>
      <c r="AE21" s="17">
        <v>0.0</v>
      </c>
      <c r="AF21" s="17">
        <v>3.0</v>
      </c>
      <c r="AG21" s="17">
        <v>2.0</v>
      </c>
      <c r="AH21" s="17">
        <v>3.0</v>
      </c>
      <c r="AI21" s="17">
        <v>1.0</v>
      </c>
      <c r="AJ21" s="17">
        <v>2.0</v>
      </c>
      <c r="AK21" s="17">
        <v>2.0</v>
      </c>
      <c r="AL21" s="17">
        <v>2.0</v>
      </c>
      <c r="AM21" s="17">
        <v>4.0</v>
      </c>
      <c r="AN21" s="17">
        <v>1.0</v>
      </c>
      <c r="AO21" s="17">
        <v>6.0</v>
      </c>
      <c r="AP21" s="17">
        <v>3.0</v>
      </c>
      <c r="AQ21" s="17">
        <v>1.0</v>
      </c>
      <c r="AR21" s="17">
        <v>5.0</v>
      </c>
      <c r="AS21" s="17">
        <v>5.0</v>
      </c>
      <c r="AT21" s="17">
        <v>4.0</v>
      </c>
      <c r="AU21" s="17">
        <v>0.0</v>
      </c>
      <c r="AV21" s="17">
        <v>2.0</v>
      </c>
      <c r="AW21" s="17">
        <v>5.0</v>
      </c>
      <c r="AX21" s="17">
        <v>1.0</v>
      </c>
      <c r="AY21" s="17">
        <v>1.0</v>
      </c>
      <c r="AZ21" s="17">
        <f>COUNTA(Aceh!D46)</f>
        <v>0</v>
      </c>
      <c r="BA21" s="17">
        <v>4.0</v>
      </c>
      <c r="BB21" s="17">
        <v>1.0</v>
      </c>
      <c r="BC21" s="17">
        <v>0.0</v>
      </c>
      <c r="BD21" s="17">
        <v>2.0</v>
      </c>
      <c r="BE21" s="14">
        <v>2.0</v>
      </c>
      <c r="BF21" s="17">
        <v>0.0</v>
      </c>
      <c r="BG21" s="17">
        <v>0.0</v>
      </c>
      <c r="BH21" s="14">
        <v>1.0</v>
      </c>
      <c r="BI21" s="14">
        <v>1.0</v>
      </c>
      <c r="BJ21" s="14">
        <v>3.0</v>
      </c>
      <c r="BK21" s="14">
        <v>0.0</v>
      </c>
      <c r="BL21" s="14">
        <v>3.0</v>
      </c>
      <c r="BM21" s="14">
        <v>0.0</v>
      </c>
      <c r="BN21" s="14">
        <v>2.0</v>
      </c>
      <c r="BO21" s="14">
        <v>1.0</v>
      </c>
      <c r="BP21" s="14">
        <v>2.0</v>
      </c>
      <c r="BQ21" s="18">
        <v>2.0</v>
      </c>
      <c r="BR21" s="20">
        <v>0.0</v>
      </c>
      <c r="BS21" s="19">
        <v>2.0</v>
      </c>
      <c r="BT21" s="17">
        <v>0.0</v>
      </c>
      <c r="BU21" s="17">
        <v>0.0</v>
      </c>
      <c r="BV21" s="14">
        <v>1.0</v>
      </c>
    </row>
    <row r="22" ht="26.25" customHeight="1">
      <c r="A22" s="12">
        <f t="shared" si="7"/>
        <v>17</v>
      </c>
      <c r="B22" s="13" t="s">
        <v>41</v>
      </c>
      <c r="C22" s="14">
        <f t="shared" si="2"/>
        <v>55</v>
      </c>
      <c r="D22" s="14">
        <f t="shared" si="3"/>
        <v>47</v>
      </c>
      <c r="E22" s="14">
        <f t="shared" si="4"/>
        <v>69</v>
      </c>
      <c r="F22" s="14">
        <f t="shared" si="5"/>
        <v>62</v>
      </c>
      <c r="G22" s="14">
        <f t="shared" si="6"/>
        <v>41</v>
      </c>
      <c r="H22" s="16">
        <f>'DKI Jakarta'!$H$302</f>
        <v>294</v>
      </c>
      <c r="I22" s="17">
        <v>0.0</v>
      </c>
      <c r="J22" s="17">
        <v>0.0</v>
      </c>
      <c r="K22" s="17">
        <v>0.0</v>
      </c>
      <c r="L22" s="17">
        <v>0.0</v>
      </c>
      <c r="M22" s="17">
        <v>4.0</v>
      </c>
      <c r="N22" s="17">
        <v>10.0</v>
      </c>
      <c r="O22" s="17">
        <v>5.0</v>
      </c>
      <c r="P22" s="17">
        <v>8.0</v>
      </c>
      <c r="Q22" s="17">
        <v>8.0</v>
      </c>
      <c r="R22" s="17">
        <v>3.0</v>
      </c>
      <c r="S22" s="17">
        <v>11.0</v>
      </c>
      <c r="T22" s="17">
        <v>6.0</v>
      </c>
      <c r="U22" s="17">
        <v>3.0</v>
      </c>
      <c r="V22" s="17">
        <v>5.0</v>
      </c>
      <c r="W22" s="17">
        <v>6.0</v>
      </c>
      <c r="X22" s="17">
        <v>7.0</v>
      </c>
      <c r="Y22" s="17">
        <v>4.0</v>
      </c>
      <c r="Z22" s="17">
        <v>4.0</v>
      </c>
      <c r="AA22" s="17">
        <v>1.0</v>
      </c>
      <c r="AB22" s="17">
        <v>4.0</v>
      </c>
      <c r="AC22" s="17">
        <v>7.0</v>
      </c>
      <c r="AD22" s="17">
        <v>4.0</v>
      </c>
      <c r="AE22" s="17">
        <v>1.0</v>
      </c>
      <c r="AF22" s="17">
        <v>1.0</v>
      </c>
      <c r="AG22" s="17">
        <v>8.0</v>
      </c>
      <c r="AH22" s="17">
        <v>4.0</v>
      </c>
      <c r="AI22" s="17">
        <v>5.0</v>
      </c>
      <c r="AJ22" s="17">
        <v>6.0</v>
      </c>
      <c r="AK22" s="17">
        <v>9.0</v>
      </c>
      <c r="AL22" s="17">
        <v>7.0</v>
      </c>
      <c r="AM22" s="17">
        <v>7.0</v>
      </c>
      <c r="AN22" s="17">
        <v>4.0</v>
      </c>
      <c r="AO22" s="17">
        <v>10.0</v>
      </c>
      <c r="AP22" s="17">
        <v>3.0</v>
      </c>
      <c r="AQ22" s="17">
        <v>2.0</v>
      </c>
      <c r="AR22" s="17">
        <v>4.0</v>
      </c>
      <c r="AS22" s="17">
        <v>7.0</v>
      </c>
      <c r="AT22" s="17">
        <v>5.0</v>
      </c>
      <c r="AU22" s="17">
        <v>6.0</v>
      </c>
      <c r="AV22" s="17">
        <v>2.0</v>
      </c>
      <c r="AW22" s="17">
        <v>14.0</v>
      </c>
      <c r="AX22" s="17">
        <v>7.0</v>
      </c>
      <c r="AY22" s="17">
        <v>5.0</v>
      </c>
      <c r="AZ22" s="17">
        <v>4.0</v>
      </c>
      <c r="BA22" s="17">
        <v>4.0</v>
      </c>
      <c r="BB22" s="17">
        <v>3.0</v>
      </c>
      <c r="BC22" s="17">
        <v>1.0</v>
      </c>
      <c r="BD22" s="17">
        <v>4.0</v>
      </c>
      <c r="BE22" s="14">
        <v>1.0</v>
      </c>
      <c r="BF22" s="14">
        <v>8.0</v>
      </c>
      <c r="BG22" s="14">
        <v>1.0</v>
      </c>
      <c r="BH22" s="14">
        <v>1.0</v>
      </c>
      <c r="BI22" s="14">
        <v>9.0</v>
      </c>
      <c r="BJ22" s="14">
        <v>5.0</v>
      </c>
      <c r="BK22" s="14">
        <v>2.0</v>
      </c>
      <c r="BL22" s="14">
        <v>2.0</v>
      </c>
      <c r="BM22" s="14">
        <v>6.0</v>
      </c>
      <c r="BN22" s="14">
        <v>2.0</v>
      </c>
      <c r="BO22" s="14">
        <v>3.0</v>
      </c>
      <c r="BP22" s="14">
        <v>1.0</v>
      </c>
      <c r="BQ22" s="18">
        <v>1.0</v>
      </c>
      <c r="BR22" s="18">
        <v>4.0</v>
      </c>
      <c r="BS22" s="19">
        <v>5.0</v>
      </c>
      <c r="BT22" s="18">
        <v>2.0</v>
      </c>
      <c r="BU22" s="19">
        <v>5.0</v>
      </c>
      <c r="BV22" s="19">
        <v>4.0</v>
      </c>
    </row>
    <row r="23" ht="26.25" customHeight="1">
      <c r="A23" s="12">
        <f t="shared" si="7"/>
        <v>18</v>
      </c>
      <c r="B23" s="13" t="s">
        <v>42</v>
      </c>
      <c r="C23" s="14">
        <f t="shared" si="2"/>
        <v>76</v>
      </c>
      <c r="D23" s="14">
        <f t="shared" si="3"/>
        <v>91</v>
      </c>
      <c r="E23" s="14">
        <f t="shared" si="4"/>
        <v>79</v>
      </c>
      <c r="F23" s="14">
        <f t="shared" si="5"/>
        <v>97</v>
      </c>
      <c r="G23" s="14">
        <f t="shared" si="6"/>
        <v>53</v>
      </c>
      <c r="H23" s="16">
        <f>'Jawa Barat'!$H$433</f>
        <v>409</v>
      </c>
      <c r="I23" s="17">
        <v>0.0</v>
      </c>
      <c r="J23" s="17">
        <v>0.0</v>
      </c>
      <c r="K23" s="17">
        <v>0.0</v>
      </c>
      <c r="L23" s="17">
        <v>0.0</v>
      </c>
      <c r="M23" s="17">
        <v>8.0</v>
      </c>
      <c r="N23" s="17">
        <v>9.0</v>
      </c>
      <c r="O23" s="17">
        <v>5.0</v>
      </c>
      <c r="P23" s="17">
        <v>6.0</v>
      </c>
      <c r="Q23" s="17">
        <v>10.0</v>
      </c>
      <c r="R23" s="17">
        <v>18.0</v>
      </c>
      <c r="S23" s="17">
        <v>10.0</v>
      </c>
      <c r="T23" s="17">
        <v>10.0</v>
      </c>
      <c r="U23" s="17">
        <v>11.0</v>
      </c>
      <c r="V23" s="17">
        <v>13.0</v>
      </c>
      <c r="W23" s="17">
        <v>8.0</v>
      </c>
      <c r="X23" s="17">
        <v>7.0</v>
      </c>
      <c r="Y23" s="17">
        <v>11.0</v>
      </c>
      <c r="Z23" s="17">
        <v>9.0</v>
      </c>
      <c r="AA23" s="17">
        <v>5.0</v>
      </c>
      <c r="AB23" s="17">
        <v>5.0</v>
      </c>
      <c r="AC23" s="17">
        <v>3.0</v>
      </c>
      <c r="AD23" s="17">
        <v>8.0</v>
      </c>
      <c r="AE23" s="17">
        <v>7.0</v>
      </c>
      <c r="AF23" s="17">
        <v>4.0</v>
      </c>
      <c r="AG23" s="17">
        <v>6.0</v>
      </c>
      <c r="AH23" s="17">
        <v>6.0</v>
      </c>
      <c r="AI23" s="17">
        <v>9.0</v>
      </c>
      <c r="AJ23" s="17">
        <v>5.0</v>
      </c>
      <c r="AK23" s="17">
        <v>7.0</v>
      </c>
      <c r="AL23" s="17">
        <v>6.0</v>
      </c>
      <c r="AM23" s="17">
        <v>7.0</v>
      </c>
      <c r="AN23" s="17">
        <v>11.0</v>
      </c>
      <c r="AO23" s="17">
        <v>8.0</v>
      </c>
      <c r="AP23" s="17">
        <v>6.0</v>
      </c>
      <c r="AQ23" s="17">
        <v>4.0</v>
      </c>
      <c r="AR23" s="17">
        <v>4.0</v>
      </c>
      <c r="AS23" s="17">
        <v>12.0</v>
      </c>
      <c r="AT23" s="17">
        <v>11.0</v>
      </c>
      <c r="AU23" s="17">
        <v>7.0</v>
      </c>
      <c r="AV23" s="17">
        <v>4.0</v>
      </c>
      <c r="AW23" s="17">
        <v>6.0</v>
      </c>
      <c r="AX23" s="17">
        <v>13.0</v>
      </c>
      <c r="AY23" s="17">
        <v>9.0</v>
      </c>
      <c r="AZ23" s="17">
        <v>6.0</v>
      </c>
      <c r="BA23" s="17">
        <v>6.0</v>
      </c>
      <c r="BB23" s="17">
        <v>7.0</v>
      </c>
      <c r="BC23" s="17">
        <v>7.0</v>
      </c>
      <c r="BD23" s="17">
        <v>9.0</v>
      </c>
      <c r="BE23" s="14">
        <v>4.0</v>
      </c>
      <c r="BF23" s="14">
        <v>6.0</v>
      </c>
      <c r="BG23" s="14">
        <v>4.0</v>
      </c>
      <c r="BH23" s="14">
        <v>5.0</v>
      </c>
      <c r="BI23" s="14">
        <v>10.0</v>
      </c>
      <c r="BJ23" s="14">
        <v>3.0</v>
      </c>
      <c r="BK23" s="14">
        <v>6.0</v>
      </c>
      <c r="BL23" s="14">
        <v>3.0</v>
      </c>
      <c r="BM23" s="14">
        <v>5.0</v>
      </c>
      <c r="BN23" s="14">
        <v>3.0</v>
      </c>
      <c r="BO23" s="14">
        <v>4.0</v>
      </c>
      <c r="BP23" s="17">
        <v>0.0</v>
      </c>
      <c r="BQ23" s="18">
        <v>3.0</v>
      </c>
      <c r="BR23" s="18">
        <v>2.0</v>
      </c>
      <c r="BS23" s="19">
        <v>3.0</v>
      </c>
      <c r="BT23" s="19">
        <v>3.0</v>
      </c>
      <c r="BU23" s="19">
        <v>9.0</v>
      </c>
      <c r="BV23" s="19">
        <v>9.0</v>
      </c>
    </row>
    <row r="24" ht="26.25" customHeight="1">
      <c r="A24" s="12">
        <f t="shared" si="7"/>
        <v>19</v>
      </c>
      <c r="B24" s="13" t="s">
        <v>43</v>
      </c>
      <c r="C24" s="14">
        <f t="shared" si="2"/>
        <v>22</v>
      </c>
      <c r="D24" s="14">
        <f t="shared" si="3"/>
        <v>32</v>
      </c>
      <c r="E24" s="14">
        <f t="shared" si="4"/>
        <v>41</v>
      </c>
      <c r="F24" s="14">
        <f t="shared" si="5"/>
        <v>34</v>
      </c>
      <c r="G24" s="14">
        <f t="shared" si="6"/>
        <v>13</v>
      </c>
      <c r="H24" s="16">
        <f>'Jawa Tengah'!$H$161</f>
        <v>152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4.0</v>
      </c>
      <c r="O24" s="17">
        <v>3.0</v>
      </c>
      <c r="P24" s="17">
        <v>5.0</v>
      </c>
      <c r="Q24" s="17">
        <v>1.0</v>
      </c>
      <c r="R24" s="17">
        <v>2.0</v>
      </c>
      <c r="S24" s="17">
        <v>1.0</v>
      </c>
      <c r="T24" s="17">
        <v>6.0</v>
      </c>
      <c r="U24" s="17">
        <v>6.0</v>
      </c>
      <c r="V24" s="17">
        <v>0.0</v>
      </c>
      <c r="W24" s="17">
        <v>6.0</v>
      </c>
      <c r="X24" s="17">
        <v>4.0</v>
      </c>
      <c r="Y24" s="17">
        <v>2.0</v>
      </c>
      <c r="Z24" s="17">
        <v>3.0</v>
      </c>
      <c r="AA24" s="17">
        <v>3.0</v>
      </c>
      <c r="AB24" s="17">
        <v>2.0</v>
      </c>
      <c r="AC24" s="17">
        <v>1.0</v>
      </c>
      <c r="AD24" s="17">
        <v>2.0</v>
      </c>
      <c r="AE24" s="17">
        <v>3.0</v>
      </c>
      <c r="AF24" s="17">
        <v>0.0</v>
      </c>
      <c r="AG24" s="17">
        <v>2.0</v>
      </c>
      <c r="AH24" s="17">
        <v>1.0</v>
      </c>
      <c r="AI24" s="17">
        <v>4.0</v>
      </c>
      <c r="AJ24" s="17">
        <v>5.0</v>
      </c>
      <c r="AK24" s="17">
        <v>5.0</v>
      </c>
      <c r="AL24" s="17">
        <v>4.0</v>
      </c>
      <c r="AM24" s="17">
        <v>4.0</v>
      </c>
      <c r="AN24" s="17">
        <v>3.0</v>
      </c>
      <c r="AO24" s="17">
        <v>5.0</v>
      </c>
      <c r="AP24" s="17">
        <v>5.0</v>
      </c>
      <c r="AQ24" s="17">
        <v>0.0</v>
      </c>
      <c r="AR24" s="17">
        <v>3.0</v>
      </c>
      <c r="AS24" s="17">
        <v>1.0</v>
      </c>
      <c r="AT24" s="17">
        <v>5.0</v>
      </c>
      <c r="AU24" s="17">
        <v>2.0</v>
      </c>
      <c r="AV24" s="17">
        <v>3.0</v>
      </c>
      <c r="AW24" s="17">
        <v>4.0</v>
      </c>
      <c r="AX24" s="17">
        <v>3.0</v>
      </c>
      <c r="AY24" s="17">
        <v>3.0</v>
      </c>
      <c r="AZ24" s="17">
        <v>4.0</v>
      </c>
      <c r="BA24" s="17">
        <v>1.0</v>
      </c>
      <c r="BB24" s="17">
        <v>5.0</v>
      </c>
      <c r="BC24" s="17">
        <v>0.0</v>
      </c>
      <c r="BD24" s="17">
        <v>3.0</v>
      </c>
      <c r="BE24" s="14">
        <v>2.0</v>
      </c>
      <c r="BF24" s="14">
        <v>1.0</v>
      </c>
      <c r="BG24" s="17">
        <v>0.0</v>
      </c>
      <c r="BH24" s="14">
        <v>2.0</v>
      </c>
      <c r="BI24" s="14">
        <v>2.0</v>
      </c>
      <c r="BJ24" s="14">
        <v>1.0</v>
      </c>
      <c r="BK24" s="14">
        <v>0.0</v>
      </c>
      <c r="BL24" s="14">
        <v>3.0</v>
      </c>
      <c r="BM24" s="17">
        <v>0.0</v>
      </c>
      <c r="BN24" s="17">
        <v>0.0</v>
      </c>
      <c r="BO24" s="14">
        <v>1.0</v>
      </c>
      <c r="BP24" s="14">
        <v>1.0</v>
      </c>
      <c r="BQ24" s="18">
        <v>3.0</v>
      </c>
      <c r="BR24" s="18">
        <v>1.0</v>
      </c>
      <c r="BS24" s="19">
        <v>1.0</v>
      </c>
      <c r="BT24" s="17">
        <v>0.0</v>
      </c>
      <c r="BU24" s="19">
        <v>4.0</v>
      </c>
      <c r="BV24" s="19">
        <v>3.0</v>
      </c>
    </row>
    <row r="25" ht="26.25" customHeight="1">
      <c r="A25" s="12">
        <f t="shared" si="7"/>
        <v>20</v>
      </c>
      <c r="B25" s="13" t="s">
        <v>44</v>
      </c>
      <c r="C25" s="14">
        <f t="shared" si="2"/>
        <v>6</v>
      </c>
      <c r="D25" s="14">
        <f t="shared" si="3"/>
        <v>8</v>
      </c>
      <c r="E25" s="14">
        <f t="shared" si="4"/>
        <v>6</v>
      </c>
      <c r="F25" s="14">
        <f t="shared" si="5"/>
        <v>3</v>
      </c>
      <c r="G25" s="14">
        <f t="shared" si="6"/>
        <v>6</v>
      </c>
      <c r="H25" s="16">
        <f>'DI Yogyakarta'!$H$36</f>
        <v>30</v>
      </c>
      <c r="I25" s="17">
        <v>0.0</v>
      </c>
      <c r="J25" s="17">
        <v>0.0</v>
      </c>
      <c r="K25" s="17">
        <v>0.0</v>
      </c>
      <c r="L25" s="17">
        <v>1.0</v>
      </c>
      <c r="M25" s="17">
        <v>2.0</v>
      </c>
      <c r="N25" s="17">
        <v>0.0</v>
      </c>
      <c r="O25" s="17">
        <v>0.0</v>
      </c>
      <c r="P25" s="17">
        <v>1.0</v>
      </c>
      <c r="Q25" s="17">
        <v>0.0</v>
      </c>
      <c r="R25" s="17">
        <v>1.0</v>
      </c>
      <c r="S25" s="17">
        <v>1.0</v>
      </c>
      <c r="T25" s="17">
        <v>0.0</v>
      </c>
      <c r="U25" s="17">
        <v>2.0</v>
      </c>
      <c r="V25" s="17">
        <v>0.0</v>
      </c>
      <c r="W25" s="17">
        <v>3.0</v>
      </c>
      <c r="X25" s="17">
        <v>0.0</v>
      </c>
      <c r="Y25" s="17">
        <v>1.0</v>
      </c>
      <c r="Z25" s="17">
        <v>0.0</v>
      </c>
      <c r="AA25" s="17">
        <v>0.0</v>
      </c>
      <c r="AB25" s="17">
        <v>2.0</v>
      </c>
      <c r="AC25" s="17">
        <v>0.0</v>
      </c>
      <c r="AD25" s="17">
        <v>0.0</v>
      </c>
      <c r="AE25" s="17">
        <v>0.0</v>
      </c>
      <c r="AF25" s="17">
        <v>0.0</v>
      </c>
      <c r="AG25" s="17">
        <v>0.0</v>
      </c>
      <c r="AH25" s="17">
        <v>0.0</v>
      </c>
      <c r="AI25" s="17">
        <v>1.0</v>
      </c>
      <c r="AJ25" s="17">
        <v>0.0</v>
      </c>
      <c r="AK25" s="17">
        <v>0.0</v>
      </c>
      <c r="AL25" s="17">
        <v>0.0</v>
      </c>
      <c r="AM25" s="17">
        <v>1.0</v>
      </c>
      <c r="AN25" s="17">
        <v>2.0</v>
      </c>
      <c r="AO25" s="17">
        <v>2.0</v>
      </c>
      <c r="AP25" s="17">
        <v>0.0</v>
      </c>
      <c r="AQ25" s="17">
        <v>0.0</v>
      </c>
      <c r="AR25" s="17">
        <v>0.0</v>
      </c>
      <c r="AS25" s="17">
        <v>1.0</v>
      </c>
      <c r="AT25" s="17">
        <v>0.0</v>
      </c>
      <c r="AU25" s="17">
        <v>0.0</v>
      </c>
      <c r="AV25" s="17">
        <v>0.0</v>
      </c>
      <c r="AW25" s="17">
        <v>0.0</v>
      </c>
      <c r="AX25" s="17">
        <v>0.0</v>
      </c>
      <c r="AY25" s="17">
        <v>1.0</v>
      </c>
      <c r="AZ25" s="17">
        <v>0.0</v>
      </c>
      <c r="BA25" s="17">
        <v>0.0</v>
      </c>
      <c r="BB25" s="17">
        <v>1.0</v>
      </c>
      <c r="BC25" s="17">
        <v>0.0</v>
      </c>
      <c r="BD25" s="17">
        <v>0.0</v>
      </c>
      <c r="BE25" s="17">
        <v>0.0</v>
      </c>
      <c r="BF25" s="14">
        <v>3.0</v>
      </c>
      <c r="BG25" s="17">
        <v>0.0</v>
      </c>
      <c r="BH25" s="17">
        <v>0.0</v>
      </c>
      <c r="BI25" s="14">
        <v>1.0</v>
      </c>
      <c r="BJ25" s="17">
        <v>0.0</v>
      </c>
      <c r="BK25" s="17">
        <v>0.0</v>
      </c>
      <c r="BL25" s="14">
        <v>1.0</v>
      </c>
      <c r="BM25" s="17">
        <v>0.0</v>
      </c>
      <c r="BN25" s="17">
        <v>0.0</v>
      </c>
      <c r="BO25" s="14">
        <v>1.0</v>
      </c>
      <c r="BP25" s="17">
        <v>0.0</v>
      </c>
      <c r="BQ25" s="17">
        <v>0.0</v>
      </c>
      <c r="BR25" s="20">
        <v>0.0</v>
      </c>
      <c r="BS25" s="17">
        <v>0.0</v>
      </c>
      <c r="BT25" s="17">
        <v>0.0</v>
      </c>
      <c r="BU25" s="17">
        <v>0.0</v>
      </c>
      <c r="BV25" s="14">
        <v>1.0</v>
      </c>
    </row>
    <row r="26" ht="26.25" customHeight="1">
      <c r="A26" s="12">
        <f t="shared" si="7"/>
        <v>21</v>
      </c>
      <c r="B26" s="13" t="s">
        <v>45</v>
      </c>
      <c r="C26" s="14">
        <f t="shared" si="2"/>
        <v>30</v>
      </c>
      <c r="D26" s="14">
        <f t="shared" si="3"/>
        <v>52</v>
      </c>
      <c r="E26" s="14">
        <f t="shared" si="4"/>
        <v>20</v>
      </c>
      <c r="F26" s="14">
        <f t="shared" si="5"/>
        <v>27</v>
      </c>
      <c r="G26" s="14">
        <f t="shared" si="6"/>
        <v>15</v>
      </c>
      <c r="H26" s="16">
        <f>'Jawa Timur'!$H$158</f>
        <v>151</v>
      </c>
      <c r="I26" s="17">
        <v>0.0</v>
      </c>
      <c r="J26" s="17">
        <v>0.0</v>
      </c>
      <c r="K26" s="17">
        <v>0.0</v>
      </c>
      <c r="L26" s="17">
        <v>0.0</v>
      </c>
      <c r="M26" s="17">
        <v>4.0</v>
      </c>
      <c r="N26" s="17">
        <v>2.0</v>
      </c>
      <c r="O26" s="17">
        <v>2.0</v>
      </c>
      <c r="P26" s="17">
        <v>1.0</v>
      </c>
      <c r="Q26" s="17">
        <v>6.0</v>
      </c>
      <c r="R26" s="17">
        <v>7.0</v>
      </c>
      <c r="S26" s="17">
        <v>1.0</v>
      </c>
      <c r="T26" s="17">
        <v>7.0</v>
      </c>
      <c r="U26" s="17">
        <v>6.0</v>
      </c>
      <c r="V26" s="17">
        <v>17.0</v>
      </c>
      <c r="W26" s="17">
        <v>4.0</v>
      </c>
      <c r="X26" s="17">
        <v>3.0</v>
      </c>
      <c r="Y26" s="17">
        <v>4.0</v>
      </c>
      <c r="Z26" s="17">
        <v>5.0</v>
      </c>
      <c r="AA26" s="17">
        <v>1.0</v>
      </c>
      <c r="AB26" s="17">
        <v>3.0</v>
      </c>
      <c r="AC26" s="17">
        <v>3.0</v>
      </c>
      <c r="AD26" s="17">
        <v>2.0</v>
      </c>
      <c r="AE26" s="17">
        <v>0.0</v>
      </c>
      <c r="AF26" s="17">
        <v>4.0</v>
      </c>
      <c r="AG26" s="17">
        <v>3.0</v>
      </c>
      <c r="AH26" s="17">
        <v>4.0</v>
      </c>
      <c r="AI26" s="17">
        <v>0.0</v>
      </c>
      <c r="AJ26" s="17">
        <v>0.0</v>
      </c>
      <c r="AK26" s="17">
        <v>1.0</v>
      </c>
      <c r="AL26" s="17">
        <v>3.0</v>
      </c>
      <c r="AM26" s="17">
        <v>1.0</v>
      </c>
      <c r="AN26" s="17">
        <v>3.0</v>
      </c>
      <c r="AO26" s="17">
        <v>3.0</v>
      </c>
      <c r="AP26" s="17">
        <v>0.0</v>
      </c>
      <c r="AQ26" s="17">
        <v>2.0</v>
      </c>
      <c r="AR26" s="17">
        <v>0.0</v>
      </c>
      <c r="AS26" s="17">
        <v>4.0</v>
      </c>
      <c r="AT26" s="17">
        <v>1.0</v>
      </c>
      <c r="AU26" s="17">
        <v>3.0</v>
      </c>
      <c r="AV26" s="17">
        <v>1.0</v>
      </c>
      <c r="AW26" s="17">
        <v>2.0</v>
      </c>
      <c r="AX26" s="17">
        <v>2.0</v>
      </c>
      <c r="AY26" s="17">
        <v>2.0</v>
      </c>
      <c r="AZ26" s="17">
        <v>2.0</v>
      </c>
      <c r="BA26" s="17">
        <v>3.0</v>
      </c>
      <c r="BB26" s="17">
        <v>4.0</v>
      </c>
      <c r="BC26" s="17">
        <v>2.0</v>
      </c>
      <c r="BD26" s="17">
        <v>1.0</v>
      </c>
      <c r="BE26" s="14">
        <v>5.0</v>
      </c>
      <c r="BF26" s="17">
        <v>0.0</v>
      </c>
      <c r="BG26" s="17">
        <v>0.0</v>
      </c>
      <c r="BH26" s="14">
        <v>1.0</v>
      </c>
      <c r="BI26" s="14">
        <v>1.0</v>
      </c>
      <c r="BJ26" s="17">
        <v>0.0</v>
      </c>
      <c r="BK26" s="14">
        <v>3.0</v>
      </c>
      <c r="BL26" s="14">
        <v>2.0</v>
      </c>
      <c r="BM26" s="17">
        <v>0.0</v>
      </c>
      <c r="BN26" s="14">
        <v>1.0</v>
      </c>
      <c r="BO26" s="14">
        <v>1.0</v>
      </c>
      <c r="BP26" s="14">
        <v>1.0</v>
      </c>
      <c r="BQ26" s="18">
        <v>2.0</v>
      </c>
      <c r="BR26" s="20">
        <v>0.0</v>
      </c>
      <c r="BS26" s="19">
        <v>1.0</v>
      </c>
      <c r="BT26" s="14">
        <v>1.0</v>
      </c>
      <c r="BU26" s="19">
        <v>3.0</v>
      </c>
      <c r="BV26" s="14">
        <v>1.0</v>
      </c>
    </row>
    <row r="27" ht="26.25" customHeight="1">
      <c r="A27" s="12">
        <f t="shared" si="7"/>
        <v>22</v>
      </c>
      <c r="B27" s="13" t="s">
        <v>46</v>
      </c>
      <c r="C27" s="14">
        <f t="shared" si="2"/>
        <v>10</v>
      </c>
      <c r="D27" s="14">
        <f t="shared" si="3"/>
        <v>18</v>
      </c>
      <c r="E27" s="14">
        <f t="shared" si="4"/>
        <v>11</v>
      </c>
      <c r="F27" s="14">
        <f t="shared" si="5"/>
        <v>7</v>
      </c>
      <c r="G27" s="14">
        <f t="shared" si="6"/>
        <v>6</v>
      </c>
      <c r="H27" s="16">
        <f>Bali!$H$63</f>
        <v>57</v>
      </c>
      <c r="I27" s="17">
        <v>0.0</v>
      </c>
      <c r="J27" s="17">
        <v>0.0</v>
      </c>
      <c r="K27" s="17">
        <v>0.0</v>
      </c>
      <c r="L27" s="17">
        <v>0.0</v>
      </c>
      <c r="M27" s="17">
        <v>2.0</v>
      </c>
      <c r="N27" s="17">
        <v>0.0</v>
      </c>
      <c r="O27" s="17">
        <v>1.0</v>
      </c>
      <c r="P27" s="17">
        <v>0.0</v>
      </c>
      <c r="Q27" s="17">
        <v>1.0</v>
      </c>
      <c r="R27" s="17">
        <v>2.0</v>
      </c>
      <c r="S27" s="17">
        <v>1.0</v>
      </c>
      <c r="T27" s="17">
        <v>3.0</v>
      </c>
      <c r="U27" s="17">
        <v>1.0</v>
      </c>
      <c r="V27" s="17">
        <v>2.0</v>
      </c>
      <c r="W27" s="17">
        <v>3.0</v>
      </c>
      <c r="X27" s="17">
        <v>0.0</v>
      </c>
      <c r="Y27" s="17">
        <v>1.0</v>
      </c>
      <c r="Z27" s="17">
        <v>0.0</v>
      </c>
      <c r="AA27" s="17">
        <v>2.0</v>
      </c>
      <c r="AB27" s="17">
        <v>3.0</v>
      </c>
      <c r="AC27" s="17">
        <v>0.0</v>
      </c>
      <c r="AD27" s="17">
        <v>4.0</v>
      </c>
      <c r="AE27" s="17">
        <v>1.0</v>
      </c>
      <c r="AF27" s="17">
        <v>1.0</v>
      </c>
      <c r="AG27" s="17">
        <v>2.0</v>
      </c>
      <c r="AH27" s="17">
        <v>0.0</v>
      </c>
      <c r="AI27" s="17">
        <v>1.0</v>
      </c>
      <c r="AJ27" s="17">
        <v>0.0</v>
      </c>
      <c r="AK27" s="17">
        <v>1.0</v>
      </c>
      <c r="AL27" s="17">
        <v>0.0</v>
      </c>
      <c r="AM27" s="17">
        <v>0.0</v>
      </c>
      <c r="AN27" s="17">
        <v>1.0</v>
      </c>
      <c r="AO27" s="17">
        <v>2.0</v>
      </c>
      <c r="AP27" s="17">
        <v>1.0</v>
      </c>
      <c r="AQ27" s="17">
        <v>1.0</v>
      </c>
      <c r="AR27" s="17">
        <v>2.0</v>
      </c>
      <c r="AS27" s="17">
        <v>1.0</v>
      </c>
      <c r="AT27" s="17">
        <v>0.0</v>
      </c>
      <c r="AU27" s="17">
        <v>1.0</v>
      </c>
      <c r="AV27" s="17">
        <v>1.0</v>
      </c>
      <c r="AW27" s="17">
        <v>0.0</v>
      </c>
      <c r="AX27" s="17">
        <v>2.0</v>
      </c>
      <c r="AY27" s="17">
        <v>0.0</v>
      </c>
      <c r="AZ27" s="17">
        <f>COUNTA(Aceh!D52)</f>
        <v>0</v>
      </c>
      <c r="BA27" s="17">
        <v>1.0</v>
      </c>
      <c r="BB27" s="17">
        <v>0.0</v>
      </c>
      <c r="BC27" s="17">
        <v>0.0</v>
      </c>
      <c r="BD27" s="17">
        <v>1.0</v>
      </c>
      <c r="BE27" s="14">
        <v>1.0</v>
      </c>
      <c r="BF27" s="14">
        <v>1.0</v>
      </c>
      <c r="BG27" s="14">
        <v>1.0</v>
      </c>
      <c r="BH27" s="17">
        <v>0.0</v>
      </c>
      <c r="BI27" s="14">
        <v>1.0</v>
      </c>
      <c r="BJ27" s="14">
        <v>1.0</v>
      </c>
      <c r="BK27" s="17">
        <v>0.0</v>
      </c>
      <c r="BL27" s="17">
        <v>0.0</v>
      </c>
      <c r="BM27" s="14">
        <v>1.0</v>
      </c>
      <c r="BN27" s="17">
        <v>0.0</v>
      </c>
      <c r="BO27" s="17">
        <v>0.0</v>
      </c>
      <c r="BP27" s="17">
        <v>0.0</v>
      </c>
      <c r="BQ27" s="17">
        <v>0.0</v>
      </c>
      <c r="BR27" s="18">
        <v>1.0</v>
      </c>
      <c r="BS27" s="17">
        <v>0.0</v>
      </c>
      <c r="BT27" s="14">
        <v>1.0</v>
      </c>
      <c r="BU27" s="19">
        <v>2.0</v>
      </c>
      <c r="BV27" s="14">
        <v>1.0</v>
      </c>
    </row>
    <row r="28" ht="26.25" customHeight="1">
      <c r="A28" s="12">
        <f t="shared" si="7"/>
        <v>23</v>
      </c>
      <c r="B28" s="13" t="s">
        <v>47</v>
      </c>
      <c r="C28" s="14">
        <f t="shared" si="2"/>
        <v>1</v>
      </c>
      <c r="D28" s="14">
        <f t="shared" si="3"/>
        <v>2</v>
      </c>
      <c r="E28" s="17">
        <f t="shared" si="4"/>
        <v>0</v>
      </c>
      <c r="F28" s="17">
        <f t="shared" si="5"/>
        <v>0</v>
      </c>
      <c r="G28" s="14">
        <f t="shared" si="6"/>
        <v>13</v>
      </c>
      <c r="H28" s="16">
        <f>'Nusa Tenggara Timur'!$H$25</f>
        <v>20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1.0</v>
      </c>
      <c r="R28" s="17">
        <v>0.0</v>
      </c>
      <c r="S28" s="17">
        <v>0.0</v>
      </c>
      <c r="T28" s="17">
        <v>0.0</v>
      </c>
      <c r="U28" s="17">
        <v>0.0</v>
      </c>
      <c r="V28" s="17">
        <v>0.0</v>
      </c>
      <c r="W28" s="17">
        <v>1.0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1.0</v>
      </c>
      <c r="AD28" s="17">
        <v>0.0</v>
      </c>
      <c r="AE28" s="17">
        <v>0.0</v>
      </c>
      <c r="AF28" s="17">
        <v>0.0</v>
      </c>
      <c r="AG28" s="17">
        <v>0.0</v>
      </c>
      <c r="AH28" s="17">
        <v>0.0</v>
      </c>
      <c r="AI28" s="17">
        <v>0.0</v>
      </c>
      <c r="AJ28" s="17">
        <v>0.0</v>
      </c>
      <c r="AK28" s="17">
        <v>0.0</v>
      </c>
      <c r="AL28" s="17">
        <v>0.0</v>
      </c>
      <c r="AM28" s="17">
        <v>0.0</v>
      </c>
      <c r="AN28" s="17">
        <v>0.0</v>
      </c>
      <c r="AO28" s="17">
        <v>0.0</v>
      </c>
      <c r="AP28" s="17">
        <v>0.0</v>
      </c>
      <c r="AQ28" s="17">
        <v>0.0</v>
      </c>
      <c r="AR28" s="17">
        <v>0.0</v>
      </c>
      <c r="AS28" s="17">
        <v>0.0</v>
      </c>
      <c r="AT28" s="17">
        <v>0.0</v>
      </c>
      <c r="AU28" s="17">
        <v>0.0</v>
      </c>
      <c r="AV28" s="17">
        <v>0.0</v>
      </c>
      <c r="AW28" s="17">
        <v>0.0</v>
      </c>
      <c r="AX28" s="17">
        <v>0.0</v>
      </c>
      <c r="AY28" s="17">
        <v>0.0</v>
      </c>
      <c r="AZ28" s="17">
        <f>COUNTA(Aceh!D53)</f>
        <v>0</v>
      </c>
      <c r="BA28" s="17">
        <v>0.0</v>
      </c>
      <c r="BB28" s="17">
        <v>0.0</v>
      </c>
      <c r="BC28" s="17">
        <v>0.0</v>
      </c>
      <c r="BD28" s="17">
        <v>0.0</v>
      </c>
      <c r="BE28" s="17">
        <v>0.0</v>
      </c>
      <c r="BF28" s="17">
        <v>0.0</v>
      </c>
      <c r="BG28" s="14">
        <v>3.0</v>
      </c>
      <c r="BH28" s="14">
        <v>1.0</v>
      </c>
      <c r="BI28" s="17">
        <v>0.0</v>
      </c>
      <c r="BJ28" s="17">
        <v>0.0</v>
      </c>
      <c r="BK28" s="17">
        <v>0.0</v>
      </c>
      <c r="BL28" s="14">
        <v>1.0</v>
      </c>
      <c r="BM28" s="17">
        <v>0.0</v>
      </c>
      <c r="BN28" s="14">
        <v>1.0</v>
      </c>
      <c r="BO28" s="14">
        <v>1.0</v>
      </c>
      <c r="BP28" s="14">
        <v>6.0</v>
      </c>
      <c r="BQ28" s="17">
        <v>0.0</v>
      </c>
      <c r="BR28" s="18">
        <v>1.0</v>
      </c>
      <c r="BS28" s="17">
        <v>0.0</v>
      </c>
      <c r="BT28" s="17">
        <v>0.0</v>
      </c>
      <c r="BU28" s="19">
        <v>2.0</v>
      </c>
      <c r="BV28" s="17">
        <v>0.0</v>
      </c>
    </row>
    <row r="29" ht="26.25" customHeight="1">
      <c r="A29" s="12">
        <f t="shared" si="7"/>
        <v>24</v>
      </c>
      <c r="B29" s="13" t="s">
        <v>48</v>
      </c>
      <c r="C29" s="14">
        <f t="shared" si="2"/>
        <v>2</v>
      </c>
      <c r="D29" s="14">
        <f t="shared" si="3"/>
        <v>3</v>
      </c>
      <c r="E29" s="17">
        <f t="shared" si="4"/>
        <v>0</v>
      </c>
      <c r="F29" s="14">
        <f t="shared" si="5"/>
        <v>1</v>
      </c>
      <c r="G29" s="14">
        <f t="shared" si="6"/>
        <v>1</v>
      </c>
      <c r="H29" s="16">
        <f>'Nusa Tenggara Barat'!$H$13</f>
        <v>8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1.0</v>
      </c>
      <c r="O29" s="17">
        <v>1.0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1.0</v>
      </c>
      <c r="W29" s="17">
        <v>0.0</v>
      </c>
      <c r="X29" s="17">
        <v>0.0</v>
      </c>
      <c r="Y29" s="17">
        <v>1.0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1.0</v>
      </c>
      <c r="AF29" s="17">
        <v>0.0</v>
      </c>
      <c r="AG29" s="17">
        <v>0.0</v>
      </c>
      <c r="AH29" s="17">
        <v>0.0</v>
      </c>
      <c r="AI29" s="17">
        <v>0.0</v>
      </c>
      <c r="AJ29" s="17">
        <v>0.0</v>
      </c>
      <c r="AK29" s="17">
        <v>0.0</v>
      </c>
      <c r="AL29" s="17">
        <v>0.0</v>
      </c>
      <c r="AM29" s="17">
        <v>0.0</v>
      </c>
      <c r="AN29" s="17">
        <v>0.0</v>
      </c>
      <c r="AO29" s="17">
        <v>0.0</v>
      </c>
      <c r="AP29" s="17">
        <v>0.0</v>
      </c>
      <c r="AQ29" s="17">
        <v>0.0</v>
      </c>
      <c r="AR29" s="17">
        <v>0.0</v>
      </c>
      <c r="AS29" s="17">
        <v>0.0</v>
      </c>
      <c r="AT29" s="17">
        <v>0.0</v>
      </c>
      <c r="AU29" s="17">
        <v>0.0</v>
      </c>
      <c r="AV29" s="17">
        <v>0.0</v>
      </c>
      <c r="AW29" s="17">
        <v>0.0</v>
      </c>
      <c r="AX29" s="17">
        <v>1.0</v>
      </c>
      <c r="AY29" s="17">
        <v>0.0</v>
      </c>
      <c r="AZ29" s="17">
        <f>COUNTA(Aceh!D54)</f>
        <v>0</v>
      </c>
      <c r="BA29" s="17">
        <v>0.0</v>
      </c>
      <c r="BB29" s="17">
        <v>0.0</v>
      </c>
      <c r="BC29" s="17">
        <v>0.0</v>
      </c>
      <c r="BD29" s="17">
        <v>0.0</v>
      </c>
      <c r="BE29" s="17">
        <v>0.0</v>
      </c>
      <c r="BF29" s="17">
        <v>0.0</v>
      </c>
      <c r="BG29" s="17">
        <v>0.0</v>
      </c>
      <c r="BH29" s="17">
        <v>0.0</v>
      </c>
      <c r="BI29" s="17">
        <v>0.0</v>
      </c>
      <c r="BJ29" s="17">
        <v>0.0</v>
      </c>
      <c r="BK29" s="17">
        <v>0.0</v>
      </c>
      <c r="BL29" s="17">
        <v>0.0</v>
      </c>
      <c r="BM29" s="17">
        <v>0.0</v>
      </c>
      <c r="BN29" s="14">
        <v>1.0</v>
      </c>
      <c r="BO29" s="17">
        <v>0.0</v>
      </c>
      <c r="BP29" s="17">
        <v>0.0</v>
      </c>
      <c r="BQ29" s="17">
        <v>0.0</v>
      </c>
      <c r="BR29" s="20">
        <v>0.0</v>
      </c>
      <c r="BS29" s="17">
        <v>0.0</v>
      </c>
      <c r="BT29" s="17">
        <v>0.0</v>
      </c>
      <c r="BU29" s="17">
        <v>0.0</v>
      </c>
      <c r="BV29" s="17">
        <v>0.0</v>
      </c>
    </row>
    <row r="30" ht="26.25" customHeight="1">
      <c r="A30" s="12">
        <f t="shared" si="7"/>
        <v>25</v>
      </c>
      <c r="B30" s="13" t="s">
        <v>49</v>
      </c>
      <c r="C30" s="14">
        <f t="shared" si="2"/>
        <v>2</v>
      </c>
      <c r="D30" s="14">
        <f t="shared" si="3"/>
        <v>1</v>
      </c>
      <c r="E30" s="17">
        <f t="shared" si="4"/>
        <v>0</v>
      </c>
      <c r="F30" s="17">
        <f t="shared" si="5"/>
        <v>0</v>
      </c>
      <c r="G30" s="14">
        <f t="shared" si="6"/>
        <v>1</v>
      </c>
      <c r="H30" s="16">
        <f>'Gorontalo '!$H$10</f>
        <v>4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2.0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1.0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7">
        <v>0.0</v>
      </c>
      <c r="AI30" s="17">
        <v>0.0</v>
      </c>
      <c r="AJ30" s="17">
        <v>0.0</v>
      </c>
      <c r="AK30" s="17">
        <v>0.0</v>
      </c>
      <c r="AL30" s="17">
        <v>0.0</v>
      </c>
      <c r="AM30" s="17">
        <v>0.0</v>
      </c>
      <c r="AN30" s="17">
        <v>0.0</v>
      </c>
      <c r="AO30" s="17">
        <v>0.0</v>
      </c>
      <c r="AP30" s="17">
        <v>0.0</v>
      </c>
      <c r="AQ30" s="17">
        <v>0.0</v>
      </c>
      <c r="AR30" s="17">
        <v>0.0</v>
      </c>
      <c r="AS30" s="17">
        <v>0.0</v>
      </c>
      <c r="AT30" s="17">
        <v>0.0</v>
      </c>
      <c r="AU30" s="17">
        <v>0.0</v>
      </c>
      <c r="AV30" s="17">
        <v>0.0</v>
      </c>
      <c r="AW30" s="17">
        <v>0.0</v>
      </c>
      <c r="AX30" s="17">
        <v>0.0</v>
      </c>
      <c r="AY30" s="17">
        <v>0.0</v>
      </c>
      <c r="AZ30" s="17">
        <f>COUNTA(Aceh!D55)</f>
        <v>0</v>
      </c>
      <c r="BA30" s="17">
        <v>0.0</v>
      </c>
      <c r="BB30" s="17">
        <v>0.0</v>
      </c>
      <c r="BC30" s="17">
        <v>0.0</v>
      </c>
      <c r="BD30" s="17">
        <v>0.0</v>
      </c>
      <c r="BE30" s="17">
        <v>0.0</v>
      </c>
      <c r="BF30" s="17">
        <v>0.0</v>
      </c>
      <c r="BG30" s="17">
        <v>0.0</v>
      </c>
      <c r="BH30" s="17">
        <v>0.0</v>
      </c>
      <c r="BI30" s="17">
        <v>0.0</v>
      </c>
      <c r="BJ30" s="17">
        <v>0.0</v>
      </c>
      <c r="BK30" s="14">
        <v>1.0</v>
      </c>
      <c r="BL30" s="17">
        <v>0.0</v>
      </c>
      <c r="BM30" s="17">
        <v>0.0</v>
      </c>
      <c r="BN30" s="17">
        <v>0.0</v>
      </c>
      <c r="BO30" s="17">
        <v>0.0</v>
      </c>
      <c r="BP30" s="17">
        <v>0.0</v>
      </c>
      <c r="BQ30" s="17">
        <v>0.0</v>
      </c>
      <c r="BR30" s="20">
        <v>0.0</v>
      </c>
      <c r="BS30" s="17">
        <v>0.0</v>
      </c>
      <c r="BT30" s="17">
        <v>0.0</v>
      </c>
      <c r="BU30" s="17">
        <v>0.0</v>
      </c>
      <c r="BV30" s="17">
        <v>0.0</v>
      </c>
    </row>
    <row r="31" ht="26.25" customHeight="1">
      <c r="A31" s="12">
        <f t="shared" si="7"/>
        <v>26</v>
      </c>
      <c r="B31" s="13" t="s">
        <v>50</v>
      </c>
      <c r="C31" s="14">
        <f t="shared" si="2"/>
        <v>1</v>
      </c>
      <c r="D31" s="14">
        <f t="shared" si="3"/>
        <v>1</v>
      </c>
      <c r="E31" s="14">
        <f t="shared" si="4"/>
        <v>1</v>
      </c>
      <c r="F31" s="14">
        <f t="shared" si="5"/>
        <v>7</v>
      </c>
      <c r="G31" s="14">
        <f t="shared" si="6"/>
        <v>0</v>
      </c>
      <c r="H31" s="16">
        <f>'Sulawesi Barat'!$H$16</f>
        <v>9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1.0</v>
      </c>
      <c r="T31" s="17">
        <v>0.0</v>
      </c>
      <c r="U31" s="17">
        <v>1.0</v>
      </c>
      <c r="V31" s="17">
        <v>0.0</v>
      </c>
      <c r="W31" s="17">
        <v>0.0</v>
      </c>
      <c r="X31" s="17">
        <v>0.0</v>
      </c>
      <c r="Y31" s="17">
        <v>0.0</v>
      </c>
      <c r="Z31" s="17">
        <v>0.0</v>
      </c>
      <c r="AA31" s="17">
        <v>0.0</v>
      </c>
      <c r="AB31" s="17">
        <v>0.0</v>
      </c>
      <c r="AC31" s="17">
        <v>0.0</v>
      </c>
      <c r="AD31" s="17">
        <v>0.0</v>
      </c>
      <c r="AE31" s="17">
        <v>0.0</v>
      </c>
      <c r="AF31" s="17">
        <v>0.0</v>
      </c>
      <c r="AG31" s="17">
        <v>0.0</v>
      </c>
      <c r="AH31" s="17">
        <v>0.0</v>
      </c>
      <c r="AI31" s="17">
        <v>0.0</v>
      </c>
      <c r="AJ31" s="17">
        <v>0.0</v>
      </c>
      <c r="AK31" s="17">
        <v>0.0</v>
      </c>
      <c r="AL31" s="17">
        <v>0.0</v>
      </c>
      <c r="AM31" s="17">
        <v>0.0</v>
      </c>
      <c r="AN31" s="17">
        <v>0.0</v>
      </c>
      <c r="AO31" s="17">
        <v>0.0</v>
      </c>
      <c r="AP31" s="17">
        <v>1.0</v>
      </c>
      <c r="AQ31" s="17">
        <v>0.0</v>
      </c>
      <c r="AR31" s="17">
        <v>0.0</v>
      </c>
      <c r="AS31" s="17">
        <v>0.0</v>
      </c>
      <c r="AT31" s="17">
        <v>2.0</v>
      </c>
      <c r="AU31" s="17">
        <v>0.0</v>
      </c>
      <c r="AV31" s="17">
        <v>0.0</v>
      </c>
      <c r="AW31" s="17">
        <v>1.0</v>
      </c>
      <c r="AX31" s="17">
        <v>1.0</v>
      </c>
      <c r="AY31" s="17">
        <v>0.0</v>
      </c>
      <c r="AZ31" s="17">
        <v>1.0</v>
      </c>
      <c r="BA31" s="17">
        <v>0.0</v>
      </c>
      <c r="BB31" s="17">
        <v>1.0</v>
      </c>
      <c r="BC31" s="17">
        <v>1.0</v>
      </c>
      <c r="BD31" s="17">
        <v>0.0</v>
      </c>
      <c r="BE31" s="17">
        <v>0.0</v>
      </c>
      <c r="BF31" s="17">
        <v>0.0</v>
      </c>
      <c r="BG31" s="17">
        <v>0.0</v>
      </c>
      <c r="BH31" s="17">
        <v>0.0</v>
      </c>
      <c r="BI31" s="17">
        <v>0.0</v>
      </c>
      <c r="BJ31" s="17">
        <v>0.0</v>
      </c>
      <c r="BK31" s="17">
        <v>0.0</v>
      </c>
      <c r="BL31" s="17">
        <v>0.0</v>
      </c>
      <c r="BM31" s="17">
        <v>0.0</v>
      </c>
      <c r="BN31" s="17">
        <v>0.0</v>
      </c>
      <c r="BO31" s="17">
        <v>0.0</v>
      </c>
      <c r="BP31" s="17">
        <v>0.0</v>
      </c>
      <c r="BQ31" s="17">
        <v>0.0</v>
      </c>
      <c r="BR31" s="20">
        <v>0.0</v>
      </c>
      <c r="BS31" s="17">
        <v>0.0</v>
      </c>
      <c r="BT31" s="17">
        <v>0.0</v>
      </c>
      <c r="BU31" s="17">
        <v>0.0</v>
      </c>
      <c r="BV31" s="17">
        <v>0.0</v>
      </c>
    </row>
    <row r="32" ht="26.25" customHeight="1">
      <c r="A32" s="12">
        <f t="shared" si="7"/>
        <v>27</v>
      </c>
      <c r="B32" s="13" t="s">
        <v>51</v>
      </c>
      <c r="C32" s="14">
        <f t="shared" si="2"/>
        <v>3</v>
      </c>
      <c r="D32" s="14">
        <f t="shared" si="3"/>
        <v>3</v>
      </c>
      <c r="E32" s="14">
        <f t="shared" si="4"/>
        <v>7</v>
      </c>
      <c r="F32" s="14">
        <f t="shared" si="5"/>
        <v>8</v>
      </c>
      <c r="G32" s="15">
        <f t="shared" si="6"/>
        <v>0</v>
      </c>
      <c r="H32" s="16">
        <f>'Sulawesi Tengah '!$H$27</f>
        <v>22</v>
      </c>
      <c r="I32" s="17">
        <v>0.0</v>
      </c>
      <c r="J32" s="17">
        <v>0.0</v>
      </c>
      <c r="K32" s="17">
        <v>0.0</v>
      </c>
      <c r="L32" s="17">
        <v>0.0</v>
      </c>
      <c r="M32" s="17">
        <v>1.0</v>
      </c>
      <c r="N32" s="17">
        <v>0.0</v>
      </c>
      <c r="O32" s="17">
        <v>1.0</v>
      </c>
      <c r="P32" s="17">
        <v>1.0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1.0</v>
      </c>
      <c r="X32" s="17">
        <v>1.0</v>
      </c>
      <c r="Y32" s="17">
        <v>0.0</v>
      </c>
      <c r="Z32" s="17">
        <v>0.0</v>
      </c>
      <c r="AA32" s="17">
        <v>0.0</v>
      </c>
      <c r="AB32" s="17">
        <v>1.0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17">
        <v>2.0</v>
      </c>
      <c r="AI32" s="17">
        <v>1.0</v>
      </c>
      <c r="AJ32" s="17">
        <v>0.0</v>
      </c>
      <c r="AK32" s="17">
        <v>0.0</v>
      </c>
      <c r="AL32" s="17">
        <v>0.0</v>
      </c>
      <c r="AM32" s="17">
        <v>0.0</v>
      </c>
      <c r="AN32" s="17">
        <v>0.0</v>
      </c>
      <c r="AO32" s="17">
        <v>0.0</v>
      </c>
      <c r="AP32" s="17">
        <v>2.0</v>
      </c>
      <c r="AQ32" s="17">
        <v>2.0</v>
      </c>
      <c r="AR32" s="17">
        <v>0.0</v>
      </c>
      <c r="AS32" s="17">
        <v>1.0</v>
      </c>
      <c r="AT32" s="17">
        <v>1.0</v>
      </c>
      <c r="AU32" s="17">
        <v>0.0</v>
      </c>
      <c r="AV32" s="17">
        <v>1.0</v>
      </c>
      <c r="AW32" s="17">
        <v>2.0</v>
      </c>
      <c r="AX32" s="17">
        <v>0.0</v>
      </c>
      <c r="AY32" s="17">
        <v>0.0</v>
      </c>
      <c r="AZ32" s="17">
        <v>1.0</v>
      </c>
      <c r="BA32" s="17">
        <v>0.0</v>
      </c>
      <c r="BB32" s="17">
        <v>1.0</v>
      </c>
      <c r="BC32" s="17">
        <v>1.0</v>
      </c>
      <c r="BD32" s="17">
        <v>0.0</v>
      </c>
      <c r="BE32" s="17">
        <v>0.0</v>
      </c>
      <c r="BF32" s="17">
        <v>0.0</v>
      </c>
      <c r="BG32" s="17">
        <v>0.0</v>
      </c>
      <c r="BH32" s="17">
        <v>0.0</v>
      </c>
      <c r="BI32" s="17">
        <v>0.0</v>
      </c>
      <c r="BJ32" s="17">
        <v>0.0</v>
      </c>
      <c r="BK32" s="17">
        <v>0.0</v>
      </c>
      <c r="BL32" s="17">
        <v>0.0</v>
      </c>
      <c r="BM32" s="17">
        <v>0.0</v>
      </c>
      <c r="BN32" s="17">
        <v>0.0</v>
      </c>
      <c r="BO32" s="17">
        <v>0.0</v>
      </c>
      <c r="BP32" s="17">
        <v>0.0</v>
      </c>
      <c r="BQ32" s="17">
        <v>0.0</v>
      </c>
      <c r="BR32" s="20">
        <v>0.0</v>
      </c>
      <c r="BS32" s="17">
        <v>0.0</v>
      </c>
      <c r="BT32" s="17">
        <v>0.0</v>
      </c>
      <c r="BU32" s="17">
        <v>0.0</v>
      </c>
      <c r="BV32" s="17">
        <v>0.0</v>
      </c>
    </row>
    <row r="33" ht="26.25" customHeight="1">
      <c r="A33" s="12">
        <f t="shared" si="7"/>
        <v>28</v>
      </c>
      <c r="B33" s="13" t="s">
        <v>52</v>
      </c>
      <c r="C33" s="14">
        <f t="shared" si="2"/>
        <v>5</v>
      </c>
      <c r="D33" s="14">
        <f t="shared" si="3"/>
        <v>9</v>
      </c>
      <c r="E33" s="14">
        <f t="shared" si="4"/>
        <v>7</v>
      </c>
      <c r="F33" s="14">
        <f t="shared" si="5"/>
        <v>2</v>
      </c>
      <c r="G33" s="14">
        <f t="shared" si="6"/>
        <v>1</v>
      </c>
      <c r="H33" s="16">
        <f>'Sulawesi Utara'!$H$31</f>
        <v>26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3.0</v>
      </c>
      <c r="O33" s="17">
        <v>2.0</v>
      </c>
      <c r="P33" s="17">
        <v>0.0</v>
      </c>
      <c r="Q33" s="17">
        <v>0.0</v>
      </c>
      <c r="R33" s="17">
        <v>0.0</v>
      </c>
      <c r="S33" s="17">
        <v>0.0</v>
      </c>
      <c r="T33" s="17">
        <v>0.0</v>
      </c>
      <c r="U33" s="17">
        <v>1.0</v>
      </c>
      <c r="V33" s="17">
        <v>0.0</v>
      </c>
      <c r="W33" s="17">
        <v>0.0</v>
      </c>
      <c r="X33" s="17">
        <v>1.0</v>
      </c>
      <c r="Y33" s="17">
        <v>3.0</v>
      </c>
      <c r="Z33" s="17">
        <v>2.0</v>
      </c>
      <c r="AA33" s="17">
        <v>2.0</v>
      </c>
      <c r="AB33" s="17">
        <v>0.0</v>
      </c>
      <c r="AC33" s="17">
        <v>0.0</v>
      </c>
      <c r="AD33" s="17">
        <v>0.0</v>
      </c>
      <c r="AE33" s="17">
        <v>0.0</v>
      </c>
      <c r="AF33" s="17">
        <v>0.0</v>
      </c>
      <c r="AG33" s="17">
        <v>1.0</v>
      </c>
      <c r="AH33" s="17">
        <v>2.0</v>
      </c>
      <c r="AI33" s="17">
        <v>0.0</v>
      </c>
      <c r="AJ33" s="17">
        <v>0.0</v>
      </c>
      <c r="AK33" s="17">
        <v>0.0</v>
      </c>
      <c r="AL33" s="17">
        <v>0.0</v>
      </c>
      <c r="AM33" s="17">
        <v>0.0</v>
      </c>
      <c r="AN33" s="17">
        <v>0.0</v>
      </c>
      <c r="AO33" s="17">
        <v>1.0</v>
      </c>
      <c r="AP33" s="17">
        <v>3.0</v>
      </c>
      <c r="AQ33" s="17">
        <v>0.0</v>
      </c>
      <c r="AR33" s="17">
        <v>0.0</v>
      </c>
      <c r="AS33" s="17">
        <v>0.0</v>
      </c>
      <c r="AT33" s="17">
        <v>0.0</v>
      </c>
      <c r="AU33" s="17">
        <v>0.0</v>
      </c>
      <c r="AV33" s="17">
        <v>0.0</v>
      </c>
      <c r="AW33" s="17">
        <v>0.0</v>
      </c>
      <c r="AX33" s="17">
        <v>0.0</v>
      </c>
      <c r="AY33" s="17">
        <v>1.0</v>
      </c>
      <c r="AZ33" s="17">
        <f>COUNTA(Aceh!D58)</f>
        <v>0</v>
      </c>
      <c r="BA33" s="17">
        <v>0.0</v>
      </c>
      <c r="BB33" s="17">
        <v>0.0</v>
      </c>
      <c r="BC33" s="17">
        <v>1.0</v>
      </c>
      <c r="BD33" s="17">
        <v>0.0</v>
      </c>
      <c r="BE33" s="17">
        <v>0.0</v>
      </c>
      <c r="BF33" s="14">
        <v>1.0</v>
      </c>
      <c r="BG33" s="17">
        <v>0.0</v>
      </c>
      <c r="BH33" s="17">
        <v>0.0</v>
      </c>
      <c r="BI33" s="17">
        <v>0.0</v>
      </c>
      <c r="BJ33" s="17">
        <v>0.0</v>
      </c>
      <c r="BK33" s="17">
        <v>0.0</v>
      </c>
      <c r="BL33" s="17">
        <v>0.0</v>
      </c>
      <c r="BM33" s="17">
        <v>0.0</v>
      </c>
      <c r="BN33" s="17">
        <v>0.0</v>
      </c>
      <c r="BO33" s="17">
        <v>0.0</v>
      </c>
      <c r="BP33" s="17">
        <v>0.0</v>
      </c>
      <c r="BQ33" s="17">
        <v>0.0</v>
      </c>
      <c r="BR33" s="20">
        <v>0.0</v>
      </c>
      <c r="BS33" s="17">
        <v>0.0</v>
      </c>
      <c r="BT33" s="17">
        <v>0.0</v>
      </c>
      <c r="BU33" s="19">
        <v>2.0</v>
      </c>
      <c r="BV33" s="17">
        <v>0.0</v>
      </c>
    </row>
    <row r="34" ht="26.25" customHeight="1">
      <c r="A34" s="12">
        <f t="shared" si="7"/>
        <v>29</v>
      </c>
      <c r="B34" s="13" t="s">
        <v>53</v>
      </c>
      <c r="C34" s="14">
        <f t="shared" si="2"/>
        <v>4</v>
      </c>
      <c r="D34" s="14">
        <f t="shared" si="3"/>
        <v>4</v>
      </c>
      <c r="E34" s="17">
        <f t="shared" si="4"/>
        <v>0</v>
      </c>
      <c r="F34" s="14">
        <f t="shared" si="5"/>
        <v>1</v>
      </c>
      <c r="G34" s="14">
        <f t="shared" si="6"/>
        <v>1</v>
      </c>
      <c r="H34" s="16">
        <f>'Sulawesi Tenggara'!$H$19</f>
        <v>14</v>
      </c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2.0</v>
      </c>
      <c r="O34" s="17">
        <v>0.0</v>
      </c>
      <c r="P34" s="17">
        <v>0.0</v>
      </c>
      <c r="Q34" s="17">
        <v>2.0</v>
      </c>
      <c r="R34" s="17">
        <v>0.0</v>
      </c>
      <c r="S34" s="17">
        <v>0.0</v>
      </c>
      <c r="T34" s="17">
        <v>0.0</v>
      </c>
      <c r="U34" s="17">
        <v>1.0</v>
      </c>
      <c r="V34" s="17">
        <v>0.0</v>
      </c>
      <c r="W34" s="17">
        <v>0.0</v>
      </c>
      <c r="X34" s="17">
        <v>0.0</v>
      </c>
      <c r="Y34" s="17">
        <v>0.0</v>
      </c>
      <c r="Z34" s="17">
        <v>1.0</v>
      </c>
      <c r="AA34" s="17">
        <v>0.0</v>
      </c>
      <c r="AB34" s="17">
        <v>0.0</v>
      </c>
      <c r="AC34" s="17">
        <v>0.0</v>
      </c>
      <c r="AD34" s="17">
        <v>0.0</v>
      </c>
      <c r="AE34" s="17">
        <v>0.0</v>
      </c>
      <c r="AF34" s="17">
        <v>2.0</v>
      </c>
      <c r="AG34" s="17">
        <v>0.0</v>
      </c>
      <c r="AH34" s="17">
        <v>0.0</v>
      </c>
      <c r="AI34" s="17">
        <v>0.0</v>
      </c>
      <c r="AJ34" s="17">
        <v>0.0</v>
      </c>
      <c r="AK34" s="17">
        <v>0.0</v>
      </c>
      <c r="AL34" s="17">
        <v>0.0</v>
      </c>
      <c r="AM34" s="17">
        <v>0.0</v>
      </c>
      <c r="AN34" s="17">
        <v>0.0</v>
      </c>
      <c r="AO34" s="17">
        <v>0.0</v>
      </c>
      <c r="AP34" s="17">
        <v>0.0</v>
      </c>
      <c r="AQ34" s="17">
        <v>0.0</v>
      </c>
      <c r="AR34" s="17">
        <v>0.0</v>
      </c>
      <c r="AS34" s="17">
        <v>0.0</v>
      </c>
      <c r="AT34" s="17">
        <v>0.0</v>
      </c>
      <c r="AU34" s="17">
        <v>0.0</v>
      </c>
      <c r="AV34" s="17">
        <v>0.0</v>
      </c>
      <c r="AW34" s="17">
        <v>0.0</v>
      </c>
      <c r="AX34" s="17">
        <v>0.0</v>
      </c>
      <c r="AY34" s="17">
        <v>0.0</v>
      </c>
      <c r="AZ34" s="17">
        <v>1.0</v>
      </c>
      <c r="BA34" s="17">
        <v>0.0</v>
      </c>
      <c r="BB34" s="17">
        <v>0.0</v>
      </c>
      <c r="BC34" s="17">
        <v>0.0</v>
      </c>
      <c r="BD34" s="17">
        <v>0.0</v>
      </c>
      <c r="BE34" s="17">
        <v>0.0</v>
      </c>
      <c r="BF34" s="14">
        <v>1.0</v>
      </c>
      <c r="BG34" s="17">
        <v>0.0</v>
      </c>
      <c r="BH34" s="17">
        <v>0.0</v>
      </c>
      <c r="BI34" s="17">
        <v>0.0</v>
      </c>
      <c r="BJ34" s="17">
        <v>0.0</v>
      </c>
      <c r="BK34" s="17">
        <v>0.0</v>
      </c>
      <c r="BL34" s="17">
        <v>0.0</v>
      </c>
      <c r="BM34" s="17">
        <v>0.0</v>
      </c>
      <c r="BN34" s="17">
        <v>0.0</v>
      </c>
      <c r="BO34" s="17">
        <v>0.0</v>
      </c>
      <c r="BP34" s="17">
        <v>0.0</v>
      </c>
      <c r="BQ34" s="18">
        <v>1.0</v>
      </c>
      <c r="BR34" s="20">
        <v>0.0</v>
      </c>
      <c r="BS34" s="17">
        <v>0.0</v>
      </c>
      <c r="BT34" s="17">
        <v>0.0</v>
      </c>
      <c r="BU34" s="19">
        <v>1.0</v>
      </c>
      <c r="BV34" s="18">
        <v>1.0</v>
      </c>
    </row>
    <row r="35" ht="26.25" customHeight="1">
      <c r="A35" s="12">
        <f t="shared" si="7"/>
        <v>30</v>
      </c>
      <c r="B35" s="13" t="s">
        <v>54</v>
      </c>
      <c r="C35" s="14">
        <f t="shared" si="2"/>
        <v>14</v>
      </c>
      <c r="D35" s="14">
        <f t="shared" si="3"/>
        <v>19</v>
      </c>
      <c r="E35" s="14">
        <f t="shared" si="4"/>
        <v>9</v>
      </c>
      <c r="F35" s="14">
        <f t="shared" si="5"/>
        <v>7</v>
      </c>
      <c r="G35" s="14">
        <f t="shared" si="6"/>
        <v>4</v>
      </c>
      <c r="H35" s="16">
        <f>'Sulawesi Selatan'!$H$60</f>
        <v>55</v>
      </c>
      <c r="I35" s="17">
        <v>0.0</v>
      </c>
      <c r="J35" s="17">
        <v>0.0</v>
      </c>
      <c r="K35" s="17">
        <v>0.0</v>
      </c>
      <c r="L35" s="17">
        <v>0.0</v>
      </c>
      <c r="M35" s="17">
        <v>2.0</v>
      </c>
      <c r="N35" s="17">
        <v>1.0</v>
      </c>
      <c r="O35" s="17">
        <v>1.0</v>
      </c>
      <c r="P35" s="17">
        <v>1.0</v>
      </c>
      <c r="Q35" s="17">
        <v>0.0</v>
      </c>
      <c r="R35" s="17">
        <v>1.0</v>
      </c>
      <c r="S35" s="17">
        <v>3.0</v>
      </c>
      <c r="T35" s="17">
        <v>5.0</v>
      </c>
      <c r="U35" s="17">
        <v>5.0</v>
      </c>
      <c r="V35" s="17">
        <v>6.0</v>
      </c>
      <c r="W35" s="17">
        <v>3.0</v>
      </c>
      <c r="X35" s="17">
        <v>2.0</v>
      </c>
      <c r="Y35" s="17">
        <v>1.0</v>
      </c>
      <c r="Z35" s="17">
        <v>0.0</v>
      </c>
      <c r="AA35" s="17">
        <v>0.0</v>
      </c>
      <c r="AB35" s="17">
        <v>2.0</v>
      </c>
      <c r="AC35" s="17">
        <v>0.0</v>
      </c>
      <c r="AD35" s="17">
        <v>0.0</v>
      </c>
      <c r="AE35" s="17">
        <v>0.0</v>
      </c>
      <c r="AF35" s="17">
        <v>0.0</v>
      </c>
      <c r="AG35" s="17">
        <v>1.0</v>
      </c>
      <c r="AH35" s="17">
        <v>0.0</v>
      </c>
      <c r="AI35" s="17">
        <v>0.0</v>
      </c>
      <c r="AJ35" s="17">
        <v>0.0</v>
      </c>
      <c r="AK35" s="17">
        <v>1.0</v>
      </c>
      <c r="AL35" s="17">
        <v>1.0</v>
      </c>
      <c r="AM35" s="17">
        <v>0.0</v>
      </c>
      <c r="AN35" s="17">
        <v>2.0</v>
      </c>
      <c r="AO35" s="17">
        <v>0.0</v>
      </c>
      <c r="AP35" s="17">
        <v>1.0</v>
      </c>
      <c r="AQ35" s="17">
        <v>3.0</v>
      </c>
      <c r="AR35" s="17">
        <v>0.0</v>
      </c>
      <c r="AS35" s="17">
        <v>2.0</v>
      </c>
      <c r="AT35" s="17">
        <v>0.0</v>
      </c>
      <c r="AU35" s="17">
        <v>1.0</v>
      </c>
      <c r="AV35" s="17">
        <v>0.0</v>
      </c>
      <c r="AW35" s="17">
        <v>0.0</v>
      </c>
      <c r="AX35" s="17">
        <v>0.0</v>
      </c>
      <c r="AY35" s="17">
        <v>0.0</v>
      </c>
      <c r="AZ35" s="17">
        <v>2.0</v>
      </c>
      <c r="BA35" s="17">
        <v>0.0</v>
      </c>
      <c r="BB35" s="17">
        <v>1.0</v>
      </c>
      <c r="BC35" s="17">
        <v>0.0</v>
      </c>
      <c r="BD35" s="17">
        <v>1.0</v>
      </c>
      <c r="BE35" s="17">
        <v>0.0</v>
      </c>
      <c r="BF35" s="14">
        <v>1.0</v>
      </c>
      <c r="BG35" s="17">
        <v>0.0</v>
      </c>
      <c r="BH35" s="14">
        <v>1.0</v>
      </c>
      <c r="BI35" s="17">
        <v>0.0</v>
      </c>
      <c r="BJ35" s="14">
        <v>1.0</v>
      </c>
      <c r="BK35" s="17">
        <v>0.0</v>
      </c>
      <c r="BL35" s="17">
        <v>0.0</v>
      </c>
      <c r="BM35" s="14">
        <v>1.0</v>
      </c>
      <c r="BN35" s="17">
        <v>0.0</v>
      </c>
      <c r="BO35" s="17">
        <v>0.0</v>
      </c>
      <c r="BP35" s="17">
        <v>0.0</v>
      </c>
      <c r="BQ35" s="17">
        <v>0.0</v>
      </c>
      <c r="BR35" s="20">
        <v>0.0</v>
      </c>
      <c r="BS35" s="17">
        <v>0.0</v>
      </c>
      <c r="BT35" s="17">
        <v>0.0</v>
      </c>
      <c r="BU35" s="17">
        <v>0.0</v>
      </c>
      <c r="BV35" s="18">
        <v>1.0</v>
      </c>
    </row>
    <row r="36" ht="26.25" customHeight="1">
      <c r="A36" s="12">
        <f t="shared" si="7"/>
        <v>31</v>
      </c>
      <c r="B36" s="13" t="s">
        <v>55</v>
      </c>
      <c r="C36" s="17">
        <f t="shared" si="2"/>
        <v>0</v>
      </c>
      <c r="D36" s="17">
        <f t="shared" si="3"/>
        <v>0</v>
      </c>
      <c r="E36" s="17">
        <f t="shared" si="4"/>
        <v>0</v>
      </c>
      <c r="F36" s="17">
        <f t="shared" si="5"/>
        <v>0</v>
      </c>
      <c r="G36" s="15">
        <f t="shared" si="6"/>
        <v>0</v>
      </c>
      <c r="H36" s="16">
        <v>0.0</v>
      </c>
      <c r="I36" s="17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  <c r="S36" s="17">
        <v>0.0</v>
      </c>
      <c r="T36" s="17">
        <v>0.0</v>
      </c>
      <c r="U36" s="17">
        <v>0.0</v>
      </c>
      <c r="V36" s="17">
        <v>0.0</v>
      </c>
      <c r="W36" s="17">
        <v>0.0</v>
      </c>
      <c r="X36" s="17">
        <v>0.0</v>
      </c>
      <c r="Y36" s="17">
        <v>0.0</v>
      </c>
      <c r="Z36" s="17">
        <v>0.0</v>
      </c>
      <c r="AA36" s="17">
        <v>0.0</v>
      </c>
      <c r="AB36" s="17">
        <v>0.0</v>
      </c>
      <c r="AC36" s="17">
        <v>0.0</v>
      </c>
      <c r="AD36" s="17">
        <v>0.0</v>
      </c>
      <c r="AE36" s="17">
        <v>0.0</v>
      </c>
      <c r="AF36" s="17">
        <v>0.0</v>
      </c>
      <c r="AG36" s="17">
        <v>0.0</v>
      </c>
      <c r="AH36" s="17">
        <v>0.0</v>
      </c>
      <c r="AI36" s="17">
        <v>0.0</v>
      </c>
      <c r="AJ36" s="17">
        <v>0.0</v>
      </c>
      <c r="AK36" s="17">
        <v>0.0</v>
      </c>
      <c r="AL36" s="17">
        <v>0.0</v>
      </c>
      <c r="AM36" s="17">
        <v>0.0</v>
      </c>
      <c r="AN36" s="17">
        <v>0.0</v>
      </c>
      <c r="AO36" s="17">
        <v>0.0</v>
      </c>
      <c r="AP36" s="17">
        <v>0.0</v>
      </c>
      <c r="AQ36" s="17">
        <v>0.0</v>
      </c>
      <c r="AR36" s="17">
        <v>0.0</v>
      </c>
      <c r="AS36" s="17">
        <v>0.0</v>
      </c>
      <c r="AT36" s="17">
        <v>0.0</v>
      </c>
      <c r="AU36" s="17">
        <v>0.0</v>
      </c>
      <c r="AV36" s="17">
        <v>0.0</v>
      </c>
      <c r="AW36" s="17">
        <v>0.0</v>
      </c>
      <c r="AX36" s="17">
        <v>0.0</v>
      </c>
      <c r="AY36" s="17">
        <v>0.0</v>
      </c>
      <c r="AZ36" s="17">
        <v>0.0</v>
      </c>
      <c r="BA36" s="17">
        <v>0.0</v>
      </c>
      <c r="BB36" s="17">
        <v>0.0</v>
      </c>
      <c r="BC36" s="17">
        <v>0.0</v>
      </c>
      <c r="BD36" s="17">
        <v>0.0</v>
      </c>
      <c r="BE36" s="17">
        <v>0.0</v>
      </c>
      <c r="BF36" s="17">
        <v>0.0</v>
      </c>
      <c r="BG36" s="17">
        <v>0.0</v>
      </c>
      <c r="BH36" s="17">
        <v>0.0</v>
      </c>
      <c r="BI36" s="17">
        <v>0.0</v>
      </c>
      <c r="BJ36" s="17">
        <v>0.0</v>
      </c>
      <c r="BK36" s="17">
        <v>0.0</v>
      </c>
      <c r="BL36" s="17">
        <v>0.0</v>
      </c>
      <c r="BM36" s="17">
        <v>0.0</v>
      </c>
      <c r="BN36" s="17">
        <v>0.0</v>
      </c>
      <c r="BO36" s="17">
        <v>0.0</v>
      </c>
      <c r="BP36" s="17">
        <v>0.0</v>
      </c>
      <c r="BQ36" s="17">
        <v>0.0</v>
      </c>
      <c r="BR36" s="20">
        <v>0.0</v>
      </c>
      <c r="BS36" s="17">
        <v>0.0</v>
      </c>
      <c r="BT36" s="17">
        <v>0.0</v>
      </c>
      <c r="BU36" s="17">
        <v>0.0</v>
      </c>
      <c r="BV36" s="17">
        <v>0.0</v>
      </c>
    </row>
    <row r="37" ht="26.25" customHeight="1">
      <c r="A37" s="12">
        <f t="shared" si="7"/>
        <v>32</v>
      </c>
      <c r="B37" s="13" t="s">
        <v>56</v>
      </c>
      <c r="C37" s="14">
        <f t="shared" si="2"/>
        <v>1</v>
      </c>
      <c r="D37" s="17">
        <f t="shared" si="3"/>
        <v>0</v>
      </c>
      <c r="E37" s="17">
        <f t="shared" si="4"/>
        <v>0</v>
      </c>
      <c r="F37" s="14">
        <f t="shared" si="5"/>
        <v>1</v>
      </c>
      <c r="G37" s="15">
        <f t="shared" si="6"/>
        <v>0</v>
      </c>
      <c r="H37" s="16">
        <f>'Maluku '!$H$8</f>
        <v>3</v>
      </c>
      <c r="I37" s="17">
        <v>0.0</v>
      </c>
      <c r="J37" s="17">
        <v>0.0</v>
      </c>
      <c r="K37" s="17">
        <v>0.0</v>
      </c>
      <c r="L37" s="17">
        <v>1.0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  <c r="S37" s="17">
        <v>0.0</v>
      </c>
      <c r="T37" s="17">
        <v>0.0</v>
      </c>
      <c r="U37" s="17">
        <v>0.0</v>
      </c>
      <c r="V37" s="17">
        <v>0.0</v>
      </c>
      <c r="W37" s="17">
        <v>0.0</v>
      </c>
      <c r="X37" s="17">
        <v>0.0</v>
      </c>
      <c r="Y37" s="17">
        <v>0.0</v>
      </c>
      <c r="Z37" s="17">
        <v>0.0</v>
      </c>
      <c r="AA37" s="17">
        <v>0.0</v>
      </c>
      <c r="AB37" s="17">
        <v>0.0</v>
      </c>
      <c r="AC37" s="17">
        <v>0.0</v>
      </c>
      <c r="AD37" s="17">
        <v>0.0</v>
      </c>
      <c r="AE37" s="17">
        <v>0.0</v>
      </c>
      <c r="AF37" s="17">
        <v>0.0</v>
      </c>
      <c r="AG37" s="17">
        <v>0.0</v>
      </c>
      <c r="AH37" s="17">
        <v>0.0</v>
      </c>
      <c r="AI37" s="17">
        <v>0.0</v>
      </c>
      <c r="AJ37" s="17">
        <v>0.0</v>
      </c>
      <c r="AK37" s="17">
        <v>0.0</v>
      </c>
      <c r="AL37" s="17">
        <v>0.0</v>
      </c>
      <c r="AM37" s="17">
        <v>0.0</v>
      </c>
      <c r="AN37" s="17">
        <v>0.0</v>
      </c>
      <c r="AO37" s="17">
        <v>0.0</v>
      </c>
      <c r="AP37" s="17">
        <v>0.0</v>
      </c>
      <c r="AQ37" s="17">
        <v>0.0</v>
      </c>
      <c r="AR37" s="17">
        <v>0.0</v>
      </c>
      <c r="AS37" s="17">
        <v>0.0</v>
      </c>
      <c r="AT37" s="17">
        <v>0.0</v>
      </c>
      <c r="AU37" s="17">
        <v>0.0</v>
      </c>
      <c r="AV37" s="17">
        <v>0.0</v>
      </c>
      <c r="AW37" s="17">
        <v>0.0</v>
      </c>
      <c r="AX37" s="17">
        <v>0.0</v>
      </c>
      <c r="AY37" s="17">
        <v>0.0</v>
      </c>
      <c r="AZ37" s="17">
        <f>COUNTA(Aceh!D62)</f>
        <v>0</v>
      </c>
      <c r="BA37" s="17">
        <v>0.0</v>
      </c>
      <c r="BB37" s="17">
        <v>0.0</v>
      </c>
      <c r="BC37" s="17">
        <v>0.0</v>
      </c>
      <c r="BD37" s="17">
        <v>1.0</v>
      </c>
      <c r="BE37" s="17">
        <v>0.0</v>
      </c>
      <c r="BF37" s="17">
        <v>0.0</v>
      </c>
      <c r="BG37" s="17">
        <v>0.0</v>
      </c>
      <c r="BH37" s="17">
        <v>0.0</v>
      </c>
      <c r="BI37" s="17">
        <v>0.0</v>
      </c>
      <c r="BJ37" s="17">
        <v>0.0</v>
      </c>
      <c r="BK37" s="17">
        <v>0.0</v>
      </c>
      <c r="BL37" s="17">
        <v>0.0</v>
      </c>
      <c r="BM37" s="17">
        <v>0.0</v>
      </c>
      <c r="BN37" s="17">
        <v>0.0</v>
      </c>
      <c r="BO37" s="17">
        <v>0.0</v>
      </c>
      <c r="BP37" s="17">
        <v>0.0</v>
      </c>
      <c r="BQ37" s="17">
        <v>0.0</v>
      </c>
      <c r="BR37" s="20">
        <v>0.0</v>
      </c>
      <c r="BS37" s="17">
        <v>0.0</v>
      </c>
      <c r="BT37" s="17">
        <v>0.0</v>
      </c>
      <c r="BU37" s="17">
        <v>0.0</v>
      </c>
      <c r="BV37" s="17">
        <v>0.0</v>
      </c>
    </row>
    <row r="38" ht="26.25" customHeight="1">
      <c r="A38" s="12">
        <f t="shared" si="7"/>
        <v>33</v>
      </c>
      <c r="B38" s="13" t="s">
        <v>57</v>
      </c>
      <c r="C38" s="17">
        <f t="shared" si="2"/>
        <v>0</v>
      </c>
      <c r="D38" s="17">
        <f t="shared" si="3"/>
        <v>0</v>
      </c>
      <c r="E38" s="17">
        <f t="shared" si="4"/>
        <v>0</v>
      </c>
      <c r="F38" s="14">
        <f t="shared" si="5"/>
        <v>1</v>
      </c>
      <c r="G38" s="14">
        <f t="shared" si="6"/>
        <v>1</v>
      </c>
      <c r="H38" s="16">
        <f>'Papua Barat'!$E$8</f>
        <v>2</v>
      </c>
      <c r="I38" s="17">
        <v>0.0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  <c r="V38" s="17">
        <v>0.0</v>
      </c>
      <c r="W38" s="17">
        <v>0.0</v>
      </c>
      <c r="X38" s="17">
        <v>0.0</v>
      </c>
      <c r="Y38" s="17">
        <v>0.0</v>
      </c>
      <c r="Z38" s="17">
        <v>0.0</v>
      </c>
      <c r="AA38" s="17">
        <v>0.0</v>
      </c>
      <c r="AB38" s="17">
        <v>0.0</v>
      </c>
      <c r="AC38" s="17">
        <v>0.0</v>
      </c>
      <c r="AD38" s="17">
        <v>0.0</v>
      </c>
      <c r="AE38" s="17">
        <v>0.0</v>
      </c>
      <c r="AF38" s="17">
        <v>0.0</v>
      </c>
      <c r="AG38" s="17">
        <v>0.0</v>
      </c>
      <c r="AH38" s="17">
        <v>0.0</v>
      </c>
      <c r="AI38" s="17">
        <v>0.0</v>
      </c>
      <c r="AJ38" s="17">
        <v>0.0</v>
      </c>
      <c r="AK38" s="17">
        <v>0.0</v>
      </c>
      <c r="AL38" s="17">
        <v>0.0</v>
      </c>
      <c r="AM38" s="17">
        <v>0.0</v>
      </c>
      <c r="AN38" s="17">
        <v>0.0</v>
      </c>
      <c r="AO38" s="17">
        <v>0.0</v>
      </c>
      <c r="AP38" s="17">
        <v>0.0</v>
      </c>
      <c r="AQ38" s="17">
        <v>0.0</v>
      </c>
      <c r="AR38" s="17">
        <v>0.0</v>
      </c>
      <c r="AS38" s="17">
        <v>0.0</v>
      </c>
      <c r="AT38" s="17">
        <v>0.0</v>
      </c>
      <c r="AU38" s="17">
        <v>0.0</v>
      </c>
      <c r="AV38" s="17">
        <v>0.0</v>
      </c>
      <c r="AW38" s="17">
        <v>1.0</v>
      </c>
      <c r="AX38" s="17">
        <v>0.0</v>
      </c>
      <c r="AY38" s="17">
        <v>0.0</v>
      </c>
      <c r="AZ38" s="17">
        <f>COUNTA(Aceh!D63)</f>
        <v>0</v>
      </c>
      <c r="BA38" s="17">
        <v>0.0</v>
      </c>
      <c r="BB38" s="17">
        <v>0.0</v>
      </c>
      <c r="BC38" s="17">
        <v>0.0</v>
      </c>
      <c r="BD38" s="17">
        <v>0.0</v>
      </c>
      <c r="BE38" s="17">
        <v>0.0</v>
      </c>
      <c r="BF38" s="17">
        <v>0.0</v>
      </c>
      <c r="BG38" s="17">
        <v>0.0</v>
      </c>
      <c r="BH38" s="17">
        <v>0.0</v>
      </c>
      <c r="BI38" s="17">
        <v>0.0</v>
      </c>
      <c r="BJ38" s="17">
        <v>0.0</v>
      </c>
      <c r="BK38" s="17">
        <v>0.0</v>
      </c>
      <c r="BL38" s="17">
        <v>0.0</v>
      </c>
      <c r="BM38" s="14">
        <v>1.0</v>
      </c>
      <c r="BN38" s="17">
        <v>0.0</v>
      </c>
      <c r="BO38" s="17">
        <v>0.0</v>
      </c>
      <c r="BP38" s="17">
        <v>0.0</v>
      </c>
      <c r="BQ38" s="17">
        <v>0.0</v>
      </c>
      <c r="BR38" s="20">
        <v>0.0</v>
      </c>
      <c r="BS38" s="17">
        <v>0.0</v>
      </c>
      <c r="BT38" s="17">
        <v>0.0</v>
      </c>
      <c r="BU38" s="17">
        <v>0.0</v>
      </c>
      <c r="BV38" s="17">
        <v>0.0</v>
      </c>
    </row>
    <row r="39" ht="26.25" customHeight="1">
      <c r="A39" s="12">
        <f t="shared" si="7"/>
        <v>34</v>
      </c>
      <c r="B39" s="13" t="s">
        <v>58</v>
      </c>
      <c r="C39" s="14">
        <f t="shared" si="2"/>
        <v>4</v>
      </c>
      <c r="D39" s="14">
        <f t="shared" si="3"/>
        <v>2</v>
      </c>
      <c r="E39" s="14">
        <f t="shared" si="4"/>
        <v>4</v>
      </c>
      <c r="F39" s="14">
        <f t="shared" si="5"/>
        <v>1</v>
      </c>
      <c r="G39" s="14">
        <f t="shared" si="6"/>
        <v>2</v>
      </c>
      <c r="H39" s="16">
        <f>'Papua '!$H$20</f>
        <v>14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1.0</v>
      </c>
      <c r="P39" s="17">
        <v>0.0</v>
      </c>
      <c r="Q39" s="17">
        <v>1.0</v>
      </c>
      <c r="R39" s="17">
        <v>1.0</v>
      </c>
      <c r="S39" s="17">
        <v>1.0</v>
      </c>
      <c r="T39" s="17">
        <v>0.0</v>
      </c>
      <c r="U39" s="17">
        <v>0.0</v>
      </c>
      <c r="V39" s="17">
        <v>1.0</v>
      </c>
      <c r="W39" s="17">
        <v>1.0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0.0</v>
      </c>
      <c r="AH39" s="17">
        <v>0.0</v>
      </c>
      <c r="AI39" s="17">
        <v>0.0</v>
      </c>
      <c r="AJ39" s="17">
        <v>1.0</v>
      </c>
      <c r="AK39" s="17">
        <v>0.0</v>
      </c>
      <c r="AL39" s="17">
        <v>2.0</v>
      </c>
      <c r="AM39" s="17">
        <v>1.0</v>
      </c>
      <c r="AN39" s="17">
        <v>0.0</v>
      </c>
      <c r="AO39" s="17">
        <v>0.0</v>
      </c>
      <c r="AP39" s="17">
        <v>0.0</v>
      </c>
      <c r="AQ39" s="17">
        <v>0.0</v>
      </c>
      <c r="AR39" s="17">
        <v>0.0</v>
      </c>
      <c r="AS39" s="17">
        <v>0.0</v>
      </c>
      <c r="AT39" s="17">
        <v>0.0</v>
      </c>
      <c r="AU39" s="17">
        <v>0.0</v>
      </c>
      <c r="AV39" s="17">
        <v>0.0</v>
      </c>
      <c r="AW39" s="17">
        <v>0.0</v>
      </c>
      <c r="AX39" s="17">
        <v>0.0</v>
      </c>
      <c r="AY39" s="17">
        <v>0.0</v>
      </c>
      <c r="AZ39" s="17">
        <f>COUNTA(Aceh!D64)</f>
        <v>0</v>
      </c>
      <c r="BA39" s="17">
        <v>0.0</v>
      </c>
      <c r="BB39" s="17">
        <v>1.0</v>
      </c>
      <c r="BC39" s="17">
        <v>0.0</v>
      </c>
      <c r="BD39" s="17">
        <v>0.0</v>
      </c>
      <c r="BE39" s="17">
        <v>0.0</v>
      </c>
      <c r="BF39" s="17">
        <v>0.0</v>
      </c>
      <c r="BG39" s="14">
        <v>1.0</v>
      </c>
      <c r="BH39" s="17">
        <v>0.0</v>
      </c>
      <c r="BI39" s="17">
        <v>0.0</v>
      </c>
      <c r="BJ39" s="17">
        <v>0.0</v>
      </c>
      <c r="BK39" s="17">
        <v>0.0</v>
      </c>
      <c r="BL39" s="17">
        <v>0.0</v>
      </c>
      <c r="BM39" s="17">
        <v>0.0</v>
      </c>
      <c r="BN39" s="17">
        <v>0.0</v>
      </c>
      <c r="BO39" s="14">
        <v>1.0</v>
      </c>
      <c r="BP39" s="17">
        <v>0.0</v>
      </c>
      <c r="BQ39" s="17">
        <v>0.0</v>
      </c>
      <c r="BR39" s="18">
        <v>1.0</v>
      </c>
      <c r="BS39" s="17">
        <v>0.0</v>
      </c>
      <c r="BT39" s="17">
        <v>0.0</v>
      </c>
      <c r="BU39" s="17">
        <v>0.0</v>
      </c>
      <c r="BV39" s="17">
        <v>0.0</v>
      </c>
    </row>
    <row r="40" ht="26.25" customHeight="1">
      <c r="A40" s="12">
        <f t="shared" si="7"/>
        <v>35</v>
      </c>
      <c r="B40" s="13" t="s">
        <v>59</v>
      </c>
      <c r="C40" s="17">
        <f t="shared" si="2"/>
        <v>0</v>
      </c>
      <c r="D40" s="17">
        <f t="shared" si="3"/>
        <v>0</v>
      </c>
      <c r="E40" s="17">
        <f t="shared" si="4"/>
        <v>0</v>
      </c>
      <c r="F40" s="17">
        <f t="shared" si="5"/>
        <v>0</v>
      </c>
      <c r="G40" s="15">
        <f t="shared" si="6"/>
        <v>0</v>
      </c>
      <c r="H40" s="16">
        <v>0.0</v>
      </c>
      <c r="I40" s="17">
        <v>0.0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  <c r="S40" s="17">
        <v>0.0</v>
      </c>
      <c r="T40" s="17">
        <v>0.0</v>
      </c>
      <c r="U40" s="17">
        <v>0.0</v>
      </c>
      <c r="V40" s="17">
        <v>0.0</v>
      </c>
      <c r="W40" s="17">
        <v>0.0</v>
      </c>
      <c r="X40" s="17">
        <v>0.0</v>
      </c>
      <c r="Y40" s="17">
        <v>0.0</v>
      </c>
      <c r="Z40" s="17">
        <v>0.0</v>
      </c>
      <c r="AA40" s="17">
        <v>0.0</v>
      </c>
      <c r="AB40" s="17">
        <v>0.0</v>
      </c>
      <c r="AC40" s="17">
        <v>0.0</v>
      </c>
      <c r="AD40" s="17">
        <v>0.0</v>
      </c>
      <c r="AE40" s="17">
        <v>0.0</v>
      </c>
      <c r="AF40" s="17">
        <v>0.0</v>
      </c>
      <c r="AG40" s="17">
        <v>0.0</v>
      </c>
      <c r="AH40" s="17">
        <v>0.0</v>
      </c>
      <c r="AI40" s="17">
        <v>0.0</v>
      </c>
      <c r="AJ40" s="17">
        <v>0.0</v>
      </c>
      <c r="AK40" s="17">
        <v>0.0</v>
      </c>
      <c r="AL40" s="17">
        <v>0.0</v>
      </c>
      <c r="AM40" s="17">
        <v>0.0</v>
      </c>
      <c r="AN40" s="17">
        <v>0.0</v>
      </c>
      <c r="AO40" s="17">
        <v>0.0</v>
      </c>
      <c r="AP40" s="17">
        <v>0.0</v>
      </c>
      <c r="AQ40" s="17">
        <v>0.0</v>
      </c>
      <c r="AR40" s="17">
        <v>0.0</v>
      </c>
      <c r="AS40" s="17">
        <v>0.0</v>
      </c>
      <c r="AT40" s="17">
        <v>0.0</v>
      </c>
      <c r="AU40" s="17">
        <v>0.0</v>
      </c>
      <c r="AV40" s="17">
        <v>0.0</v>
      </c>
      <c r="AW40" s="17">
        <v>0.0</v>
      </c>
      <c r="AX40" s="17">
        <v>0.0</v>
      </c>
      <c r="AY40" s="17">
        <v>0.0</v>
      </c>
      <c r="AZ40" s="17">
        <v>0.0</v>
      </c>
      <c r="BA40" s="17">
        <v>0.0</v>
      </c>
      <c r="BB40" s="17">
        <v>0.0</v>
      </c>
      <c r="BC40" s="17">
        <v>0.0</v>
      </c>
      <c r="BD40" s="17">
        <v>0.0</v>
      </c>
      <c r="BE40" s="17">
        <v>0.0</v>
      </c>
      <c r="BF40" s="17">
        <v>0.0</v>
      </c>
      <c r="BG40" s="17">
        <v>0.0</v>
      </c>
      <c r="BH40" s="17">
        <v>0.0</v>
      </c>
      <c r="BI40" s="17">
        <v>0.0</v>
      </c>
      <c r="BJ40" s="17">
        <v>0.0</v>
      </c>
      <c r="BK40" s="17">
        <v>0.0</v>
      </c>
      <c r="BL40" s="17">
        <v>0.0</v>
      </c>
      <c r="BM40" s="17">
        <v>0.0</v>
      </c>
      <c r="BN40" s="17">
        <v>0.0</v>
      </c>
      <c r="BO40" s="17">
        <v>0.0</v>
      </c>
      <c r="BP40" s="17">
        <v>0.0</v>
      </c>
      <c r="BQ40" s="17">
        <v>0.0</v>
      </c>
      <c r="BR40" s="20">
        <v>0.0</v>
      </c>
      <c r="BS40" s="17">
        <v>0.0</v>
      </c>
      <c r="BT40" s="17">
        <v>0.0</v>
      </c>
      <c r="BU40" s="17">
        <v>0.0</v>
      </c>
      <c r="BV40" s="17">
        <v>0.0</v>
      </c>
    </row>
    <row r="41" ht="26.25" customHeight="1">
      <c r="A41" s="12">
        <f t="shared" si="7"/>
        <v>36</v>
      </c>
      <c r="B41" s="13" t="s">
        <v>60</v>
      </c>
      <c r="C41" s="17">
        <f t="shared" si="2"/>
        <v>0</v>
      </c>
      <c r="D41" s="17">
        <f t="shared" si="3"/>
        <v>0</v>
      </c>
      <c r="E41" s="17">
        <f t="shared" si="4"/>
        <v>0</v>
      </c>
      <c r="F41" s="17">
        <f t="shared" si="5"/>
        <v>0</v>
      </c>
      <c r="G41" s="15">
        <f t="shared" si="6"/>
        <v>0</v>
      </c>
      <c r="H41" s="16">
        <v>0.0</v>
      </c>
      <c r="I41" s="17">
        <v>0.0</v>
      </c>
      <c r="J41" s="17">
        <v>0.0</v>
      </c>
      <c r="K41" s="17">
        <v>0.0</v>
      </c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  <c r="S41" s="17">
        <v>0.0</v>
      </c>
      <c r="T41" s="17">
        <v>0.0</v>
      </c>
      <c r="U41" s="17">
        <v>0.0</v>
      </c>
      <c r="V41" s="17">
        <v>0.0</v>
      </c>
      <c r="W41" s="17">
        <v>0.0</v>
      </c>
      <c r="X41" s="17">
        <v>0.0</v>
      </c>
      <c r="Y41" s="17">
        <v>0.0</v>
      </c>
      <c r="Z41" s="17">
        <v>0.0</v>
      </c>
      <c r="AA41" s="17">
        <v>0.0</v>
      </c>
      <c r="AB41" s="17">
        <v>0.0</v>
      </c>
      <c r="AC41" s="17">
        <v>0.0</v>
      </c>
      <c r="AD41" s="17">
        <v>0.0</v>
      </c>
      <c r="AE41" s="17">
        <v>0.0</v>
      </c>
      <c r="AF41" s="17">
        <v>0.0</v>
      </c>
      <c r="AG41" s="17">
        <v>0.0</v>
      </c>
      <c r="AH41" s="17">
        <v>0.0</v>
      </c>
      <c r="AI41" s="17">
        <v>0.0</v>
      </c>
      <c r="AJ41" s="17">
        <v>0.0</v>
      </c>
      <c r="AK41" s="17">
        <v>0.0</v>
      </c>
      <c r="AL41" s="17">
        <v>0.0</v>
      </c>
      <c r="AM41" s="17">
        <v>0.0</v>
      </c>
      <c r="AN41" s="17">
        <v>0.0</v>
      </c>
      <c r="AO41" s="17">
        <v>0.0</v>
      </c>
      <c r="AP41" s="17">
        <v>0.0</v>
      </c>
      <c r="AQ41" s="17">
        <v>0.0</v>
      </c>
      <c r="AR41" s="17">
        <v>0.0</v>
      </c>
      <c r="AS41" s="17">
        <v>0.0</v>
      </c>
      <c r="AT41" s="17">
        <v>0.0</v>
      </c>
      <c r="AU41" s="17">
        <v>0.0</v>
      </c>
      <c r="AV41" s="17">
        <v>0.0</v>
      </c>
      <c r="AW41" s="17">
        <v>0.0</v>
      </c>
      <c r="AX41" s="17">
        <v>0.0</v>
      </c>
      <c r="AY41" s="17">
        <v>0.0</v>
      </c>
      <c r="AZ41" s="17">
        <v>0.0</v>
      </c>
      <c r="BA41" s="17">
        <v>0.0</v>
      </c>
      <c r="BB41" s="17">
        <v>0.0</v>
      </c>
      <c r="BC41" s="17">
        <v>0.0</v>
      </c>
      <c r="BD41" s="17">
        <v>0.0</v>
      </c>
      <c r="BE41" s="17">
        <v>0.0</v>
      </c>
      <c r="BF41" s="17">
        <v>0.0</v>
      </c>
      <c r="BG41" s="17">
        <v>0.0</v>
      </c>
      <c r="BH41" s="17">
        <v>0.0</v>
      </c>
      <c r="BI41" s="17">
        <v>0.0</v>
      </c>
      <c r="BJ41" s="17">
        <v>0.0</v>
      </c>
      <c r="BK41" s="17">
        <v>0.0</v>
      </c>
      <c r="BL41" s="17">
        <v>0.0</v>
      </c>
      <c r="BM41" s="17">
        <v>0.0</v>
      </c>
      <c r="BN41" s="17">
        <v>0.0</v>
      </c>
      <c r="BO41" s="17">
        <v>0.0</v>
      </c>
      <c r="BP41" s="17">
        <v>0.0</v>
      </c>
      <c r="BQ41" s="17">
        <v>0.0</v>
      </c>
      <c r="BR41" s="20">
        <v>0.0</v>
      </c>
      <c r="BS41" s="17">
        <v>0.0</v>
      </c>
      <c r="BT41" s="17">
        <v>0.0</v>
      </c>
      <c r="BU41" s="17">
        <v>0.0</v>
      </c>
      <c r="BV41" s="17">
        <v>0.0</v>
      </c>
    </row>
    <row r="42" ht="26.25" customHeight="1">
      <c r="A42" s="12">
        <f t="shared" si="7"/>
        <v>37</v>
      </c>
      <c r="B42" s="13" t="s">
        <v>61</v>
      </c>
      <c r="C42" s="17">
        <f t="shared" si="2"/>
        <v>0</v>
      </c>
      <c r="D42" s="17">
        <f t="shared" si="3"/>
        <v>0</v>
      </c>
      <c r="E42" s="17">
        <f t="shared" si="4"/>
        <v>0</v>
      </c>
      <c r="F42" s="17">
        <f t="shared" si="5"/>
        <v>0</v>
      </c>
      <c r="G42" s="15">
        <f t="shared" si="6"/>
        <v>0</v>
      </c>
      <c r="H42" s="16">
        <v>0.0</v>
      </c>
      <c r="I42" s="17">
        <v>0.0</v>
      </c>
      <c r="J42" s="17">
        <v>0.0</v>
      </c>
      <c r="K42" s="17">
        <v>0.0</v>
      </c>
      <c r="L42" s="17">
        <v>0.0</v>
      </c>
      <c r="M42" s="17">
        <v>0.0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  <c r="S42" s="17">
        <v>0.0</v>
      </c>
      <c r="T42" s="17">
        <v>0.0</v>
      </c>
      <c r="U42" s="17">
        <v>0.0</v>
      </c>
      <c r="V42" s="17">
        <v>0.0</v>
      </c>
      <c r="W42" s="17">
        <v>0.0</v>
      </c>
      <c r="X42" s="17">
        <v>0.0</v>
      </c>
      <c r="Y42" s="17">
        <v>0.0</v>
      </c>
      <c r="Z42" s="17">
        <v>0.0</v>
      </c>
      <c r="AA42" s="17">
        <v>0.0</v>
      </c>
      <c r="AB42" s="17">
        <v>0.0</v>
      </c>
      <c r="AC42" s="17">
        <v>0.0</v>
      </c>
      <c r="AD42" s="17">
        <v>0.0</v>
      </c>
      <c r="AE42" s="17">
        <v>0.0</v>
      </c>
      <c r="AF42" s="17">
        <v>0.0</v>
      </c>
      <c r="AG42" s="17">
        <v>0.0</v>
      </c>
      <c r="AH42" s="17">
        <v>0.0</v>
      </c>
      <c r="AI42" s="17">
        <v>0.0</v>
      </c>
      <c r="AJ42" s="17">
        <v>0.0</v>
      </c>
      <c r="AK42" s="17">
        <v>0.0</v>
      </c>
      <c r="AL42" s="17">
        <v>0.0</v>
      </c>
      <c r="AM42" s="17">
        <v>0.0</v>
      </c>
      <c r="AN42" s="17">
        <v>0.0</v>
      </c>
      <c r="AO42" s="17">
        <v>0.0</v>
      </c>
      <c r="AP42" s="17">
        <v>0.0</v>
      </c>
      <c r="AQ42" s="17">
        <v>0.0</v>
      </c>
      <c r="AR42" s="17">
        <v>0.0</v>
      </c>
      <c r="AS42" s="17">
        <v>0.0</v>
      </c>
      <c r="AT42" s="17">
        <v>0.0</v>
      </c>
      <c r="AU42" s="17">
        <v>0.0</v>
      </c>
      <c r="AV42" s="17">
        <v>0.0</v>
      </c>
      <c r="AW42" s="17">
        <v>0.0</v>
      </c>
      <c r="AX42" s="17">
        <v>0.0</v>
      </c>
      <c r="AY42" s="17">
        <v>0.0</v>
      </c>
      <c r="AZ42" s="17">
        <v>0.0</v>
      </c>
      <c r="BA42" s="17">
        <v>0.0</v>
      </c>
      <c r="BB42" s="17">
        <v>0.0</v>
      </c>
      <c r="BC42" s="17">
        <v>0.0</v>
      </c>
      <c r="BD42" s="17">
        <v>0.0</v>
      </c>
      <c r="BE42" s="17">
        <v>0.0</v>
      </c>
      <c r="BF42" s="17">
        <v>0.0</v>
      </c>
      <c r="BG42" s="17">
        <v>0.0</v>
      </c>
      <c r="BH42" s="17">
        <v>0.0</v>
      </c>
      <c r="BI42" s="17">
        <v>0.0</v>
      </c>
      <c r="BJ42" s="17">
        <v>0.0</v>
      </c>
      <c r="BK42" s="17">
        <v>0.0</v>
      </c>
      <c r="BL42" s="17">
        <v>0.0</v>
      </c>
      <c r="BM42" s="17">
        <v>0.0</v>
      </c>
      <c r="BN42" s="17">
        <v>0.0</v>
      </c>
      <c r="BO42" s="17">
        <v>0.0</v>
      </c>
      <c r="BP42" s="17">
        <v>0.0</v>
      </c>
      <c r="BQ42" s="17">
        <v>0.0</v>
      </c>
      <c r="BR42" s="20">
        <v>0.0</v>
      </c>
      <c r="BS42" s="17">
        <v>0.0</v>
      </c>
      <c r="BT42" s="17">
        <v>0.0</v>
      </c>
      <c r="BU42" s="17">
        <v>0.0</v>
      </c>
      <c r="BV42" s="17">
        <v>0.0</v>
      </c>
    </row>
    <row r="43" ht="26.25" customHeight="1">
      <c r="A43" s="12">
        <f t="shared" si="7"/>
        <v>38</v>
      </c>
      <c r="B43" s="13" t="s">
        <v>62</v>
      </c>
      <c r="C43" s="17">
        <f t="shared" si="2"/>
        <v>0</v>
      </c>
      <c r="D43" s="17">
        <f t="shared" si="3"/>
        <v>0</v>
      </c>
      <c r="E43" s="17">
        <f t="shared" si="4"/>
        <v>0</v>
      </c>
      <c r="F43" s="17">
        <f t="shared" si="5"/>
        <v>0</v>
      </c>
      <c r="G43" s="15">
        <f t="shared" si="6"/>
        <v>0</v>
      </c>
      <c r="H43" s="16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  <c r="S43" s="17">
        <v>0.0</v>
      </c>
      <c r="T43" s="17">
        <v>0.0</v>
      </c>
      <c r="U43" s="17">
        <v>0.0</v>
      </c>
      <c r="V43" s="17">
        <v>0.0</v>
      </c>
      <c r="W43" s="17">
        <v>0.0</v>
      </c>
      <c r="X43" s="17">
        <v>0.0</v>
      </c>
      <c r="Y43" s="17">
        <v>0.0</v>
      </c>
      <c r="Z43" s="17">
        <v>0.0</v>
      </c>
      <c r="AA43" s="17">
        <v>0.0</v>
      </c>
      <c r="AB43" s="17">
        <v>0.0</v>
      </c>
      <c r="AC43" s="17">
        <v>0.0</v>
      </c>
      <c r="AD43" s="17">
        <v>0.0</v>
      </c>
      <c r="AE43" s="17">
        <v>0.0</v>
      </c>
      <c r="AF43" s="17"/>
      <c r="AG43" s="17">
        <v>0.0</v>
      </c>
      <c r="AH43" s="17">
        <v>0.0</v>
      </c>
      <c r="AI43" s="17">
        <v>0.0</v>
      </c>
      <c r="AJ43" s="17">
        <v>0.0</v>
      </c>
      <c r="AK43" s="17">
        <v>0.0</v>
      </c>
      <c r="AL43" s="17">
        <v>0.0</v>
      </c>
      <c r="AM43" s="17">
        <v>0.0</v>
      </c>
      <c r="AN43" s="17">
        <v>0.0</v>
      </c>
      <c r="AO43" s="17">
        <v>0.0</v>
      </c>
      <c r="AP43" s="17">
        <v>0.0</v>
      </c>
      <c r="AQ43" s="17">
        <v>0.0</v>
      </c>
      <c r="AR43" s="17">
        <v>0.0</v>
      </c>
      <c r="AS43" s="17">
        <v>0.0</v>
      </c>
      <c r="AT43" s="17">
        <v>0.0</v>
      </c>
      <c r="AU43" s="17">
        <v>0.0</v>
      </c>
      <c r="AV43" s="17">
        <v>0.0</v>
      </c>
      <c r="AW43" s="17">
        <v>0.0</v>
      </c>
      <c r="AX43" s="17">
        <v>0.0</v>
      </c>
      <c r="AY43" s="17">
        <v>0.0</v>
      </c>
      <c r="AZ43" s="17">
        <v>0.0</v>
      </c>
      <c r="BA43" s="17">
        <v>0.0</v>
      </c>
      <c r="BB43" s="17">
        <v>0.0</v>
      </c>
      <c r="BC43" s="17">
        <v>0.0</v>
      </c>
      <c r="BD43" s="17">
        <v>0.0</v>
      </c>
      <c r="BE43" s="17">
        <v>0.0</v>
      </c>
      <c r="BF43" s="17">
        <v>0.0</v>
      </c>
      <c r="BG43" s="17">
        <v>0.0</v>
      </c>
      <c r="BH43" s="17">
        <v>0.0</v>
      </c>
      <c r="BI43" s="17">
        <v>0.0</v>
      </c>
      <c r="BJ43" s="17">
        <v>0.0</v>
      </c>
      <c r="BK43" s="17">
        <v>0.0</v>
      </c>
      <c r="BL43" s="17">
        <v>0.0</v>
      </c>
      <c r="BM43" s="17">
        <v>0.0</v>
      </c>
      <c r="BN43" s="17">
        <v>0.0</v>
      </c>
      <c r="BO43" s="17">
        <v>0.0</v>
      </c>
      <c r="BP43" s="17">
        <v>0.0</v>
      </c>
      <c r="BQ43" s="17">
        <v>0.0</v>
      </c>
      <c r="BR43" s="20">
        <v>0.0</v>
      </c>
      <c r="BS43" s="17">
        <v>0.0</v>
      </c>
      <c r="BT43" s="17">
        <v>0.0</v>
      </c>
      <c r="BU43" s="17">
        <v>0.0</v>
      </c>
      <c r="BV43" s="17">
        <v>0.0</v>
      </c>
    </row>
    <row r="44" ht="26.25" customHeight="1">
      <c r="A44" s="22"/>
      <c r="B44" s="23" t="s">
        <v>63</v>
      </c>
      <c r="C44" s="24">
        <f t="shared" ref="C44:BY44" si="8">sum(C6:C43)</f>
        <v>350</v>
      </c>
      <c r="D44" s="24">
        <f t="shared" si="8"/>
        <v>435</v>
      </c>
      <c r="E44" s="24">
        <f t="shared" si="8"/>
        <v>411</v>
      </c>
      <c r="F44" s="24">
        <f t="shared" si="8"/>
        <v>410</v>
      </c>
      <c r="G44" s="24">
        <f t="shared" si="8"/>
        <v>290</v>
      </c>
      <c r="H44" s="24">
        <f t="shared" si="8"/>
        <v>2009</v>
      </c>
      <c r="I44" s="24">
        <f t="shared" si="8"/>
        <v>0</v>
      </c>
      <c r="J44" s="24">
        <f t="shared" si="8"/>
        <v>0</v>
      </c>
      <c r="K44" s="24">
        <f t="shared" si="8"/>
        <v>0</v>
      </c>
      <c r="L44" s="24">
        <f t="shared" si="8"/>
        <v>2</v>
      </c>
      <c r="M44" s="24">
        <f t="shared" si="8"/>
        <v>32</v>
      </c>
      <c r="N44" s="24">
        <f t="shared" si="8"/>
        <v>47</v>
      </c>
      <c r="O44" s="24">
        <f t="shared" si="8"/>
        <v>32</v>
      </c>
      <c r="P44" s="24">
        <f t="shared" si="8"/>
        <v>40</v>
      </c>
      <c r="Q44" s="24">
        <f t="shared" si="8"/>
        <v>45</v>
      </c>
      <c r="R44" s="24">
        <f t="shared" si="8"/>
        <v>47</v>
      </c>
      <c r="S44" s="24">
        <f t="shared" si="8"/>
        <v>40</v>
      </c>
      <c r="T44" s="24">
        <f t="shared" si="8"/>
        <v>65</v>
      </c>
      <c r="U44" s="24">
        <f t="shared" si="8"/>
        <v>52</v>
      </c>
      <c r="V44" s="24">
        <f t="shared" si="8"/>
        <v>62</v>
      </c>
      <c r="W44" s="24">
        <f t="shared" si="8"/>
        <v>47</v>
      </c>
      <c r="X44" s="24">
        <f t="shared" si="8"/>
        <v>40</v>
      </c>
      <c r="Y44" s="24">
        <f t="shared" si="8"/>
        <v>43</v>
      </c>
      <c r="Z44" s="24">
        <f t="shared" si="8"/>
        <v>38</v>
      </c>
      <c r="AA44" s="24">
        <f t="shared" si="8"/>
        <v>27</v>
      </c>
      <c r="AB44" s="24">
        <f t="shared" si="8"/>
        <v>30</v>
      </c>
      <c r="AC44" s="24">
        <f t="shared" si="8"/>
        <v>22</v>
      </c>
      <c r="AD44" s="24">
        <f t="shared" si="8"/>
        <v>29</v>
      </c>
      <c r="AE44" s="24">
        <f t="shared" si="8"/>
        <v>21</v>
      </c>
      <c r="AF44" s="24">
        <f t="shared" si="8"/>
        <v>24</v>
      </c>
      <c r="AG44" s="24">
        <f t="shared" si="8"/>
        <v>31</v>
      </c>
      <c r="AH44" s="24">
        <f t="shared" si="8"/>
        <v>31</v>
      </c>
      <c r="AI44" s="24">
        <f t="shared" si="8"/>
        <v>27</v>
      </c>
      <c r="AJ44" s="24">
        <f t="shared" si="8"/>
        <v>25</v>
      </c>
      <c r="AK44" s="24">
        <f t="shared" si="8"/>
        <v>40</v>
      </c>
      <c r="AL44" s="24">
        <f t="shared" si="8"/>
        <v>41</v>
      </c>
      <c r="AM44" s="24">
        <f t="shared" si="8"/>
        <v>34</v>
      </c>
      <c r="AN44" s="24">
        <f t="shared" si="8"/>
        <v>36</v>
      </c>
      <c r="AO44" s="24">
        <f t="shared" si="8"/>
        <v>49</v>
      </c>
      <c r="AP44" s="24">
        <f t="shared" si="8"/>
        <v>36</v>
      </c>
      <c r="AQ44" s="24">
        <f t="shared" si="8"/>
        <v>27</v>
      </c>
      <c r="AR44" s="24">
        <f t="shared" si="8"/>
        <v>34</v>
      </c>
      <c r="AS44" s="24">
        <f t="shared" si="8"/>
        <v>51</v>
      </c>
      <c r="AT44" s="24">
        <f t="shared" si="8"/>
        <v>41</v>
      </c>
      <c r="AU44" s="24">
        <f t="shared" si="8"/>
        <v>35</v>
      </c>
      <c r="AV44" s="24">
        <f t="shared" si="8"/>
        <v>19</v>
      </c>
      <c r="AW44" s="24">
        <f t="shared" si="8"/>
        <v>48</v>
      </c>
      <c r="AX44" s="24">
        <f t="shared" si="8"/>
        <v>42</v>
      </c>
      <c r="AY44" s="24">
        <f t="shared" si="8"/>
        <v>36</v>
      </c>
      <c r="AZ44" s="24">
        <f t="shared" si="8"/>
        <v>26</v>
      </c>
      <c r="BA44" s="24">
        <f t="shared" si="8"/>
        <v>29</v>
      </c>
      <c r="BB44" s="24">
        <f t="shared" si="8"/>
        <v>30</v>
      </c>
      <c r="BC44" s="24">
        <f t="shared" si="8"/>
        <v>20</v>
      </c>
      <c r="BD44" s="24">
        <f t="shared" si="8"/>
        <v>33</v>
      </c>
      <c r="BE44" s="24">
        <f t="shared" si="8"/>
        <v>26</v>
      </c>
      <c r="BF44" s="24">
        <f t="shared" si="8"/>
        <v>40</v>
      </c>
      <c r="BG44" s="24">
        <f t="shared" si="8"/>
        <v>22</v>
      </c>
      <c r="BH44" s="24">
        <f t="shared" si="8"/>
        <v>19</v>
      </c>
      <c r="BI44" s="24">
        <f t="shared" si="8"/>
        <v>37</v>
      </c>
      <c r="BJ44" s="24">
        <f t="shared" si="8"/>
        <v>21</v>
      </c>
      <c r="BK44" s="24">
        <f t="shared" si="8"/>
        <v>23</v>
      </c>
      <c r="BL44" s="24">
        <f t="shared" si="8"/>
        <v>27</v>
      </c>
      <c r="BM44" s="24">
        <f t="shared" si="8"/>
        <v>23</v>
      </c>
      <c r="BN44" s="24">
        <f t="shared" si="8"/>
        <v>21</v>
      </c>
      <c r="BO44" s="24">
        <f t="shared" si="8"/>
        <v>16</v>
      </c>
      <c r="BP44" s="24">
        <f t="shared" si="8"/>
        <v>15</v>
      </c>
      <c r="BQ44" s="24">
        <f t="shared" si="8"/>
        <v>23</v>
      </c>
      <c r="BR44" s="24">
        <f t="shared" si="8"/>
        <v>19</v>
      </c>
      <c r="BS44" s="24">
        <f t="shared" si="8"/>
        <v>17</v>
      </c>
      <c r="BT44" s="24">
        <f t="shared" si="8"/>
        <v>12</v>
      </c>
      <c r="BU44" s="24">
        <f t="shared" si="8"/>
        <v>34</v>
      </c>
      <c r="BV44" s="24">
        <f t="shared" si="8"/>
        <v>31</v>
      </c>
      <c r="BW44" s="24">
        <f t="shared" si="8"/>
        <v>0</v>
      </c>
      <c r="BX44" s="24">
        <f t="shared" si="8"/>
        <v>0</v>
      </c>
      <c r="BY44" s="24">
        <f t="shared" si="8"/>
        <v>0</v>
      </c>
    </row>
  </sheetData>
  <autoFilter ref="$A$5:$BY$44"/>
  <mergeCells count="9">
    <mergeCell ref="BE4:BP4"/>
    <mergeCell ref="BQ4:BY4"/>
    <mergeCell ref="A1:B1"/>
    <mergeCell ref="A2:B2"/>
    <mergeCell ref="A3:B3"/>
    <mergeCell ref="I4:T4"/>
    <mergeCell ref="U4:AF4"/>
    <mergeCell ref="AG4:AR4"/>
    <mergeCell ref="AS4:B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62.86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17</v>
      </c>
      <c r="D5" s="35">
        <v>1609.0</v>
      </c>
      <c r="E5" s="36" t="s">
        <v>74</v>
      </c>
      <c r="F5" s="35" t="s">
        <v>75</v>
      </c>
      <c r="G5" s="37" t="s">
        <v>76</v>
      </c>
      <c r="H5" s="38" t="s">
        <v>77</v>
      </c>
      <c r="I5" s="39" t="s">
        <v>78</v>
      </c>
      <c r="J5" s="39" t="s">
        <v>79</v>
      </c>
    </row>
    <row r="6" ht="26.25" customHeight="1">
      <c r="A6" s="12" t="s">
        <v>80</v>
      </c>
      <c r="B6" s="17">
        <v>2021.0</v>
      </c>
      <c r="C6" s="40" t="s">
        <v>18</v>
      </c>
      <c r="D6" s="40">
        <v>307.0</v>
      </c>
      <c r="E6" s="38" t="s">
        <v>81</v>
      </c>
      <c r="F6" s="40" t="s">
        <v>82</v>
      </c>
      <c r="G6" s="39" t="s">
        <v>83</v>
      </c>
      <c r="H6" s="38" t="s">
        <v>84</v>
      </c>
      <c r="I6" s="39" t="s">
        <v>85</v>
      </c>
      <c r="J6" s="39" t="s">
        <v>86</v>
      </c>
    </row>
    <row r="7" ht="26.25" customHeight="1">
      <c r="A7" s="12" t="s">
        <v>87</v>
      </c>
      <c r="B7" s="17">
        <v>2021.0</v>
      </c>
      <c r="C7" s="40" t="s">
        <v>20</v>
      </c>
      <c r="D7" s="40">
        <v>2838.0</v>
      </c>
      <c r="E7" s="38" t="s">
        <v>88</v>
      </c>
      <c r="F7" s="40" t="s">
        <v>89</v>
      </c>
      <c r="G7" s="39" t="s">
        <v>90</v>
      </c>
      <c r="H7" s="38" t="s">
        <v>91</v>
      </c>
      <c r="I7" s="39" t="s">
        <v>92</v>
      </c>
      <c r="J7" s="39" t="s">
        <v>93</v>
      </c>
    </row>
    <row r="8" ht="26.25" customHeight="1">
      <c r="A8" s="12" t="s">
        <v>94</v>
      </c>
      <c r="B8" s="17">
        <v>2021.0</v>
      </c>
      <c r="C8" s="35" t="s">
        <v>22</v>
      </c>
      <c r="D8" s="35">
        <v>3609.0</v>
      </c>
      <c r="E8" s="36" t="s">
        <v>95</v>
      </c>
      <c r="F8" s="40" t="s">
        <v>96</v>
      </c>
      <c r="G8" s="39" t="s">
        <v>97</v>
      </c>
      <c r="H8" s="38" t="s">
        <v>98</v>
      </c>
      <c r="I8" s="39" t="s">
        <v>99</v>
      </c>
      <c r="J8" s="39" t="s">
        <v>100</v>
      </c>
    </row>
    <row r="9" ht="26.25" customHeight="1">
      <c r="A9" s="12" t="s">
        <v>101</v>
      </c>
      <c r="B9" s="17">
        <v>2022.0</v>
      </c>
      <c r="C9" s="40" t="s">
        <v>11</v>
      </c>
      <c r="D9" s="40">
        <v>4325.0</v>
      </c>
      <c r="E9" s="38" t="s">
        <v>102</v>
      </c>
      <c r="F9" s="40" t="s">
        <v>103</v>
      </c>
      <c r="G9" s="39" t="s">
        <v>104</v>
      </c>
      <c r="H9" s="38" t="s">
        <v>105</v>
      </c>
      <c r="I9" s="39" t="s">
        <v>106</v>
      </c>
      <c r="J9" s="39" t="s">
        <v>107</v>
      </c>
    </row>
    <row r="10" ht="26.25" customHeight="1">
      <c r="A10" s="12" t="s">
        <v>108</v>
      </c>
      <c r="B10" s="17">
        <v>2022.0</v>
      </c>
      <c r="C10" s="40" t="s">
        <v>12</v>
      </c>
      <c r="D10" s="40">
        <v>4353.0</v>
      </c>
      <c r="E10" s="38" t="s">
        <v>109</v>
      </c>
      <c r="F10" s="40" t="s">
        <v>110</v>
      </c>
      <c r="G10" s="39" t="s">
        <v>111</v>
      </c>
      <c r="H10" s="38" t="s">
        <v>109</v>
      </c>
      <c r="I10" s="39" t="s">
        <v>92</v>
      </c>
      <c r="J10" s="39" t="s">
        <v>112</v>
      </c>
    </row>
    <row r="11" ht="26.25" customHeight="1">
      <c r="A11" s="12" t="s">
        <v>113</v>
      </c>
      <c r="B11" s="17">
        <v>2022.0</v>
      </c>
      <c r="C11" s="40" t="s">
        <v>16</v>
      </c>
      <c r="D11" s="40">
        <v>6023.0</v>
      </c>
      <c r="E11" s="38" t="s">
        <v>114</v>
      </c>
      <c r="F11" s="41" t="s">
        <v>115</v>
      </c>
      <c r="G11" s="39" t="s">
        <v>116</v>
      </c>
      <c r="H11" s="38" t="s">
        <v>117</v>
      </c>
      <c r="I11" s="39" t="s">
        <v>118</v>
      </c>
      <c r="J11" s="39" t="s">
        <v>119</v>
      </c>
    </row>
    <row r="12" ht="26.25" customHeight="1">
      <c r="A12" s="12" t="s">
        <v>120</v>
      </c>
      <c r="B12" s="17">
        <v>2022.0</v>
      </c>
      <c r="C12" s="40" t="s">
        <v>16</v>
      </c>
      <c r="D12" s="40">
        <v>6331.0</v>
      </c>
      <c r="E12" s="38" t="s">
        <v>121</v>
      </c>
      <c r="F12" s="41" t="s">
        <v>122</v>
      </c>
      <c r="G12" s="39" t="s">
        <v>123</v>
      </c>
      <c r="H12" s="38" t="s">
        <v>124</v>
      </c>
      <c r="I12" s="39" t="s">
        <v>92</v>
      </c>
      <c r="J12" s="39" t="s">
        <v>125</v>
      </c>
    </row>
    <row r="13" ht="26.25" customHeight="1">
      <c r="A13" s="12" t="s">
        <v>126</v>
      </c>
      <c r="B13" s="17">
        <v>2022.0</v>
      </c>
      <c r="C13" s="40" t="s">
        <v>18</v>
      </c>
      <c r="D13" s="40">
        <v>6411.0</v>
      </c>
      <c r="E13" s="38" t="s">
        <v>127</v>
      </c>
      <c r="F13" s="41" t="s">
        <v>128</v>
      </c>
      <c r="G13" s="39" t="s">
        <v>129</v>
      </c>
      <c r="H13" s="38" t="s">
        <v>130</v>
      </c>
      <c r="I13" s="39" t="s">
        <v>92</v>
      </c>
      <c r="J13" s="39" t="s">
        <v>131</v>
      </c>
    </row>
    <row r="14" ht="26.25" customHeight="1">
      <c r="A14" s="12" t="s">
        <v>132</v>
      </c>
      <c r="B14" s="17">
        <v>2022.0</v>
      </c>
      <c r="C14" s="40" t="s">
        <v>19</v>
      </c>
      <c r="D14" s="40">
        <v>6928.0</v>
      </c>
      <c r="E14" s="38" t="s">
        <v>133</v>
      </c>
      <c r="F14" s="41" t="s">
        <v>134</v>
      </c>
      <c r="G14" s="39" t="s">
        <v>135</v>
      </c>
      <c r="H14" s="38" t="s">
        <v>136</v>
      </c>
      <c r="I14" s="39" t="s">
        <v>85</v>
      </c>
      <c r="J14" s="39" t="s">
        <v>137</v>
      </c>
    </row>
    <row r="15" ht="26.25" customHeight="1">
      <c r="A15" s="12" t="s">
        <v>138</v>
      </c>
      <c r="B15" s="17">
        <v>2022.0</v>
      </c>
      <c r="C15" s="42" t="s">
        <v>21</v>
      </c>
      <c r="D15" s="40">
        <v>7436.0</v>
      </c>
      <c r="E15" s="38" t="s">
        <v>139</v>
      </c>
      <c r="F15" s="41" t="s">
        <v>140</v>
      </c>
      <c r="G15" s="39" t="s">
        <v>141</v>
      </c>
      <c r="H15" s="38" t="s">
        <v>142</v>
      </c>
      <c r="I15" s="39" t="s">
        <v>92</v>
      </c>
      <c r="J15" s="39" t="s">
        <v>143</v>
      </c>
    </row>
    <row r="16" ht="26.25" customHeight="1">
      <c r="A16" s="12" t="s">
        <v>144</v>
      </c>
      <c r="B16" s="17">
        <v>2022.0</v>
      </c>
      <c r="C16" s="42" t="s">
        <v>21</v>
      </c>
      <c r="D16" s="40">
        <v>7436.0</v>
      </c>
      <c r="E16" s="38" t="s">
        <v>139</v>
      </c>
      <c r="F16" s="41" t="s">
        <v>140</v>
      </c>
      <c r="G16" s="39" t="s">
        <v>141</v>
      </c>
      <c r="H16" s="38" t="s">
        <v>145</v>
      </c>
      <c r="I16" s="39" t="s">
        <v>92</v>
      </c>
      <c r="J16" s="39" t="s">
        <v>143</v>
      </c>
    </row>
    <row r="17" ht="26.25" customHeight="1">
      <c r="A17" s="12" t="s">
        <v>146</v>
      </c>
      <c r="B17" s="17">
        <v>2023.0</v>
      </c>
      <c r="C17" s="40" t="s">
        <v>14</v>
      </c>
      <c r="D17" s="40">
        <v>8480.0</v>
      </c>
      <c r="E17" s="38" t="s">
        <v>147</v>
      </c>
      <c r="F17" s="41" t="s">
        <v>148</v>
      </c>
      <c r="G17" s="37"/>
      <c r="H17" s="38" t="s">
        <v>149</v>
      </c>
      <c r="I17" s="39" t="s">
        <v>92</v>
      </c>
      <c r="J17" s="39" t="s">
        <v>150</v>
      </c>
    </row>
    <row r="18" ht="26.25" customHeight="1">
      <c r="A18" s="12" t="s">
        <v>151</v>
      </c>
      <c r="B18" s="17">
        <v>2023.0</v>
      </c>
      <c r="C18" s="42" t="s">
        <v>15</v>
      </c>
      <c r="D18" s="40">
        <v>7436.0</v>
      </c>
      <c r="E18" s="38" t="s">
        <v>139</v>
      </c>
      <c r="F18" s="41" t="s">
        <v>140</v>
      </c>
      <c r="G18" s="39" t="s">
        <v>141</v>
      </c>
      <c r="H18" s="38" t="s">
        <v>152</v>
      </c>
      <c r="I18" s="39" t="s">
        <v>92</v>
      </c>
      <c r="J18" s="39" t="s">
        <v>143</v>
      </c>
    </row>
    <row r="19" ht="26.25" customHeight="1">
      <c r="A19" s="12" t="s">
        <v>153</v>
      </c>
      <c r="B19" s="17">
        <v>2023.0</v>
      </c>
      <c r="C19" s="40" t="s">
        <v>16</v>
      </c>
      <c r="D19" s="40">
        <v>8714.0</v>
      </c>
      <c r="E19" s="38" t="s">
        <v>154</v>
      </c>
      <c r="F19" s="41" t="s">
        <v>155</v>
      </c>
      <c r="G19" s="39" t="s">
        <v>156</v>
      </c>
      <c r="H19" s="38" t="s">
        <v>157</v>
      </c>
      <c r="I19" s="39" t="s">
        <v>92</v>
      </c>
      <c r="J19" s="39" t="s">
        <v>158</v>
      </c>
    </row>
    <row r="20" ht="26.25" customHeight="1">
      <c r="A20" s="12" t="s">
        <v>159</v>
      </c>
      <c r="B20" s="17">
        <v>2023.0</v>
      </c>
      <c r="C20" s="42" t="s">
        <v>21</v>
      </c>
      <c r="D20" s="17">
        <v>10201.0</v>
      </c>
      <c r="E20" s="36" t="s">
        <v>160</v>
      </c>
      <c r="F20" s="43" t="s">
        <v>161</v>
      </c>
      <c r="G20" s="36" t="s">
        <v>162</v>
      </c>
      <c r="H20" s="36" t="s">
        <v>163</v>
      </c>
      <c r="I20" s="39" t="s">
        <v>92</v>
      </c>
      <c r="J20" s="38" t="s">
        <v>164</v>
      </c>
    </row>
    <row r="21" ht="26.25" customHeight="1">
      <c r="A21" s="12" t="s">
        <v>165</v>
      </c>
      <c r="B21" s="17">
        <v>2023.0</v>
      </c>
      <c r="C21" s="42" t="s">
        <v>22</v>
      </c>
      <c r="D21" s="17">
        <v>10755.0</v>
      </c>
      <c r="E21" s="36" t="s">
        <v>166</v>
      </c>
      <c r="F21" s="43" t="s">
        <v>167</v>
      </c>
      <c r="G21" s="36" t="s">
        <v>168</v>
      </c>
      <c r="H21" s="36" t="s">
        <v>169</v>
      </c>
      <c r="I21" s="39" t="s">
        <v>92</v>
      </c>
      <c r="J21" s="38" t="s">
        <v>170</v>
      </c>
    </row>
    <row r="22" ht="26.25" customHeight="1">
      <c r="A22" s="12" t="s">
        <v>171</v>
      </c>
      <c r="B22" s="17">
        <v>2023.0</v>
      </c>
      <c r="C22" s="42" t="s">
        <v>22</v>
      </c>
      <c r="D22" s="42">
        <v>7436.0</v>
      </c>
      <c r="E22" s="38" t="s">
        <v>139</v>
      </c>
      <c r="F22" s="43" t="s">
        <v>140</v>
      </c>
      <c r="G22" s="38" t="s">
        <v>141</v>
      </c>
      <c r="H22" s="38" t="s">
        <v>172</v>
      </c>
      <c r="I22" s="39" t="s">
        <v>92</v>
      </c>
      <c r="J22" s="38" t="s">
        <v>143</v>
      </c>
    </row>
    <row r="23" ht="26.25" customHeight="1">
      <c r="A23" s="12" t="s">
        <v>173</v>
      </c>
      <c r="B23" s="17">
        <v>2023.0</v>
      </c>
      <c r="C23" s="42" t="s">
        <v>22</v>
      </c>
      <c r="D23" s="17">
        <v>10779.0</v>
      </c>
      <c r="E23" s="36" t="s">
        <v>174</v>
      </c>
      <c r="F23" s="43" t="s">
        <v>175</v>
      </c>
      <c r="G23" s="36"/>
      <c r="H23" s="36" t="s">
        <v>176</v>
      </c>
      <c r="I23" s="39" t="s">
        <v>92</v>
      </c>
      <c r="J23" s="38" t="s">
        <v>177</v>
      </c>
    </row>
    <row r="24" ht="26.25" customHeight="1">
      <c r="A24" s="12" t="s">
        <v>178</v>
      </c>
      <c r="B24" s="17">
        <v>2024.0</v>
      </c>
      <c r="C24" s="42" t="s">
        <v>11</v>
      </c>
      <c r="D24" s="44">
        <v>10906.0</v>
      </c>
      <c r="E24" s="45" t="s">
        <v>179</v>
      </c>
      <c r="F24" s="46" t="s">
        <v>180</v>
      </c>
      <c r="G24" s="45" t="s">
        <v>181</v>
      </c>
      <c r="H24" s="36" t="s">
        <v>182</v>
      </c>
      <c r="I24" s="38" t="s">
        <v>118</v>
      </c>
      <c r="J24" s="38" t="s">
        <v>183</v>
      </c>
    </row>
    <row r="25" ht="26.25" customHeight="1">
      <c r="A25" s="12" t="s">
        <v>184</v>
      </c>
      <c r="B25" s="17">
        <v>2024.0</v>
      </c>
      <c r="C25" s="42" t="s">
        <v>11</v>
      </c>
      <c r="D25" s="44">
        <v>11091.0</v>
      </c>
      <c r="E25" s="45" t="s">
        <v>185</v>
      </c>
      <c r="F25" s="46" t="s">
        <v>186</v>
      </c>
      <c r="G25" s="45" t="s">
        <v>187</v>
      </c>
      <c r="H25" s="36" t="s">
        <v>188</v>
      </c>
      <c r="I25" s="38" t="s">
        <v>118</v>
      </c>
      <c r="J25" s="38" t="s">
        <v>189</v>
      </c>
    </row>
    <row r="26" ht="26.25" customHeight="1">
      <c r="A26" s="12" t="s">
        <v>190</v>
      </c>
      <c r="B26" s="17">
        <v>2024.0</v>
      </c>
      <c r="C26" s="42" t="s">
        <v>13</v>
      </c>
      <c r="D26" s="17">
        <v>10124.0</v>
      </c>
      <c r="E26" s="36" t="s">
        <v>191</v>
      </c>
      <c r="F26" s="43" t="s">
        <v>192</v>
      </c>
      <c r="G26" s="36" t="s">
        <v>193</v>
      </c>
      <c r="H26" s="36" t="s">
        <v>191</v>
      </c>
      <c r="I26" s="38" t="s">
        <v>194</v>
      </c>
      <c r="J26" s="38" t="s">
        <v>195</v>
      </c>
    </row>
    <row r="27" ht="26.25" customHeight="1">
      <c r="A27" s="12" t="s">
        <v>196</v>
      </c>
      <c r="B27" s="17">
        <v>2024.0</v>
      </c>
      <c r="C27" s="42" t="s">
        <v>13</v>
      </c>
      <c r="D27" s="17">
        <v>11301.0</v>
      </c>
      <c r="E27" s="36" t="s">
        <v>197</v>
      </c>
      <c r="F27" s="43" t="s">
        <v>198</v>
      </c>
      <c r="G27" s="47"/>
      <c r="H27" s="36" t="s">
        <v>199</v>
      </c>
      <c r="I27" s="38" t="s">
        <v>200</v>
      </c>
      <c r="J27" s="38" t="s">
        <v>201</v>
      </c>
    </row>
    <row r="28" ht="26.25" customHeight="1">
      <c r="A28" s="12" t="s">
        <v>202</v>
      </c>
      <c r="B28" s="17">
        <v>2024.0</v>
      </c>
      <c r="C28" s="42" t="s">
        <v>15</v>
      </c>
      <c r="D28" s="17">
        <v>6085.0</v>
      </c>
      <c r="E28" s="36" t="s">
        <v>203</v>
      </c>
      <c r="F28" s="48" t="s">
        <v>204</v>
      </c>
      <c r="G28" s="36" t="s">
        <v>205</v>
      </c>
      <c r="H28" s="36" t="s">
        <v>206</v>
      </c>
      <c r="I28" s="36" t="s">
        <v>106</v>
      </c>
      <c r="J28" s="36" t="s">
        <v>207</v>
      </c>
    </row>
    <row r="29" ht="26.25" customHeight="1">
      <c r="A29" s="12" t="s">
        <v>208</v>
      </c>
      <c r="B29" s="17">
        <v>2024.0</v>
      </c>
      <c r="C29" s="42" t="s">
        <v>17</v>
      </c>
      <c r="D29" s="15">
        <v>12728.0</v>
      </c>
      <c r="E29" s="49" t="s">
        <v>209</v>
      </c>
      <c r="F29" s="50" t="s">
        <v>210</v>
      </c>
      <c r="G29" s="36"/>
      <c r="H29" s="49" t="s">
        <v>211</v>
      </c>
      <c r="I29" s="49" t="s">
        <v>78</v>
      </c>
      <c r="J29" s="36" t="s">
        <v>212</v>
      </c>
    </row>
    <row r="30" ht="26.25" customHeight="1">
      <c r="A30" s="12" t="s">
        <v>213</v>
      </c>
      <c r="B30" s="17">
        <v>2024.0</v>
      </c>
      <c r="C30" s="42" t="s">
        <v>18</v>
      </c>
      <c r="D30" s="15">
        <v>6928.0</v>
      </c>
      <c r="E30" s="49" t="s">
        <v>133</v>
      </c>
      <c r="F30" s="50" t="s">
        <v>134</v>
      </c>
      <c r="G30" s="36" t="s">
        <v>135</v>
      </c>
      <c r="H30" s="49" t="s">
        <v>214</v>
      </c>
      <c r="I30" s="49" t="s">
        <v>85</v>
      </c>
      <c r="J30" s="36"/>
    </row>
    <row r="31" ht="26.25" customHeight="1">
      <c r="A31" s="12" t="s">
        <v>215</v>
      </c>
      <c r="B31" s="17">
        <v>2024.0</v>
      </c>
      <c r="C31" s="42" t="s">
        <v>19</v>
      </c>
      <c r="D31" s="15">
        <v>12793.0</v>
      </c>
      <c r="E31" s="49" t="s">
        <v>216</v>
      </c>
      <c r="F31" s="50" t="s">
        <v>217</v>
      </c>
      <c r="G31" s="36" t="s">
        <v>218</v>
      </c>
      <c r="H31" s="49" t="s">
        <v>219</v>
      </c>
      <c r="I31" s="49" t="s">
        <v>220</v>
      </c>
      <c r="J31" s="36" t="s">
        <v>221</v>
      </c>
    </row>
    <row r="32" ht="26.25" customHeight="1">
      <c r="A32" s="51" t="s">
        <v>222</v>
      </c>
      <c r="C32" s="52"/>
      <c r="D32" s="52"/>
      <c r="E32" s="53" t="str">
        <f t="array" ref="E32">sum(1/countif(E32,E32))</f>
        <v>#REF!</v>
      </c>
      <c r="F32" s="52"/>
      <c r="G32" s="52"/>
      <c r="H32" s="53" t="str">
        <f t="array" ref="H32">sum(1/countif(H32,H32))</f>
        <v>#REF!</v>
      </c>
      <c r="I32" s="53"/>
      <c r="J32" s="53"/>
    </row>
    <row r="33" ht="26.25" customHeight="1">
      <c r="A33" s="51" t="s">
        <v>223</v>
      </c>
      <c r="C33" s="52"/>
      <c r="E33" s="53">
        <f t="array" ref="E33">sum(1/countif(E5:E31,E5:E31))</f>
        <v>23</v>
      </c>
      <c r="F33" s="52"/>
      <c r="G33" s="52"/>
      <c r="H33" s="53">
        <f t="array" ref="H33">sum(1/countif(H5:H31,H5:H31))</f>
        <v>27</v>
      </c>
      <c r="I33" s="53">
        <f t="array" ref="I33">sum(1/countif(I5:I31,I5:I31))</f>
        <v>9</v>
      </c>
      <c r="J33" s="53"/>
    </row>
  </sheetData>
  <mergeCells count="6">
    <mergeCell ref="A1:J1"/>
    <mergeCell ref="A2:J2"/>
    <mergeCell ref="A3:J3"/>
    <mergeCell ref="A32:B32"/>
    <mergeCell ref="A33:B33"/>
    <mergeCell ref="C33:D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15</v>
      </c>
      <c r="D5" s="35">
        <v>887.0</v>
      </c>
      <c r="E5" s="37" t="s">
        <v>224</v>
      </c>
      <c r="F5" s="35" t="s">
        <v>225</v>
      </c>
      <c r="G5" s="37" t="s">
        <v>226</v>
      </c>
      <c r="H5" s="36" t="s">
        <v>227</v>
      </c>
      <c r="I5" s="39" t="s">
        <v>228</v>
      </c>
      <c r="J5" s="39" t="s">
        <v>229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439.0</v>
      </c>
      <c r="E6" s="37" t="s">
        <v>230</v>
      </c>
      <c r="F6" s="35" t="s">
        <v>231</v>
      </c>
      <c r="G6" s="37" t="s">
        <v>232</v>
      </c>
      <c r="H6" s="36" t="s">
        <v>233</v>
      </c>
      <c r="I6" s="39" t="s">
        <v>234</v>
      </c>
      <c r="J6" s="39" t="s">
        <v>235</v>
      </c>
    </row>
    <row r="7" ht="26.25" customHeight="1">
      <c r="A7" s="12" t="s">
        <v>87</v>
      </c>
      <c r="B7" s="17">
        <v>2021.0</v>
      </c>
      <c r="C7" s="35" t="s">
        <v>17</v>
      </c>
      <c r="D7" s="35">
        <v>1522.0</v>
      </c>
      <c r="E7" s="37" t="s">
        <v>236</v>
      </c>
      <c r="F7" s="35" t="s">
        <v>237</v>
      </c>
      <c r="G7" s="37" t="s">
        <v>238</v>
      </c>
      <c r="H7" s="36" t="s">
        <v>239</v>
      </c>
      <c r="I7" s="39" t="s">
        <v>240</v>
      </c>
      <c r="J7" s="39" t="s">
        <v>241</v>
      </c>
    </row>
    <row r="8" ht="26.25" customHeight="1">
      <c r="A8" s="12" t="s">
        <v>94</v>
      </c>
      <c r="B8" s="17">
        <v>2021.0</v>
      </c>
      <c r="C8" s="40" t="s">
        <v>19</v>
      </c>
      <c r="D8" s="40">
        <v>1454.0</v>
      </c>
      <c r="E8" s="39" t="s">
        <v>242</v>
      </c>
      <c r="F8" s="40" t="s">
        <v>243</v>
      </c>
      <c r="G8" s="39" t="s">
        <v>244</v>
      </c>
      <c r="H8" s="38" t="s">
        <v>245</v>
      </c>
      <c r="I8" s="39" t="s">
        <v>246</v>
      </c>
      <c r="J8" s="39" t="s">
        <v>247</v>
      </c>
    </row>
    <row r="9" ht="26.25" customHeight="1">
      <c r="A9" s="12" t="s">
        <v>101</v>
      </c>
      <c r="B9" s="17">
        <v>2021.0</v>
      </c>
      <c r="C9" s="42" t="s">
        <v>20</v>
      </c>
      <c r="D9" s="42">
        <v>1541.0</v>
      </c>
      <c r="E9" s="38" t="s">
        <v>248</v>
      </c>
      <c r="F9" s="43" t="s">
        <v>249</v>
      </c>
      <c r="G9" s="38" t="s">
        <v>250</v>
      </c>
      <c r="H9" s="38" t="s">
        <v>251</v>
      </c>
      <c r="I9" s="38" t="s">
        <v>240</v>
      </c>
      <c r="J9" s="38" t="s">
        <v>252</v>
      </c>
    </row>
    <row r="10" ht="26.25" customHeight="1">
      <c r="A10" s="12" t="s">
        <v>108</v>
      </c>
      <c r="B10" s="17">
        <v>2021.0</v>
      </c>
      <c r="C10" s="40" t="s">
        <v>20</v>
      </c>
      <c r="D10" s="40">
        <v>2284.0</v>
      </c>
      <c r="E10" s="39" t="s">
        <v>253</v>
      </c>
      <c r="F10" s="40" t="s">
        <v>254</v>
      </c>
      <c r="G10" s="39" t="s">
        <v>255</v>
      </c>
      <c r="H10" s="38" t="s">
        <v>253</v>
      </c>
      <c r="I10" s="39" t="s">
        <v>256</v>
      </c>
      <c r="J10" s="39" t="s">
        <v>257</v>
      </c>
    </row>
    <row r="11" ht="26.25" customHeight="1">
      <c r="A11" s="12" t="s">
        <v>113</v>
      </c>
      <c r="B11" s="17">
        <v>2021.0</v>
      </c>
      <c r="C11" s="35" t="s">
        <v>21</v>
      </c>
      <c r="D11" s="35">
        <v>2955.0</v>
      </c>
      <c r="E11" s="37" t="s">
        <v>258</v>
      </c>
      <c r="F11" s="40" t="s">
        <v>259</v>
      </c>
      <c r="G11" s="37" t="s">
        <v>260</v>
      </c>
      <c r="H11" s="36" t="s">
        <v>261</v>
      </c>
      <c r="I11" s="39" t="s">
        <v>240</v>
      </c>
      <c r="J11" s="39" t="s">
        <v>262</v>
      </c>
    </row>
    <row r="12" ht="26.25" customHeight="1">
      <c r="A12" s="12" t="s">
        <v>120</v>
      </c>
      <c r="B12" s="17">
        <v>2021.0</v>
      </c>
      <c r="C12" s="35" t="s">
        <v>22</v>
      </c>
      <c r="D12" s="35">
        <v>3281.0</v>
      </c>
      <c r="E12" s="37" t="s">
        <v>263</v>
      </c>
      <c r="F12" s="35" t="s">
        <v>264</v>
      </c>
      <c r="G12" s="37" t="s">
        <v>265</v>
      </c>
      <c r="H12" s="36" t="s">
        <v>266</v>
      </c>
      <c r="I12" s="39" t="s">
        <v>240</v>
      </c>
      <c r="J12" s="39" t="s">
        <v>267</v>
      </c>
    </row>
    <row r="13" ht="26.25" customHeight="1">
      <c r="A13" s="12" t="s">
        <v>126</v>
      </c>
      <c r="B13" s="17">
        <v>2021.0</v>
      </c>
      <c r="C13" s="35" t="s">
        <v>22</v>
      </c>
      <c r="D13" s="35">
        <v>3401.0</v>
      </c>
      <c r="E13" s="37" t="s">
        <v>268</v>
      </c>
      <c r="F13" s="40" t="s">
        <v>269</v>
      </c>
      <c r="G13" s="37" t="s">
        <v>270</v>
      </c>
      <c r="H13" s="38" t="s">
        <v>271</v>
      </c>
      <c r="I13" s="39" t="s">
        <v>240</v>
      </c>
      <c r="J13" s="39" t="s">
        <v>272</v>
      </c>
    </row>
    <row r="14" ht="26.25" customHeight="1">
      <c r="A14" s="12" t="s">
        <v>132</v>
      </c>
      <c r="B14" s="17">
        <v>2021.0</v>
      </c>
      <c r="C14" s="35" t="s">
        <v>22</v>
      </c>
      <c r="D14" s="35">
        <v>3687.0</v>
      </c>
      <c r="E14" s="37" t="s">
        <v>273</v>
      </c>
      <c r="F14" s="40" t="s">
        <v>274</v>
      </c>
      <c r="G14" s="37" t="s">
        <v>275</v>
      </c>
      <c r="H14" s="38" t="s">
        <v>276</v>
      </c>
      <c r="I14" s="39" t="s">
        <v>234</v>
      </c>
      <c r="J14" s="39" t="s">
        <v>277</v>
      </c>
    </row>
    <row r="15" ht="26.25" customHeight="1">
      <c r="A15" s="12" t="s">
        <v>138</v>
      </c>
      <c r="B15" s="17">
        <v>2022.0</v>
      </c>
      <c r="C15" s="17" t="s">
        <v>11</v>
      </c>
      <c r="D15" s="17">
        <v>3813.0</v>
      </c>
      <c r="E15" s="36" t="s">
        <v>278</v>
      </c>
      <c r="F15" s="17" t="s">
        <v>279</v>
      </c>
      <c r="G15" s="36" t="s">
        <v>280</v>
      </c>
      <c r="H15" s="36" t="s">
        <v>281</v>
      </c>
      <c r="I15" s="38" t="s">
        <v>240</v>
      </c>
      <c r="J15" s="38" t="s">
        <v>282</v>
      </c>
    </row>
    <row r="16" ht="26.25" customHeight="1">
      <c r="A16" s="12" t="s">
        <v>144</v>
      </c>
      <c r="B16" s="17">
        <v>2022.0</v>
      </c>
      <c r="C16" s="17" t="s">
        <v>12</v>
      </c>
      <c r="D16" s="17">
        <v>3813.0</v>
      </c>
      <c r="E16" s="36" t="s">
        <v>278</v>
      </c>
      <c r="F16" s="17" t="s">
        <v>283</v>
      </c>
      <c r="G16" s="36" t="s">
        <v>280</v>
      </c>
      <c r="H16" s="36" t="s">
        <v>284</v>
      </c>
      <c r="I16" s="38" t="s">
        <v>240</v>
      </c>
      <c r="J16" s="38" t="s">
        <v>285</v>
      </c>
    </row>
    <row r="17" ht="26.25" customHeight="1">
      <c r="A17" s="12" t="s">
        <v>146</v>
      </c>
      <c r="B17" s="17">
        <v>2022.0</v>
      </c>
      <c r="C17" s="40" t="s">
        <v>12</v>
      </c>
      <c r="D17" s="40">
        <v>4187.0</v>
      </c>
      <c r="E17" s="39" t="s">
        <v>286</v>
      </c>
      <c r="F17" s="40" t="s">
        <v>287</v>
      </c>
      <c r="G17" s="36" t="s">
        <v>288</v>
      </c>
      <c r="H17" s="38" t="s">
        <v>289</v>
      </c>
      <c r="I17" s="39" t="s">
        <v>234</v>
      </c>
      <c r="J17" s="39" t="s">
        <v>290</v>
      </c>
    </row>
    <row r="18" ht="26.25" customHeight="1">
      <c r="A18" s="12" t="s">
        <v>151</v>
      </c>
      <c r="B18" s="17">
        <v>2022.0</v>
      </c>
      <c r="C18" s="40" t="s">
        <v>13</v>
      </c>
      <c r="D18" s="40">
        <v>4966.0</v>
      </c>
      <c r="E18" s="39" t="s">
        <v>291</v>
      </c>
      <c r="F18" s="40" t="s">
        <v>292</v>
      </c>
      <c r="G18" s="36" t="s">
        <v>293</v>
      </c>
      <c r="H18" s="38" t="s">
        <v>294</v>
      </c>
      <c r="I18" s="39" t="s">
        <v>234</v>
      </c>
      <c r="J18" s="39" t="s">
        <v>295</v>
      </c>
    </row>
    <row r="19" ht="26.25" customHeight="1">
      <c r="A19" s="12" t="s">
        <v>153</v>
      </c>
      <c r="B19" s="17">
        <v>2022.0</v>
      </c>
      <c r="C19" s="40" t="s">
        <v>13</v>
      </c>
      <c r="D19" s="40">
        <v>5164.0</v>
      </c>
      <c r="E19" s="39" t="s">
        <v>296</v>
      </c>
      <c r="F19" s="40" t="s">
        <v>297</v>
      </c>
      <c r="G19" s="36" t="s">
        <v>298</v>
      </c>
      <c r="H19" s="38" t="s">
        <v>299</v>
      </c>
      <c r="I19" s="39" t="s">
        <v>240</v>
      </c>
      <c r="J19" s="39" t="s">
        <v>300</v>
      </c>
    </row>
    <row r="20" ht="26.25" customHeight="1">
      <c r="A20" s="12" t="s">
        <v>159</v>
      </c>
      <c r="B20" s="17">
        <v>2022.0</v>
      </c>
      <c r="C20" s="40" t="s">
        <v>13</v>
      </c>
      <c r="D20" s="40">
        <v>5138.0</v>
      </c>
      <c r="E20" s="39" t="s">
        <v>301</v>
      </c>
      <c r="F20" s="40" t="s">
        <v>302</v>
      </c>
      <c r="G20" s="36" t="s">
        <v>303</v>
      </c>
      <c r="H20" s="38" t="s">
        <v>304</v>
      </c>
      <c r="I20" s="39" t="s">
        <v>234</v>
      </c>
      <c r="J20" s="39" t="s">
        <v>305</v>
      </c>
    </row>
    <row r="21" ht="26.25" customHeight="1">
      <c r="A21" s="12" t="s">
        <v>165</v>
      </c>
      <c r="B21" s="17">
        <v>2022.0</v>
      </c>
      <c r="C21" s="40" t="s">
        <v>15</v>
      </c>
      <c r="D21" s="40">
        <v>5527.0</v>
      </c>
      <c r="E21" s="39" t="s">
        <v>306</v>
      </c>
      <c r="F21" s="40" t="s">
        <v>307</v>
      </c>
      <c r="G21" s="36" t="s">
        <v>308</v>
      </c>
      <c r="H21" s="38" t="s">
        <v>309</v>
      </c>
      <c r="I21" s="39" t="s">
        <v>234</v>
      </c>
      <c r="J21" s="39" t="s">
        <v>310</v>
      </c>
    </row>
    <row r="22" ht="26.25" customHeight="1">
      <c r="A22" s="12" t="s">
        <v>171</v>
      </c>
      <c r="B22" s="17">
        <v>2022.0</v>
      </c>
      <c r="C22" s="40" t="s">
        <v>17</v>
      </c>
      <c r="D22" s="40">
        <v>1623.0</v>
      </c>
      <c r="E22" s="39" t="s">
        <v>311</v>
      </c>
      <c r="F22" s="40" t="s">
        <v>312</v>
      </c>
      <c r="G22" s="36" t="s">
        <v>313</v>
      </c>
      <c r="H22" s="38" t="s">
        <v>314</v>
      </c>
      <c r="I22" s="39" t="s">
        <v>246</v>
      </c>
      <c r="J22" s="39" t="s">
        <v>315</v>
      </c>
    </row>
    <row r="23" ht="26.25" customHeight="1">
      <c r="A23" s="12" t="s">
        <v>173</v>
      </c>
      <c r="B23" s="17">
        <v>2022.0</v>
      </c>
      <c r="C23" s="40" t="s">
        <v>17</v>
      </c>
      <c r="D23" s="40">
        <v>5527.0</v>
      </c>
      <c r="E23" s="39" t="s">
        <v>306</v>
      </c>
      <c r="F23" s="40" t="s">
        <v>316</v>
      </c>
      <c r="G23" s="36" t="s">
        <v>308</v>
      </c>
      <c r="H23" s="38" t="s">
        <v>317</v>
      </c>
      <c r="I23" s="39" t="s">
        <v>234</v>
      </c>
      <c r="J23" s="39" t="s">
        <v>318</v>
      </c>
    </row>
    <row r="24" ht="26.25" customHeight="1">
      <c r="A24" s="12" t="s">
        <v>178</v>
      </c>
      <c r="B24" s="17">
        <v>2022.0</v>
      </c>
      <c r="C24" s="40" t="s">
        <v>18</v>
      </c>
      <c r="D24" s="40">
        <v>6468.0</v>
      </c>
      <c r="E24" s="39" t="s">
        <v>319</v>
      </c>
      <c r="F24" s="41" t="s">
        <v>320</v>
      </c>
      <c r="G24" s="36" t="s">
        <v>321</v>
      </c>
      <c r="H24" s="38" t="s">
        <v>322</v>
      </c>
      <c r="I24" s="39" t="s">
        <v>240</v>
      </c>
      <c r="J24" s="39" t="s">
        <v>323</v>
      </c>
    </row>
    <row r="25" ht="26.25" customHeight="1">
      <c r="A25" s="12" t="s">
        <v>184</v>
      </c>
      <c r="B25" s="17">
        <v>2022.0</v>
      </c>
      <c r="C25" s="40" t="s">
        <v>18</v>
      </c>
      <c r="D25" s="40">
        <v>5527.0</v>
      </c>
      <c r="E25" s="39" t="s">
        <v>306</v>
      </c>
      <c r="F25" s="40" t="s">
        <v>324</v>
      </c>
      <c r="G25" s="36" t="s">
        <v>308</v>
      </c>
      <c r="H25" s="38" t="s">
        <v>325</v>
      </c>
      <c r="I25" s="39" t="s">
        <v>234</v>
      </c>
      <c r="J25" s="39" t="s">
        <v>310</v>
      </c>
    </row>
    <row r="26" ht="26.25" customHeight="1">
      <c r="A26" s="12" t="s">
        <v>190</v>
      </c>
      <c r="B26" s="17">
        <v>2022.0</v>
      </c>
      <c r="C26" s="40" t="s">
        <v>18</v>
      </c>
      <c r="D26" s="40">
        <v>5527.0</v>
      </c>
      <c r="E26" s="39" t="s">
        <v>306</v>
      </c>
      <c r="F26" s="40" t="s">
        <v>326</v>
      </c>
      <c r="G26" s="36" t="s">
        <v>308</v>
      </c>
      <c r="H26" s="38" t="s">
        <v>327</v>
      </c>
      <c r="I26" s="39" t="s">
        <v>234</v>
      </c>
      <c r="J26" s="39" t="s">
        <v>328</v>
      </c>
    </row>
    <row r="27" ht="26.25" customHeight="1">
      <c r="A27" s="12" t="s">
        <v>196</v>
      </c>
      <c r="B27" s="17">
        <v>2022.0</v>
      </c>
      <c r="C27" s="40" t="s">
        <v>20</v>
      </c>
      <c r="D27" s="40">
        <v>4998.0</v>
      </c>
      <c r="E27" s="39" t="s">
        <v>329</v>
      </c>
      <c r="F27" s="41" t="s">
        <v>330</v>
      </c>
      <c r="G27" s="36" t="s">
        <v>331</v>
      </c>
      <c r="H27" s="38" t="s">
        <v>332</v>
      </c>
      <c r="I27" s="39" t="s">
        <v>234</v>
      </c>
      <c r="J27" s="39" t="s">
        <v>333</v>
      </c>
    </row>
    <row r="28" ht="26.25" customHeight="1">
      <c r="A28" s="12" t="s">
        <v>202</v>
      </c>
      <c r="B28" s="17">
        <v>2022.0</v>
      </c>
      <c r="C28" s="40" t="s">
        <v>20</v>
      </c>
      <c r="D28" s="40">
        <v>6628.0</v>
      </c>
      <c r="E28" s="39" t="s">
        <v>334</v>
      </c>
      <c r="F28" s="41" t="s">
        <v>335</v>
      </c>
      <c r="G28" s="36" t="s">
        <v>336</v>
      </c>
      <c r="H28" s="38" t="s">
        <v>337</v>
      </c>
      <c r="I28" s="39" t="s">
        <v>234</v>
      </c>
      <c r="J28" s="39" t="s">
        <v>338</v>
      </c>
    </row>
    <row r="29" ht="26.25" customHeight="1">
      <c r="A29" s="12" t="s">
        <v>208</v>
      </c>
      <c r="B29" s="17">
        <v>2022.0</v>
      </c>
      <c r="C29" s="40" t="s">
        <v>20</v>
      </c>
      <c r="D29" s="40">
        <v>7144.0</v>
      </c>
      <c r="E29" s="39" t="s">
        <v>339</v>
      </c>
      <c r="F29" s="41" t="s">
        <v>340</v>
      </c>
      <c r="G29" s="36" t="s">
        <v>341</v>
      </c>
      <c r="H29" s="38" t="s">
        <v>342</v>
      </c>
      <c r="I29" s="39" t="s">
        <v>240</v>
      </c>
      <c r="J29" s="39" t="s">
        <v>343</v>
      </c>
    </row>
    <row r="30" ht="26.25" customHeight="1">
      <c r="A30" s="12" t="s">
        <v>213</v>
      </c>
      <c r="B30" s="17">
        <v>2022.0</v>
      </c>
      <c r="C30" s="40" t="s">
        <v>20</v>
      </c>
      <c r="D30" s="40">
        <v>6935.0</v>
      </c>
      <c r="E30" s="39" t="s">
        <v>344</v>
      </c>
      <c r="F30" s="41" t="s">
        <v>345</v>
      </c>
      <c r="G30" s="36" t="s">
        <v>346</v>
      </c>
      <c r="H30" s="38" t="s">
        <v>347</v>
      </c>
      <c r="I30" s="39" t="s">
        <v>234</v>
      </c>
      <c r="J30" s="39" t="s">
        <v>348</v>
      </c>
    </row>
    <row r="31" ht="26.25" customHeight="1">
      <c r="A31" s="12" t="s">
        <v>215</v>
      </c>
      <c r="B31" s="17">
        <v>2022.0</v>
      </c>
      <c r="C31" s="40" t="s">
        <v>21</v>
      </c>
      <c r="D31" s="40">
        <v>7233.0</v>
      </c>
      <c r="E31" s="39" t="s">
        <v>349</v>
      </c>
      <c r="F31" s="41" t="s">
        <v>350</v>
      </c>
      <c r="G31" s="36" t="s">
        <v>351</v>
      </c>
      <c r="H31" s="38" t="s">
        <v>352</v>
      </c>
      <c r="I31" s="39" t="s">
        <v>240</v>
      </c>
      <c r="J31" s="39" t="s">
        <v>353</v>
      </c>
    </row>
    <row r="32" ht="26.25" customHeight="1">
      <c r="A32" s="12" t="s">
        <v>354</v>
      </c>
      <c r="B32" s="17">
        <v>2022.0</v>
      </c>
      <c r="C32" s="40" t="s">
        <v>22</v>
      </c>
      <c r="D32" s="40">
        <v>5527.0</v>
      </c>
      <c r="E32" s="39" t="s">
        <v>306</v>
      </c>
      <c r="F32" s="40" t="s">
        <v>355</v>
      </c>
      <c r="G32" s="36" t="s">
        <v>308</v>
      </c>
      <c r="H32" s="38" t="s">
        <v>356</v>
      </c>
      <c r="I32" s="39" t="s">
        <v>234</v>
      </c>
      <c r="J32" s="39" t="s">
        <v>357</v>
      </c>
    </row>
    <row r="33" ht="26.25" customHeight="1">
      <c r="A33" s="12" t="s">
        <v>358</v>
      </c>
      <c r="B33" s="17">
        <v>2023.0</v>
      </c>
      <c r="C33" s="40" t="s">
        <v>11</v>
      </c>
      <c r="D33" s="40">
        <v>4187.0</v>
      </c>
      <c r="E33" s="39" t="s">
        <v>286</v>
      </c>
      <c r="F33" s="40" t="s">
        <v>287</v>
      </c>
      <c r="G33" s="36" t="s">
        <v>288</v>
      </c>
      <c r="H33" s="38" t="s">
        <v>359</v>
      </c>
      <c r="I33" s="38" t="s">
        <v>234</v>
      </c>
      <c r="J33" s="39" t="s">
        <v>290</v>
      </c>
    </row>
    <row r="34" ht="26.25" customHeight="1">
      <c r="A34" s="12" t="s">
        <v>360</v>
      </c>
      <c r="B34" s="17">
        <v>2023.0</v>
      </c>
      <c r="C34" s="40" t="s">
        <v>11</v>
      </c>
      <c r="D34" s="40">
        <v>8162.0</v>
      </c>
      <c r="E34" s="39" t="s">
        <v>361</v>
      </c>
      <c r="F34" s="41" t="s">
        <v>362</v>
      </c>
      <c r="G34" s="36" t="s">
        <v>363</v>
      </c>
      <c r="H34" s="38" t="s">
        <v>364</v>
      </c>
      <c r="I34" s="38" t="s">
        <v>240</v>
      </c>
      <c r="J34" s="39" t="s">
        <v>365</v>
      </c>
    </row>
    <row r="35" ht="26.25" customHeight="1">
      <c r="A35" s="12" t="s">
        <v>366</v>
      </c>
      <c r="B35" s="17">
        <v>2023.0</v>
      </c>
      <c r="C35" s="40" t="s">
        <v>13</v>
      </c>
      <c r="D35" s="40">
        <v>8423.0</v>
      </c>
      <c r="E35" s="39" t="s">
        <v>367</v>
      </c>
      <c r="F35" s="40" t="s">
        <v>368</v>
      </c>
      <c r="G35" s="36" t="s">
        <v>369</v>
      </c>
      <c r="H35" s="38" t="s">
        <v>370</v>
      </c>
      <c r="I35" s="38" t="s">
        <v>240</v>
      </c>
      <c r="J35" s="39" t="s">
        <v>371</v>
      </c>
    </row>
    <row r="36" ht="26.25" customHeight="1">
      <c r="A36" s="12" t="s">
        <v>372</v>
      </c>
      <c r="B36" s="17">
        <v>2023.0</v>
      </c>
      <c r="C36" s="40" t="s">
        <v>15</v>
      </c>
      <c r="D36" s="40">
        <v>8814.0</v>
      </c>
      <c r="E36" s="39" t="s">
        <v>373</v>
      </c>
      <c r="F36" s="41" t="s">
        <v>374</v>
      </c>
      <c r="G36" s="36" t="s">
        <v>375</v>
      </c>
      <c r="H36" s="38" t="s">
        <v>373</v>
      </c>
      <c r="I36" s="38" t="s">
        <v>234</v>
      </c>
      <c r="J36" s="39" t="s">
        <v>376</v>
      </c>
    </row>
    <row r="37" ht="26.25" customHeight="1">
      <c r="A37" s="12" t="s">
        <v>377</v>
      </c>
      <c r="B37" s="17">
        <v>2023.0</v>
      </c>
      <c r="C37" s="40" t="s">
        <v>18</v>
      </c>
      <c r="D37" s="40">
        <v>9715.0</v>
      </c>
      <c r="E37" s="39" t="s">
        <v>378</v>
      </c>
      <c r="F37" s="40" t="s">
        <v>379</v>
      </c>
      <c r="G37" s="36" t="s">
        <v>380</v>
      </c>
      <c r="H37" s="38" t="s">
        <v>381</v>
      </c>
      <c r="I37" s="38" t="s">
        <v>240</v>
      </c>
      <c r="J37" s="39" t="s">
        <v>382</v>
      </c>
    </row>
    <row r="38" ht="26.25" customHeight="1">
      <c r="A38" s="12" t="s">
        <v>383</v>
      </c>
      <c r="B38" s="17">
        <v>2023.0</v>
      </c>
      <c r="C38" s="40" t="s">
        <v>19</v>
      </c>
      <c r="D38" s="35">
        <v>8767.0</v>
      </c>
      <c r="E38" s="37" t="s">
        <v>384</v>
      </c>
      <c r="F38" s="41" t="s">
        <v>385</v>
      </c>
      <c r="G38" s="36" t="s">
        <v>386</v>
      </c>
      <c r="H38" s="36" t="s">
        <v>387</v>
      </c>
      <c r="I38" s="38" t="s">
        <v>388</v>
      </c>
      <c r="J38" s="39" t="s">
        <v>389</v>
      </c>
    </row>
    <row r="39" ht="26.25" customHeight="1">
      <c r="A39" s="12" t="s">
        <v>390</v>
      </c>
      <c r="B39" s="17">
        <v>2023.0</v>
      </c>
      <c r="C39" s="40" t="s">
        <v>19</v>
      </c>
      <c r="D39" s="35">
        <v>10222.0</v>
      </c>
      <c r="E39" s="37" t="s">
        <v>344</v>
      </c>
      <c r="F39" s="41" t="s">
        <v>391</v>
      </c>
      <c r="G39" s="36" t="s">
        <v>346</v>
      </c>
      <c r="H39" s="36" t="s">
        <v>392</v>
      </c>
      <c r="I39" s="38" t="s">
        <v>234</v>
      </c>
      <c r="J39" s="39" t="s">
        <v>348</v>
      </c>
    </row>
    <row r="40" ht="26.25" customHeight="1">
      <c r="A40" s="12" t="s">
        <v>393</v>
      </c>
      <c r="B40" s="17">
        <v>2023.0</v>
      </c>
      <c r="C40" s="35" t="s">
        <v>20</v>
      </c>
      <c r="D40" s="35">
        <v>10487.0</v>
      </c>
      <c r="E40" s="36" t="s">
        <v>394</v>
      </c>
      <c r="F40" s="41" t="s">
        <v>395</v>
      </c>
      <c r="G40" s="36" t="s">
        <v>396</v>
      </c>
      <c r="H40" s="36" t="s">
        <v>397</v>
      </c>
      <c r="I40" s="38" t="s">
        <v>234</v>
      </c>
      <c r="J40" s="39" t="s">
        <v>398</v>
      </c>
    </row>
    <row r="41" ht="26.25" customHeight="1">
      <c r="A41" s="12" t="s">
        <v>399</v>
      </c>
      <c r="B41" s="17">
        <v>2023.0</v>
      </c>
      <c r="C41" s="17" t="s">
        <v>21</v>
      </c>
      <c r="D41" s="17">
        <v>10692.0</v>
      </c>
      <c r="E41" s="36" t="s">
        <v>400</v>
      </c>
      <c r="F41" s="43" t="s">
        <v>401</v>
      </c>
      <c r="G41" s="36"/>
      <c r="H41" s="36" t="s">
        <v>402</v>
      </c>
      <c r="I41" s="38" t="s">
        <v>234</v>
      </c>
      <c r="J41" s="39" t="s">
        <v>403</v>
      </c>
    </row>
    <row r="42" ht="26.25" customHeight="1">
      <c r="A42" s="12" t="s">
        <v>404</v>
      </c>
      <c r="B42" s="17">
        <v>2023.0</v>
      </c>
      <c r="C42" s="17" t="s">
        <v>22</v>
      </c>
      <c r="D42" s="17">
        <v>10569.0</v>
      </c>
      <c r="E42" s="36" t="s">
        <v>405</v>
      </c>
      <c r="F42" s="43" t="s">
        <v>406</v>
      </c>
      <c r="G42" s="36"/>
      <c r="H42" s="36" t="s">
        <v>407</v>
      </c>
      <c r="I42" s="38" t="s">
        <v>256</v>
      </c>
      <c r="J42" s="38" t="s">
        <v>408</v>
      </c>
    </row>
    <row r="43" ht="26.25" customHeight="1">
      <c r="A43" s="12" t="s">
        <v>409</v>
      </c>
      <c r="B43" s="17">
        <v>2023.0</v>
      </c>
      <c r="C43" s="17" t="s">
        <v>22</v>
      </c>
      <c r="D43" s="17">
        <v>10801.0</v>
      </c>
      <c r="E43" s="36" t="s">
        <v>410</v>
      </c>
      <c r="F43" s="43" t="s">
        <v>411</v>
      </c>
      <c r="G43" s="36" t="s">
        <v>412</v>
      </c>
      <c r="H43" s="36" t="s">
        <v>413</v>
      </c>
      <c r="I43" s="38" t="s">
        <v>240</v>
      </c>
      <c r="J43" s="38" t="s">
        <v>414</v>
      </c>
    </row>
    <row r="44" ht="26.25" customHeight="1">
      <c r="A44" s="12" t="s">
        <v>415</v>
      </c>
      <c r="B44" s="17">
        <v>2024.0</v>
      </c>
      <c r="C44" s="17" t="s">
        <v>11</v>
      </c>
      <c r="D44" s="17">
        <v>11141.0</v>
      </c>
      <c r="E44" s="36" t="s">
        <v>416</v>
      </c>
      <c r="F44" s="43" t="s">
        <v>417</v>
      </c>
      <c r="G44" s="36" t="s">
        <v>418</v>
      </c>
      <c r="H44" s="36" t="s">
        <v>419</v>
      </c>
      <c r="I44" s="38" t="s">
        <v>240</v>
      </c>
      <c r="J44" s="38" t="s">
        <v>420</v>
      </c>
    </row>
    <row r="45" ht="26.25" customHeight="1">
      <c r="A45" s="12" t="s">
        <v>421</v>
      </c>
      <c r="B45" s="17">
        <v>2024.0</v>
      </c>
      <c r="C45" s="17" t="s">
        <v>13</v>
      </c>
      <c r="D45" s="17">
        <v>11622.0</v>
      </c>
      <c r="E45" s="36" t="s">
        <v>422</v>
      </c>
      <c r="F45" s="48" t="s">
        <v>423</v>
      </c>
      <c r="G45" s="36" t="s">
        <v>424</v>
      </c>
      <c r="H45" s="36" t="s">
        <v>422</v>
      </c>
      <c r="I45" s="38" t="s">
        <v>240</v>
      </c>
      <c r="J45" s="38" t="s">
        <v>425</v>
      </c>
    </row>
    <row r="46" ht="26.25" customHeight="1">
      <c r="A46" s="12" t="s">
        <v>426</v>
      </c>
      <c r="B46" s="17">
        <v>2024.0</v>
      </c>
      <c r="C46" s="17" t="s">
        <v>14</v>
      </c>
      <c r="D46" s="17">
        <v>11696.0</v>
      </c>
      <c r="E46" s="36" t="s">
        <v>427</v>
      </c>
      <c r="F46" s="48" t="s">
        <v>428</v>
      </c>
      <c r="G46" s="36" t="s">
        <v>429</v>
      </c>
      <c r="H46" s="36" t="s">
        <v>430</v>
      </c>
      <c r="I46" s="38" t="s">
        <v>234</v>
      </c>
      <c r="J46" s="38" t="s">
        <v>431</v>
      </c>
    </row>
    <row r="47" ht="26.25" customHeight="1">
      <c r="A47" s="12" t="s">
        <v>432</v>
      </c>
      <c r="B47" s="17">
        <v>2024.0</v>
      </c>
      <c r="C47" s="17" t="s">
        <v>16</v>
      </c>
      <c r="D47" s="17">
        <v>12224.0</v>
      </c>
      <c r="E47" s="36" t="s">
        <v>433</v>
      </c>
      <c r="F47" s="48" t="s">
        <v>401</v>
      </c>
      <c r="G47" s="36" t="s">
        <v>434</v>
      </c>
      <c r="H47" s="36" t="s">
        <v>435</v>
      </c>
      <c r="I47" s="36" t="s">
        <v>234</v>
      </c>
      <c r="J47" s="38" t="s">
        <v>436</v>
      </c>
    </row>
    <row r="48" ht="26.25" customHeight="1">
      <c r="A48" s="12" t="s">
        <v>437</v>
      </c>
      <c r="B48" s="17">
        <v>2024.0</v>
      </c>
      <c r="C48" s="17" t="s">
        <v>16</v>
      </c>
      <c r="D48" s="17">
        <v>6468.0</v>
      </c>
      <c r="E48" s="36" t="s">
        <v>319</v>
      </c>
      <c r="F48" s="48" t="s">
        <v>438</v>
      </c>
      <c r="G48" s="36" t="s">
        <v>321</v>
      </c>
      <c r="H48" s="36" t="s">
        <v>439</v>
      </c>
      <c r="I48" s="36" t="s">
        <v>240</v>
      </c>
      <c r="J48" s="38" t="s">
        <v>440</v>
      </c>
    </row>
    <row r="49" ht="26.25" customHeight="1">
      <c r="A49" s="12" t="s">
        <v>441</v>
      </c>
      <c r="B49" s="17">
        <v>2024.0</v>
      </c>
      <c r="C49" s="17" t="s">
        <v>19</v>
      </c>
      <c r="D49" s="15">
        <v>5138.0</v>
      </c>
      <c r="E49" s="49" t="s">
        <v>442</v>
      </c>
      <c r="F49" s="50" t="s">
        <v>443</v>
      </c>
      <c r="G49" s="36" t="s">
        <v>303</v>
      </c>
      <c r="H49" s="49" t="s">
        <v>444</v>
      </c>
      <c r="I49" s="49" t="s">
        <v>234</v>
      </c>
      <c r="J49" s="38" t="s">
        <v>305</v>
      </c>
    </row>
    <row r="50" ht="26.25" customHeight="1">
      <c r="A50" s="12" t="s">
        <v>445</v>
      </c>
      <c r="B50" s="17">
        <v>2024.0</v>
      </c>
      <c r="C50" s="17" t="s">
        <v>22</v>
      </c>
      <c r="D50" s="17">
        <v>13791.0</v>
      </c>
      <c r="E50" s="36" t="s">
        <v>446</v>
      </c>
      <c r="F50" s="48" t="s">
        <v>447</v>
      </c>
      <c r="G50" s="13" t="s">
        <v>448</v>
      </c>
      <c r="H50" s="36" t="s">
        <v>449</v>
      </c>
      <c r="I50" s="49" t="s">
        <v>234</v>
      </c>
      <c r="J50" s="38" t="s">
        <v>450</v>
      </c>
    </row>
    <row r="51" ht="26.25" customHeight="1">
      <c r="A51" s="12" t="s">
        <v>451</v>
      </c>
      <c r="B51" s="17">
        <v>2025.0</v>
      </c>
      <c r="C51" s="17" t="s">
        <v>11</v>
      </c>
      <c r="D51" s="17">
        <v>14431.0</v>
      </c>
      <c r="E51" s="36" t="s">
        <v>452</v>
      </c>
      <c r="F51" s="48" t="s">
        <v>453</v>
      </c>
      <c r="G51" s="13" t="s">
        <v>454</v>
      </c>
      <c r="H51" s="36" t="s">
        <v>455</v>
      </c>
      <c r="I51" s="49" t="s">
        <v>228</v>
      </c>
      <c r="J51" s="38" t="s">
        <v>456</v>
      </c>
    </row>
    <row r="52" ht="26.25" customHeight="1">
      <c r="A52" s="12" t="s">
        <v>457</v>
      </c>
      <c r="B52" s="17">
        <v>2025.0</v>
      </c>
      <c r="C52" s="17" t="s">
        <v>12</v>
      </c>
      <c r="D52" s="17">
        <v>14630.0</v>
      </c>
      <c r="E52" s="36" t="s">
        <v>458</v>
      </c>
      <c r="F52" s="48" t="s">
        <v>459</v>
      </c>
      <c r="G52" s="13" t="s">
        <v>460</v>
      </c>
      <c r="H52" s="36" t="s">
        <v>461</v>
      </c>
      <c r="I52" s="49" t="s">
        <v>240</v>
      </c>
      <c r="J52" s="38" t="s">
        <v>462</v>
      </c>
    </row>
    <row r="53" ht="26.25" customHeight="1">
      <c r="A53" s="12" t="s">
        <v>463</v>
      </c>
      <c r="B53" s="17">
        <v>2025.0</v>
      </c>
      <c r="C53" s="17" t="s">
        <v>13</v>
      </c>
      <c r="D53" s="15">
        <v>14842.0</v>
      </c>
      <c r="E53" s="49" t="s">
        <v>464</v>
      </c>
      <c r="F53" s="54" t="s">
        <v>465</v>
      </c>
      <c r="G53" s="13"/>
      <c r="H53" s="36" t="s">
        <v>466</v>
      </c>
      <c r="I53" s="49" t="s">
        <v>240</v>
      </c>
      <c r="J53" s="38" t="s">
        <v>467</v>
      </c>
    </row>
    <row r="54" ht="26.25" customHeight="1">
      <c r="A54" s="12" t="s">
        <v>468</v>
      </c>
      <c r="B54" s="17">
        <v>2025.0</v>
      </c>
      <c r="C54" s="17" t="s">
        <v>15</v>
      </c>
      <c r="D54" s="15">
        <v>15398.0</v>
      </c>
      <c r="E54" s="49" t="s">
        <v>469</v>
      </c>
      <c r="F54" s="54" t="s">
        <v>470</v>
      </c>
      <c r="G54" s="13"/>
      <c r="H54" s="49" t="s">
        <v>471</v>
      </c>
      <c r="I54" s="49" t="s">
        <v>240</v>
      </c>
      <c r="J54" s="38" t="s">
        <v>472</v>
      </c>
    </row>
    <row r="55" ht="26.25" customHeight="1">
      <c r="A55" s="12" t="s">
        <v>473</v>
      </c>
      <c r="B55" s="17">
        <v>2025.0</v>
      </c>
      <c r="C55" s="17" t="s">
        <v>16</v>
      </c>
      <c r="D55" s="15">
        <v>15593.0</v>
      </c>
      <c r="E55" s="49" t="s">
        <v>474</v>
      </c>
      <c r="F55" s="54" t="s">
        <v>475</v>
      </c>
      <c r="G55" s="13" t="s">
        <v>476</v>
      </c>
      <c r="H55" s="49" t="s">
        <v>477</v>
      </c>
      <c r="I55" s="49" t="s">
        <v>234</v>
      </c>
      <c r="J55" s="38" t="s">
        <v>478</v>
      </c>
    </row>
    <row r="56" ht="26.25" customHeight="1">
      <c r="A56" s="12" t="s">
        <v>479</v>
      </c>
      <c r="B56" s="17">
        <v>2025.0</v>
      </c>
      <c r="C56" s="17" t="s">
        <v>19</v>
      </c>
      <c r="D56" s="15">
        <v>16269.0</v>
      </c>
      <c r="E56" s="49" t="s">
        <v>480</v>
      </c>
      <c r="F56" s="54" t="s">
        <v>481</v>
      </c>
      <c r="G56" s="13" t="s">
        <v>482</v>
      </c>
      <c r="H56" s="49" t="s">
        <v>483</v>
      </c>
      <c r="I56" s="55" t="s">
        <v>240</v>
      </c>
      <c r="J56" s="49" t="s">
        <v>484</v>
      </c>
    </row>
    <row r="57" ht="26.25" customHeight="1">
      <c r="A57" s="56" t="s">
        <v>485</v>
      </c>
      <c r="B57" s="20">
        <v>2026.0</v>
      </c>
      <c r="C57" s="20" t="s">
        <v>12</v>
      </c>
      <c r="D57" s="57">
        <v>10801.0</v>
      </c>
      <c r="E57" s="58" t="s">
        <v>410</v>
      </c>
      <c r="F57" s="59" t="s">
        <v>411</v>
      </c>
      <c r="G57" s="60" t="s">
        <v>412</v>
      </c>
      <c r="H57" s="58" t="s">
        <v>486</v>
      </c>
      <c r="I57" s="58" t="s">
        <v>240</v>
      </c>
      <c r="J57" s="61" t="s">
        <v>414</v>
      </c>
    </row>
    <row r="58" ht="26.25" customHeight="1">
      <c r="A58" s="12" t="s">
        <v>487</v>
      </c>
      <c r="B58" s="20">
        <v>2026.0</v>
      </c>
      <c r="C58" s="20" t="s">
        <v>14</v>
      </c>
      <c r="D58" s="15">
        <v>17997.0</v>
      </c>
      <c r="E58" s="49" t="s">
        <v>488</v>
      </c>
      <c r="F58" s="54" t="s">
        <v>489</v>
      </c>
      <c r="G58" s="60" t="s">
        <v>490</v>
      </c>
      <c r="H58" s="49" t="s">
        <v>491</v>
      </c>
      <c r="I58" s="49" t="s">
        <v>246</v>
      </c>
      <c r="J58" s="61" t="s">
        <v>492</v>
      </c>
    </row>
    <row r="59" ht="26.25" customHeight="1">
      <c r="A59" s="56" t="s">
        <v>493</v>
      </c>
      <c r="B59" s="20">
        <v>2026.0</v>
      </c>
      <c r="C59" s="20" t="s">
        <v>15</v>
      </c>
      <c r="D59" s="62">
        <v>18591.0</v>
      </c>
      <c r="E59" s="63" t="s">
        <v>494</v>
      </c>
      <c r="F59" s="64" t="s">
        <v>495</v>
      </c>
      <c r="G59" s="60"/>
      <c r="H59" s="63" t="s">
        <v>496</v>
      </c>
      <c r="I59" s="63" t="s">
        <v>240</v>
      </c>
      <c r="J59" s="61" t="s">
        <v>497</v>
      </c>
    </row>
    <row r="60" ht="26.25" customHeight="1">
      <c r="A60" s="12" t="s">
        <v>498</v>
      </c>
      <c r="B60" s="20">
        <v>2026.0</v>
      </c>
      <c r="C60" s="20" t="s">
        <v>15</v>
      </c>
      <c r="D60" s="65">
        <v>18742.0</v>
      </c>
      <c r="E60" s="66" t="s">
        <v>499</v>
      </c>
      <c r="F60" s="67" t="s">
        <v>500</v>
      </c>
      <c r="G60" s="68" t="s">
        <v>501</v>
      </c>
      <c r="H60" s="69" t="s">
        <v>502</v>
      </c>
      <c r="I60" s="66" t="s">
        <v>240</v>
      </c>
      <c r="J60" s="70" t="s">
        <v>503</v>
      </c>
    </row>
    <row r="61" ht="26.25" customHeight="1">
      <c r="A61" s="56" t="s">
        <v>504</v>
      </c>
      <c r="B61" s="20">
        <v>2026.0</v>
      </c>
      <c r="C61" s="20" t="s">
        <v>16</v>
      </c>
      <c r="D61" s="62">
        <v>18907.0</v>
      </c>
      <c r="E61" s="63" t="s">
        <v>505</v>
      </c>
      <c r="F61" s="64" t="s">
        <v>506</v>
      </c>
      <c r="G61" s="71"/>
      <c r="H61" s="63" t="s">
        <v>507</v>
      </c>
      <c r="I61" s="63" t="s">
        <v>234</v>
      </c>
      <c r="J61" s="70" t="s">
        <v>508</v>
      </c>
    </row>
    <row r="62" ht="26.25" customHeight="1">
      <c r="A62" s="51" t="s">
        <v>222</v>
      </c>
      <c r="C62" s="52"/>
      <c r="D62" s="52"/>
      <c r="E62" s="53">
        <f t="array" ref="E62">sum(1/countif(E61,E61))</f>
        <v>1</v>
      </c>
      <c r="F62" s="52"/>
      <c r="G62" s="52"/>
      <c r="H62" s="53">
        <f t="array" ref="H62">sum(1/countif(H61,H61))</f>
        <v>1</v>
      </c>
      <c r="I62" s="53">
        <f t="array" ref="I62">sum(1/countif(I51:I56,I51:I56))</f>
        <v>3</v>
      </c>
      <c r="J62" s="53"/>
    </row>
    <row r="63" ht="26.25" customHeight="1">
      <c r="A63" s="51" t="s">
        <v>223</v>
      </c>
      <c r="C63" s="52"/>
      <c r="E63" s="53">
        <f t="array" ref="E63">sum(1/countif(E5:E61,E5:E61))</f>
        <v>48</v>
      </c>
      <c r="F63" s="52"/>
      <c r="G63" s="52" t="s">
        <v>509</v>
      </c>
      <c r="H63" s="53">
        <f t="array" ref="H63">sum(1/countif(H5:H61,H5:H61))</f>
        <v>57</v>
      </c>
      <c r="I63" s="53">
        <f t="array" ref="I63">sum(1/countif(I5:I56,I5:I56))</f>
        <v>6</v>
      </c>
      <c r="J63" s="53"/>
    </row>
  </sheetData>
  <mergeCells count="6">
    <mergeCell ref="A1:J1"/>
    <mergeCell ref="A2:J2"/>
    <mergeCell ref="A3:J3"/>
    <mergeCell ref="A62:B62"/>
    <mergeCell ref="A63:B63"/>
    <mergeCell ref="C63:D63"/>
  </mergeCell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17</v>
      </c>
      <c r="D5" s="35">
        <v>1342.0</v>
      </c>
      <c r="E5" s="37" t="s">
        <v>510</v>
      </c>
      <c r="F5" s="72" t="s">
        <v>511</v>
      </c>
      <c r="G5" s="37" t="s">
        <v>512</v>
      </c>
      <c r="H5" s="37" t="s">
        <v>513</v>
      </c>
      <c r="I5" s="39" t="s">
        <v>514</v>
      </c>
      <c r="J5" s="39" t="s">
        <v>515</v>
      </c>
    </row>
    <row r="6" ht="26.25" customHeight="1">
      <c r="A6" s="12" t="s">
        <v>80</v>
      </c>
      <c r="B6" s="17">
        <v>2021.0</v>
      </c>
      <c r="C6" s="35" t="s">
        <v>18</v>
      </c>
      <c r="D6" s="35">
        <v>1342.0</v>
      </c>
      <c r="E6" s="37" t="s">
        <v>510</v>
      </c>
      <c r="F6" s="72" t="s">
        <v>511</v>
      </c>
      <c r="G6" s="37" t="s">
        <v>512</v>
      </c>
      <c r="H6" s="39" t="s">
        <v>516</v>
      </c>
      <c r="I6" s="39" t="s">
        <v>514</v>
      </c>
      <c r="J6" s="39" t="s">
        <v>517</v>
      </c>
    </row>
    <row r="7" ht="26.25" customHeight="1">
      <c r="A7" s="12" t="s">
        <v>87</v>
      </c>
      <c r="B7" s="17">
        <v>2024.0</v>
      </c>
      <c r="C7" s="17" t="s">
        <v>13</v>
      </c>
      <c r="D7" s="17">
        <v>11381.0</v>
      </c>
      <c r="E7" s="36" t="s">
        <v>518</v>
      </c>
      <c r="F7" s="48" t="s">
        <v>519</v>
      </c>
      <c r="G7" s="36" t="s">
        <v>520</v>
      </c>
      <c r="H7" s="36" t="s">
        <v>521</v>
      </c>
      <c r="I7" s="38" t="s">
        <v>514</v>
      </c>
      <c r="J7" s="38" t="s">
        <v>522</v>
      </c>
    </row>
    <row r="8" ht="26.25" customHeight="1">
      <c r="A8" s="12" t="s">
        <v>94</v>
      </c>
      <c r="B8" s="17">
        <v>2024.0</v>
      </c>
      <c r="C8" s="17" t="s">
        <v>15</v>
      </c>
      <c r="D8" s="17">
        <v>12092.0</v>
      </c>
      <c r="E8" s="36" t="s">
        <v>523</v>
      </c>
      <c r="F8" s="48" t="s">
        <v>524</v>
      </c>
      <c r="G8" s="36" t="s">
        <v>525</v>
      </c>
      <c r="H8" s="36" t="s">
        <v>251</v>
      </c>
      <c r="I8" s="36" t="s">
        <v>514</v>
      </c>
      <c r="J8" s="38" t="s">
        <v>526</v>
      </c>
    </row>
    <row r="9" ht="26.25" customHeight="1">
      <c r="A9" s="51" t="s">
        <v>222</v>
      </c>
      <c r="C9" s="52"/>
      <c r="D9" s="52"/>
      <c r="E9" s="73" t="str">
        <f t="array" ref="E9">sum(1/countif(E9,E9))</f>
        <v>#REF!</v>
      </c>
      <c r="F9" s="52"/>
      <c r="G9" s="52"/>
      <c r="H9" s="73" t="str">
        <f t="array" ref="H9">sum(1/countif(H9,H9))</f>
        <v>#REF!</v>
      </c>
      <c r="I9" s="53">
        <v>0.0</v>
      </c>
      <c r="J9" s="53"/>
    </row>
    <row r="10" ht="26.25" customHeight="1">
      <c r="A10" s="51" t="s">
        <v>223</v>
      </c>
      <c r="C10" s="52"/>
      <c r="E10" s="53">
        <f t="array" ref="E10">sum(1/countif(E5:E8,E5:E8))</f>
        <v>3</v>
      </c>
      <c r="F10" s="52"/>
      <c r="G10" s="52"/>
      <c r="H10" s="53">
        <f t="array" ref="H10">sum(1/countif(H5:H8,H5:H8))</f>
        <v>4</v>
      </c>
      <c r="I10" s="53">
        <f t="array" ref="I10">sum(1/countif(I5:I8,I5:I8))</f>
        <v>1</v>
      </c>
      <c r="J10" s="53"/>
    </row>
  </sheetData>
  <mergeCells count="6">
    <mergeCell ref="A1:J1"/>
    <mergeCell ref="A2:J2"/>
    <mergeCell ref="A3:J3"/>
    <mergeCell ref="A9:B9"/>
    <mergeCell ref="A10:B10"/>
    <mergeCell ref="C10:D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20.0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74" t="s">
        <v>72</v>
      </c>
      <c r="J4" s="34" t="s">
        <v>73</v>
      </c>
    </row>
    <row r="5" ht="28.5" customHeight="1">
      <c r="A5" s="12" t="s">
        <v>24</v>
      </c>
      <c r="B5" s="17">
        <v>2021.0</v>
      </c>
      <c r="C5" s="35" t="s">
        <v>15</v>
      </c>
      <c r="D5" s="35">
        <v>562.0</v>
      </c>
      <c r="E5" s="37" t="s">
        <v>527</v>
      </c>
      <c r="F5" s="35" t="s">
        <v>528</v>
      </c>
      <c r="G5" s="37" t="s">
        <v>529</v>
      </c>
      <c r="H5" s="36" t="s">
        <v>530</v>
      </c>
      <c r="I5" s="75" t="s">
        <v>531</v>
      </c>
      <c r="J5" s="39" t="s">
        <v>532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1027.0</v>
      </c>
      <c r="E6" s="37" t="s">
        <v>533</v>
      </c>
      <c r="F6" s="35" t="s">
        <v>534</v>
      </c>
      <c r="G6" s="37" t="s">
        <v>535</v>
      </c>
      <c r="H6" s="36" t="s">
        <v>536</v>
      </c>
      <c r="I6" s="75" t="s">
        <v>531</v>
      </c>
      <c r="J6" s="39" t="s">
        <v>537</v>
      </c>
    </row>
    <row r="7" ht="26.25" customHeight="1">
      <c r="A7" s="12" t="s">
        <v>87</v>
      </c>
      <c r="B7" s="17">
        <v>2021.0</v>
      </c>
      <c r="C7" s="17" t="s">
        <v>15</v>
      </c>
      <c r="D7" s="17">
        <v>536.0</v>
      </c>
      <c r="E7" s="36" t="s">
        <v>538</v>
      </c>
      <c r="F7" s="17" t="s">
        <v>539</v>
      </c>
      <c r="G7" s="36" t="s">
        <v>540</v>
      </c>
      <c r="H7" s="36" t="s">
        <v>541</v>
      </c>
      <c r="I7" s="76" t="s">
        <v>542</v>
      </c>
      <c r="J7" s="38" t="s">
        <v>543</v>
      </c>
    </row>
    <row r="8" ht="26.25" customHeight="1">
      <c r="A8" s="12" t="s">
        <v>94</v>
      </c>
      <c r="B8" s="17">
        <v>2021.0</v>
      </c>
      <c r="C8" s="35" t="s">
        <v>16</v>
      </c>
      <c r="D8" s="35">
        <v>891.0</v>
      </c>
      <c r="E8" s="37" t="s">
        <v>544</v>
      </c>
      <c r="F8" s="35" t="s">
        <v>545</v>
      </c>
      <c r="G8" s="37" t="s">
        <v>546</v>
      </c>
      <c r="H8" s="36" t="s">
        <v>547</v>
      </c>
      <c r="I8" s="75" t="s">
        <v>531</v>
      </c>
      <c r="J8" s="39" t="s">
        <v>548</v>
      </c>
    </row>
    <row r="9" ht="26.25" customHeight="1">
      <c r="A9" s="12" t="s">
        <v>101</v>
      </c>
      <c r="B9" s="17">
        <v>2021.0</v>
      </c>
      <c r="C9" s="35" t="s">
        <v>16</v>
      </c>
      <c r="D9" s="35">
        <v>927.0</v>
      </c>
      <c r="E9" s="37" t="s">
        <v>549</v>
      </c>
      <c r="F9" s="35" t="s">
        <v>550</v>
      </c>
      <c r="G9" s="37" t="s">
        <v>551</v>
      </c>
      <c r="H9" s="36" t="s">
        <v>552</v>
      </c>
      <c r="I9" s="75" t="s">
        <v>531</v>
      </c>
      <c r="J9" s="39" t="s">
        <v>553</v>
      </c>
    </row>
    <row r="10" ht="26.25" customHeight="1">
      <c r="A10" s="12" t="s">
        <v>108</v>
      </c>
      <c r="B10" s="17">
        <v>2021.0</v>
      </c>
      <c r="C10" s="35" t="s">
        <v>16</v>
      </c>
      <c r="D10" s="35">
        <v>436.0</v>
      </c>
      <c r="E10" s="37" t="s">
        <v>554</v>
      </c>
      <c r="F10" s="35" t="s">
        <v>555</v>
      </c>
      <c r="G10" s="37" t="s">
        <v>556</v>
      </c>
      <c r="H10" s="36" t="s">
        <v>557</v>
      </c>
      <c r="I10" s="75" t="s">
        <v>558</v>
      </c>
      <c r="J10" s="39" t="s">
        <v>559</v>
      </c>
    </row>
    <row r="11" ht="26.25" customHeight="1">
      <c r="A11" s="12" t="s">
        <v>113</v>
      </c>
      <c r="B11" s="17">
        <v>2021.0</v>
      </c>
      <c r="C11" s="35" t="s">
        <v>16</v>
      </c>
      <c r="D11" s="35">
        <v>1039.0</v>
      </c>
      <c r="E11" s="37" t="s">
        <v>560</v>
      </c>
      <c r="F11" s="35" t="s">
        <v>561</v>
      </c>
      <c r="G11" s="37" t="s">
        <v>562</v>
      </c>
      <c r="H11" s="36" t="s">
        <v>563</v>
      </c>
      <c r="I11" s="75" t="s">
        <v>564</v>
      </c>
      <c r="J11" s="39" t="s">
        <v>565</v>
      </c>
    </row>
    <row r="12" ht="26.25" customHeight="1">
      <c r="A12" s="12" t="s">
        <v>120</v>
      </c>
      <c r="B12" s="17">
        <v>2021.0</v>
      </c>
      <c r="C12" s="35" t="s">
        <v>17</v>
      </c>
      <c r="D12" s="35">
        <v>1647.0</v>
      </c>
      <c r="E12" s="37" t="s">
        <v>566</v>
      </c>
      <c r="F12" s="35" t="s">
        <v>567</v>
      </c>
      <c r="G12" s="37" t="s">
        <v>568</v>
      </c>
      <c r="H12" s="36" t="s">
        <v>569</v>
      </c>
      <c r="I12" s="75" t="s">
        <v>542</v>
      </c>
      <c r="J12" s="39" t="s">
        <v>570</v>
      </c>
    </row>
    <row r="13" ht="26.25" customHeight="1">
      <c r="A13" s="12" t="s">
        <v>126</v>
      </c>
      <c r="B13" s="17">
        <v>2021.0</v>
      </c>
      <c r="C13" s="35" t="s">
        <v>17</v>
      </c>
      <c r="D13" s="35">
        <v>473.0</v>
      </c>
      <c r="E13" s="37" t="s">
        <v>571</v>
      </c>
      <c r="F13" s="35" t="s">
        <v>572</v>
      </c>
      <c r="G13" s="37" t="s">
        <v>573</v>
      </c>
      <c r="H13" s="36" t="s">
        <v>571</v>
      </c>
      <c r="I13" s="75" t="s">
        <v>542</v>
      </c>
      <c r="J13" s="39" t="s">
        <v>574</v>
      </c>
    </row>
    <row r="14" ht="26.25" customHeight="1">
      <c r="A14" s="12" t="s">
        <v>132</v>
      </c>
      <c r="B14" s="17">
        <v>2021.0</v>
      </c>
      <c r="C14" s="35" t="s">
        <v>17</v>
      </c>
      <c r="D14" s="35">
        <v>865.0</v>
      </c>
      <c r="E14" s="37" t="s">
        <v>575</v>
      </c>
      <c r="F14" s="35" t="s">
        <v>576</v>
      </c>
      <c r="G14" s="37" t="s">
        <v>577</v>
      </c>
      <c r="H14" s="36" t="s">
        <v>578</v>
      </c>
      <c r="I14" s="75" t="s">
        <v>558</v>
      </c>
      <c r="J14" s="39" t="s">
        <v>579</v>
      </c>
    </row>
    <row r="15" ht="26.25" customHeight="1">
      <c r="A15" s="12" t="s">
        <v>138</v>
      </c>
      <c r="B15" s="17">
        <v>2021.0</v>
      </c>
      <c r="C15" s="40" t="s">
        <v>18</v>
      </c>
      <c r="D15" s="40">
        <v>1925.0</v>
      </c>
      <c r="E15" s="39" t="s">
        <v>580</v>
      </c>
      <c r="F15" s="40" t="s">
        <v>581</v>
      </c>
      <c r="G15" s="39" t="s">
        <v>582</v>
      </c>
      <c r="H15" s="38" t="s">
        <v>583</v>
      </c>
      <c r="I15" s="75" t="s">
        <v>542</v>
      </c>
      <c r="J15" s="39" t="s">
        <v>584</v>
      </c>
    </row>
    <row r="16" ht="26.25" customHeight="1">
      <c r="A16" s="12" t="s">
        <v>144</v>
      </c>
      <c r="B16" s="17">
        <v>2021.0</v>
      </c>
      <c r="C16" s="40" t="s">
        <v>18</v>
      </c>
      <c r="D16" s="40">
        <v>1851.0</v>
      </c>
      <c r="E16" s="39" t="s">
        <v>585</v>
      </c>
      <c r="F16" s="40" t="s">
        <v>586</v>
      </c>
      <c r="G16" s="39" t="s">
        <v>587</v>
      </c>
      <c r="H16" s="38" t="s">
        <v>588</v>
      </c>
      <c r="I16" s="75" t="s">
        <v>564</v>
      </c>
      <c r="J16" s="39" t="s">
        <v>589</v>
      </c>
    </row>
    <row r="17" ht="26.25" customHeight="1">
      <c r="A17" s="12" t="s">
        <v>146</v>
      </c>
      <c r="B17" s="17">
        <v>2021.0</v>
      </c>
      <c r="C17" s="40" t="s">
        <v>18</v>
      </c>
      <c r="D17" s="40">
        <v>1925.0</v>
      </c>
      <c r="E17" s="39" t="s">
        <v>580</v>
      </c>
      <c r="F17" s="40" t="s">
        <v>581</v>
      </c>
      <c r="G17" s="39" t="s">
        <v>582</v>
      </c>
      <c r="H17" s="38" t="s">
        <v>590</v>
      </c>
      <c r="I17" s="75" t="s">
        <v>542</v>
      </c>
      <c r="J17" s="39" t="s">
        <v>584</v>
      </c>
    </row>
    <row r="18" ht="26.25" customHeight="1">
      <c r="A18" s="12" t="s">
        <v>151</v>
      </c>
      <c r="B18" s="17">
        <v>2021.0</v>
      </c>
      <c r="C18" s="35" t="s">
        <v>19</v>
      </c>
      <c r="D18" s="35">
        <v>2581.0</v>
      </c>
      <c r="E18" s="37" t="s">
        <v>591</v>
      </c>
      <c r="F18" s="35" t="s">
        <v>592</v>
      </c>
      <c r="G18" s="37" t="s">
        <v>593</v>
      </c>
      <c r="H18" s="36" t="s">
        <v>594</v>
      </c>
      <c r="I18" s="75" t="s">
        <v>531</v>
      </c>
      <c r="J18" s="39" t="s">
        <v>595</v>
      </c>
    </row>
    <row r="19" ht="26.25" customHeight="1">
      <c r="A19" s="12" t="s">
        <v>153</v>
      </c>
      <c r="B19" s="17">
        <v>2021.0</v>
      </c>
      <c r="C19" s="40" t="s">
        <v>19</v>
      </c>
      <c r="D19" s="17">
        <v>2225.0</v>
      </c>
      <c r="E19" s="39" t="s">
        <v>596</v>
      </c>
      <c r="F19" s="40" t="s">
        <v>597</v>
      </c>
      <c r="G19" s="39" t="s">
        <v>598</v>
      </c>
      <c r="H19" s="38" t="s">
        <v>599</v>
      </c>
      <c r="I19" s="75" t="s">
        <v>558</v>
      </c>
      <c r="J19" s="39" t="s">
        <v>600</v>
      </c>
    </row>
    <row r="20" ht="26.25" customHeight="1">
      <c r="A20" s="12" t="s">
        <v>159</v>
      </c>
      <c r="B20" s="17">
        <v>2021.0</v>
      </c>
      <c r="C20" s="40" t="s">
        <v>19</v>
      </c>
      <c r="D20" s="40">
        <v>2415.0</v>
      </c>
      <c r="E20" s="39" t="s">
        <v>601</v>
      </c>
      <c r="F20" s="40" t="s">
        <v>602</v>
      </c>
      <c r="G20" s="39" t="s">
        <v>603</v>
      </c>
      <c r="H20" s="38" t="s">
        <v>604</v>
      </c>
      <c r="I20" s="75" t="s">
        <v>558</v>
      </c>
      <c r="J20" s="39" t="s">
        <v>605</v>
      </c>
    </row>
    <row r="21" ht="26.25" customHeight="1">
      <c r="A21" s="12" t="s">
        <v>165</v>
      </c>
      <c r="B21" s="17">
        <v>2021.0</v>
      </c>
      <c r="C21" s="35" t="s">
        <v>20</v>
      </c>
      <c r="D21" s="35">
        <v>3007.0</v>
      </c>
      <c r="E21" s="37" t="s">
        <v>606</v>
      </c>
      <c r="F21" s="40" t="s">
        <v>607</v>
      </c>
      <c r="G21" s="37" t="s">
        <v>608</v>
      </c>
      <c r="H21" s="36" t="s">
        <v>609</v>
      </c>
      <c r="I21" s="75" t="s">
        <v>542</v>
      </c>
      <c r="J21" s="39" t="s">
        <v>610</v>
      </c>
    </row>
    <row r="22" ht="26.25" customHeight="1">
      <c r="A22" s="12" t="s">
        <v>171</v>
      </c>
      <c r="B22" s="17">
        <v>2021.0</v>
      </c>
      <c r="C22" s="35" t="s">
        <v>20</v>
      </c>
      <c r="D22" s="40">
        <v>2665.0</v>
      </c>
      <c r="E22" s="39" t="s">
        <v>611</v>
      </c>
      <c r="F22" s="40" t="s">
        <v>612</v>
      </c>
      <c r="G22" s="37" t="s">
        <v>613</v>
      </c>
      <c r="H22" s="38" t="s">
        <v>614</v>
      </c>
      <c r="I22" s="75" t="s">
        <v>558</v>
      </c>
      <c r="J22" s="39" t="s">
        <v>615</v>
      </c>
    </row>
    <row r="23" ht="26.25" customHeight="1">
      <c r="A23" s="12" t="s">
        <v>173</v>
      </c>
      <c r="B23" s="17">
        <v>2021.0</v>
      </c>
      <c r="C23" s="35" t="s">
        <v>20</v>
      </c>
      <c r="D23" s="40">
        <v>2892.0</v>
      </c>
      <c r="E23" s="39" t="s">
        <v>616</v>
      </c>
      <c r="F23" s="40" t="s">
        <v>617</v>
      </c>
      <c r="G23" s="39" t="s">
        <v>618</v>
      </c>
      <c r="H23" s="38" t="s">
        <v>619</v>
      </c>
      <c r="I23" s="75" t="s">
        <v>531</v>
      </c>
      <c r="J23" s="39" t="s">
        <v>620</v>
      </c>
    </row>
    <row r="24" ht="26.25" customHeight="1">
      <c r="A24" s="12" t="s">
        <v>178</v>
      </c>
      <c r="B24" s="17">
        <v>2021.0</v>
      </c>
      <c r="C24" s="35" t="s">
        <v>20</v>
      </c>
      <c r="D24" s="40">
        <v>1431.0</v>
      </c>
      <c r="E24" s="39" t="s">
        <v>621</v>
      </c>
      <c r="F24" s="40" t="s">
        <v>622</v>
      </c>
      <c r="G24" s="39" t="s">
        <v>623</v>
      </c>
      <c r="H24" s="38" t="s">
        <v>624</v>
      </c>
      <c r="I24" s="75" t="s">
        <v>531</v>
      </c>
      <c r="J24" s="39" t="s">
        <v>625</v>
      </c>
    </row>
    <row r="25" ht="26.25" customHeight="1">
      <c r="A25" s="12" t="s">
        <v>184</v>
      </c>
      <c r="B25" s="17">
        <v>2021.0</v>
      </c>
      <c r="C25" s="17" t="s">
        <v>21</v>
      </c>
      <c r="D25" s="35">
        <v>2953.0</v>
      </c>
      <c r="E25" s="37" t="s">
        <v>626</v>
      </c>
      <c r="F25" s="35" t="s">
        <v>627</v>
      </c>
      <c r="G25" s="37" t="s">
        <v>628</v>
      </c>
      <c r="H25" s="36" t="s">
        <v>629</v>
      </c>
      <c r="I25" s="75" t="s">
        <v>531</v>
      </c>
      <c r="J25" s="39" t="s">
        <v>630</v>
      </c>
    </row>
    <row r="26" ht="26.25" customHeight="1">
      <c r="A26" s="12" t="s">
        <v>190</v>
      </c>
      <c r="B26" s="17">
        <v>2021.0</v>
      </c>
      <c r="C26" s="40" t="s">
        <v>21</v>
      </c>
      <c r="D26" s="40">
        <v>2892.0</v>
      </c>
      <c r="E26" s="39" t="s">
        <v>631</v>
      </c>
      <c r="F26" s="40" t="s">
        <v>617</v>
      </c>
      <c r="G26" s="39" t="s">
        <v>618</v>
      </c>
      <c r="H26" s="38" t="s">
        <v>632</v>
      </c>
      <c r="I26" s="75" t="s">
        <v>633</v>
      </c>
      <c r="J26" s="39" t="s">
        <v>634</v>
      </c>
    </row>
    <row r="27" ht="26.25" customHeight="1">
      <c r="A27" s="12" t="s">
        <v>196</v>
      </c>
      <c r="B27" s="17">
        <v>2021.0</v>
      </c>
      <c r="C27" s="40" t="s">
        <v>21</v>
      </c>
      <c r="D27" s="40">
        <v>3099.0</v>
      </c>
      <c r="E27" s="39" t="s">
        <v>635</v>
      </c>
      <c r="F27" s="40" t="s">
        <v>636</v>
      </c>
      <c r="G27" s="37" t="s">
        <v>637</v>
      </c>
      <c r="H27" s="38" t="s">
        <v>638</v>
      </c>
      <c r="I27" s="75" t="s">
        <v>531</v>
      </c>
      <c r="J27" s="39" t="s">
        <v>639</v>
      </c>
    </row>
    <row r="28" ht="26.25" customHeight="1">
      <c r="A28" s="12" t="s">
        <v>202</v>
      </c>
      <c r="B28" s="17">
        <v>2021.0</v>
      </c>
      <c r="C28" s="40" t="s">
        <v>21</v>
      </c>
      <c r="D28" s="40">
        <v>1431.0</v>
      </c>
      <c r="E28" s="39" t="s">
        <v>621</v>
      </c>
      <c r="F28" s="40" t="s">
        <v>622</v>
      </c>
      <c r="G28" s="39" t="s">
        <v>623</v>
      </c>
      <c r="H28" s="38" t="s">
        <v>640</v>
      </c>
      <c r="I28" s="75" t="s">
        <v>531</v>
      </c>
      <c r="J28" s="39" t="s">
        <v>625</v>
      </c>
    </row>
    <row r="29" ht="26.25" customHeight="1">
      <c r="A29" s="12" t="s">
        <v>208</v>
      </c>
      <c r="B29" s="17">
        <v>2021.0</v>
      </c>
      <c r="C29" s="40" t="s">
        <v>21</v>
      </c>
      <c r="D29" s="40">
        <v>1686.0</v>
      </c>
      <c r="E29" s="39" t="s">
        <v>641</v>
      </c>
      <c r="F29" s="40" t="s">
        <v>642</v>
      </c>
      <c r="G29" s="37" t="s">
        <v>643</v>
      </c>
      <c r="H29" s="38" t="s">
        <v>644</v>
      </c>
      <c r="I29" s="75" t="s">
        <v>531</v>
      </c>
      <c r="J29" s="39" t="s">
        <v>645</v>
      </c>
    </row>
    <row r="30" ht="26.25" customHeight="1">
      <c r="A30" s="12" t="s">
        <v>213</v>
      </c>
      <c r="B30" s="17">
        <v>2021.0</v>
      </c>
      <c r="C30" s="17" t="s">
        <v>22</v>
      </c>
      <c r="D30" s="35">
        <v>3536.0</v>
      </c>
      <c r="E30" s="37" t="s">
        <v>646</v>
      </c>
      <c r="F30" s="40" t="s">
        <v>647</v>
      </c>
      <c r="G30" s="37" t="s">
        <v>648</v>
      </c>
      <c r="H30" s="38" t="s">
        <v>649</v>
      </c>
      <c r="I30" s="75" t="s">
        <v>558</v>
      </c>
      <c r="J30" s="39" t="s">
        <v>650</v>
      </c>
    </row>
    <row r="31" ht="26.25" customHeight="1">
      <c r="A31" s="12" t="s">
        <v>215</v>
      </c>
      <c r="B31" s="17">
        <v>2021.0</v>
      </c>
      <c r="C31" s="17" t="s">
        <v>22</v>
      </c>
      <c r="D31" s="35">
        <v>3432.0</v>
      </c>
      <c r="E31" s="37" t="s">
        <v>651</v>
      </c>
      <c r="F31" s="35" t="s">
        <v>652</v>
      </c>
      <c r="G31" s="37" t="s">
        <v>653</v>
      </c>
      <c r="H31" s="36" t="s">
        <v>654</v>
      </c>
      <c r="I31" s="75" t="s">
        <v>531</v>
      </c>
      <c r="J31" s="39" t="s">
        <v>655</v>
      </c>
    </row>
    <row r="32" ht="26.25" customHeight="1">
      <c r="A32" s="12" t="s">
        <v>354</v>
      </c>
      <c r="B32" s="17">
        <v>2021.0</v>
      </c>
      <c r="C32" s="17" t="s">
        <v>22</v>
      </c>
      <c r="D32" s="40">
        <v>3179.0</v>
      </c>
      <c r="E32" s="37" t="s">
        <v>656</v>
      </c>
      <c r="F32" s="40" t="s">
        <v>657</v>
      </c>
      <c r="G32" s="37" t="s">
        <v>658</v>
      </c>
      <c r="H32" s="38" t="s">
        <v>659</v>
      </c>
      <c r="I32" s="75" t="s">
        <v>542</v>
      </c>
      <c r="J32" s="39" t="s">
        <v>660</v>
      </c>
    </row>
    <row r="33" ht="28.5" customHeight="1">
      <c r="A33" s="12" t="s">
        <v>358</v>
      </c>
      <c r="B33" s="17">
        <v>2022.0</v>
      </c>
      <c r="C33" s="17" t="s">
        <v>11</v>
      </c>
      <c r="D33" s="17">
        <v>4147.0</v>
      </c>
      <c r="E33" s="36" t="s">
        <v>661</v>
      </c>
      <c r="F33" s="35" t="s">
        <v>662</v>
      </c>
      <c r="G33" s="37" t="s">
        <v>663</v>
      </c>
      <c r="H33" s="36" t="s">
        <v>664</v>
      </c>
      <c r="I33" s="75" t="s">
        <v>665</v>
      </c>
      <c r="J33" s="39" t="s">
        <v>666</v>
      </c>
    </row>
    <row r="34" ht="26.25" customHeight="1">
      <c r="A34" s="12" t="s">
        <v>360</v>
      </c>
      <c r="B34" s="17">
        <v>2022.0</v>
      </c>
      <c r="C34" s="17" t="s">
        <v>11</v>
      </c>
      <c r="D34" s="17">
        <v>4181.0</v>
      </c>
      <c r="E34" s="36" t="s">
        <v>667</v>
      </c>
      <c r="F34" s="17" t="s">
        <v>668</v>
      </c>
      <c r="G34" s="36" t="s">
        <v>669</v>
      </c>
      <c r="H34" s="38" t="s">
        <v>670</v>
      </c>
      <c r="I34" s="76" t="s">
        <v>671</v>
      </c>
      <c r="J34" s="38" t="s">
        <v>672</v>
      </c>
    </row>
    <row r="35" ht="26.25" customHeight="1">
      <c r="A35" s="12" t="s">
        <v>366</v>
      </c>
      <c r="B35" s="17">
        <v>2022.0</v>
      </c>
      <c r="C35" s="40" t="s">
        <v>12</v>
      </c>
      <c r="D35" s="40">
        <v>3286.0</v>
      </c>
      <c r="E35" s="39" t="s">
        <v>673</v>
      </c>
      <c r="F35" s="40" t="s">
        <v>674</v>
      </c>
      <c r="G35" s="37" t="s">
        <v>675</v>
      </c>
      <c r="H35" s="38" t="s">
        <v>676</v>
      </c>
      <c r="I35" s="75" t="s">
        <v>677</v>
      </c>
      <c r="J35" s="39" t="s">
        <v>678</v>
      </c>
    </row>
    <row r="36" ht="26.25" customHeight="1">
      <c r="A36" s="12" t="s">
        <v>372</v>
      </c>
      <c r="B36" s="17">
        <v>2022.0</v>
      </c>
      <c r="C36" s="40" t="s">
        <v>12</v>
      </c>
      <c r="D36" s="40">
        <v>4177.0</v>
      </c>
      <c r="E36" s="39" t="s">
        <v>679</v>
      </c>
      <c r="F36" s="40" t="s">
        <v>680</v>
      </c>
      <c r="G36" s="37" t="s">
        <v>681</v>
      </c>
      <c r="H36" s="38" t="s">
        <v>682</v>
      </c>
      <c r="I36" s="75" t="s">
        <v>671</v>
      </c>
      <c r="J36" s="39" t="s">
        <v>683</v>
      </c>
    </row>
    <row r="37" ht="26.25" customHeight="1">
      <c r="A37" s="12" t="s">
        <v>377</v>
      </c>
      <c r="B37" s="17">
        <v>2022.0</v>
      </c>
      <c r="C37" s="40" t="s">
        <v>12</v>
      </c>
      <c r="D37" s="40">
        <v>4470.0</v>
      </c>
      <c r="E37" s="39" t="s">
        <v>684</v>
      </c>
      <c r="F37" s="40" t="s">
        <v>685</v>
      </c>
      <c r="G37" s="37" t="s">
        <v>686</v>
      </c>
      <c r="H37" s="38" t="s">
        <v>687</v>
      </c>
      <c r="I37" s="75" t="s">
        <v>671</v>
      </c>
      <c r="J37" s="39" t="s">
        <v>688</v>
      </c>
    </row>
    <row r="38" ht="26.25" customHeight="1">
      <c r="A38" s="12" t="s">
        <v>383</v>
      </c>
      <c r="B38" s="17">
        <v>2022.0</v>
      </c>
      <c r="C38" s="40" t="s">
        <v>12</v>
      </c>
      <c r="D38" s="40">
        <v>4613.0</v>
      </c>
      <c r="E38" s="39" t="s">
        <v>689</v>
      </c>
      <c r="F38" s="40" t="s">
        <v>690</v>
      </c>
      <c r="G38" s="37" t="s">
        <v>691</v>
      </c>
      <c r="H38" s="38" t="s">
        <v>692</v>
      </c>
      <c r="I38" s="75" t="s">
        <v>558</v>
      </c>
      <c r="J38" s="39" t="s">
        <v>693</v>
      </c>
    </row>
    <row r="39" ht="26.25" customHeight="1">
      <c r="A39" s="12" t="s">
        <v>390</v>
      </c>
      <c r="B39" s="17">
        <v>2022.0</v>
      </c>
      <c r="C39" s="40" t="s">
        <v>12</v>
      </c>
      <c r="D39" s="40">
        <v>4521.0</v>
      </c>
      <c r="E39" s="39" t="s">
        <v>694</v>
      </c>
      <c r="F39" s="40" t="s">
        <v>695</v>
      </c>
      <c r="G39" s="37" t="s">
        <v>696</v>
      </c>
      <c r="H39" s="38" t="s">
        <v>697</v>
      </c>
      <c r="I39" s="75" t="s">
        <v>558</v>
      </c>
      <c r="J39" s="39" t="s">
        <v>698</v>
      </c>
    </row>
    <row r="40" ht="26.25" customHeight="1">
      <c r="A40" s="12" t="s">
        <v>393</v>
      </c>
      <c r="B40" s="17">
        <v>2022.0</v>
      </c>
      <c r="C40" s="17" t="s">
        <v>12</v>
      </c>
      <c r="D40" s="40">
        <v>4498.0</v>
      </c>
      <c r="E40" s="39" t="s">
        <v>699</v>
      </c>
      <c r="F40" s="40" t="s">
        <v>700</v>
      </c>
      <c r="G40" s="37" t="s">
        <v>701</v>
      </c>
      <c r="H40" s="38" t="s">
        <v>702</v>
      </c>
      <c r="I40" s="75" t="s">
        <v>665</v>
      </c>
      <c r="J40" s="39" t="s">
        <v>703</v>
      </c>
    </row>
    <row r="41" ht="26.25" customHeight="1">
      <c r="A41" s="12" t="s">
        <v>399</v>
      </c>
      <c r="B41" s="17">
        <v>2022.0</v>
      </c>
      <c r="C41" s="17" t="s">
        <v>13</v>
      </c>
      <c r="D41" s="17">
        <v>4808.0</v>
      </c>
      <c r="E41" s="39" t="s">
        <v>704</v>
      </c>
      <c r="F41" s="40" t="s">
        <v>705</v>
      </c>
      <c r="G41" s="37" t="s">
        <v>706</v>
      </c>
      <c r="H41" s="38" t="s">
        <v>707</v>
      </c>
      <c r="I41" s="75" t="s">
        <v>558</v>
      </c>
      <c r="J41" s="39" t="s">
        <v>708</v>
      </c>
    </row>
    <row r="42" ht="26.25" customHeight="1">
      <c r="A42" s="12" t="s">
        <v>404</v>
      </c>
      <c r="B42" s="17">
        <v>2022.0</v>
      </c>
      <c r="C42" s="17" t="s">
        <v>13</v>
      </c>
      <c r="D42" s="40">
        <v>4888.0</v>
      </c>
      <c r="E42" s="39" t="s">
        <v>709</v>
      </c>
      <c r="F42" s="40" t="s">
        <v>710</v>
      </c>
      <c r="G42" s="37" t="s">
        <v>711</v>
      </c>
      <c r="H42" s="38" t="s">
        <v>712</v>
      </c>
      <c r="I42" s="75" t="s">
        <v>558</v>
      </c>
      <c r="J42" s="39" t="s">
        <v>713</v>
      </c>
    </row>
    <row r="43" ht="26.25" customHeight="1">
      <c r="A43" s="12" t="s">
        <v>409</v>
      </c>
      <c r="B43" s="17">
        <v>2022.0</v>
      </c>
      <c r="C43" s="17" t="s">
        <v>13</v>
      </c>
      <c r="D43" s="35">
        <v>5092.0</v>
      </c>
      <c r="E43" s="37" t="s">
        <v>714</v>
      </c>
      <c r="F43" s="40" t="s">
        <v>715</v>
      </c>
      <c r="G43" s="37" t="s">
        <v>716</v>
      </c>
      <c r="H43" s="38" t="s">
        <v>717</v>
      </c>
      <c r="I43" s="75" t="s">
        <v>677</v>
      </c>
      <c r="J43" s="39" t="s">
        <v>718</v>
      </c>
    </row>
    <row r="44" ht="26.25" customHeight="1">
      <c r="A44" s="12" t="s">
        <v>415</v>
      </c>
      <c r="B44" s="17">
        <v>2022.0</v>
      </c>
      <c r="C44" s="17" t="s">
        <v>13</v>
      </c>
      <c r="D44" s="35">
        <v>5092.0</v>
      </c>
      <c r="E44" s="37" t="s">
        <v>714</v>
      </c>
      <c r="F44" s="40" t="s">
        <v>715</v>
      </c>
      <c r="G44" s="37" t="s">
        <v>716</v>
      </c>
      <c r="H44" s="38" t="s">
        <v>719</v>
      </c>
      <c r="I44" s="75" t="s">
        <v>677</v>
      </c>
      <c r="J44" s="39" t="s">
        <v>720</v>
      </c>
    </row>
    <row r="45" ht="26.25" customHeight="1">
      <c r="A45" s="12" t="s">
        <v>421</v>
      </c>
      <c r="B45" s="17">
        <v>2022.0</v>
      </c>
      <c r="C45" s="42" t="s">
        <v>13</v>
      </c>
      <c r="D45" s="42">
        <v>4805.0</v>
      </c>
      <c r="E45" s="38" t="s">
        <v>721</v>
      </c>
      <c r="F45" s="42" t="s">
        <v>722</v>
      </c>
      <c r="G45" s="36" t="s">
        <v>723</v>
      </c>
      <c r="H45" s="38" t="s">
        <v>724</v>
      </c>
      <c r="I45" s="76" t="s">
        <v>671</v>
      </c>
      <c r="J45" s="38" t="s">
        <v>725</v>
      </c>
    </row>
    <row r="46" ht="26.25" customHeight="1">
      <c r="A46" s="12" t="s">
        <v>426</v>
      </c>
      <c r="B46" s="17">
        <v>2022.0</v>
      </c>
      <c r="C46" s="42" t="s">
        <v>13</v>
      </c>
      <c r="D46" s="42">
        <v>4892.0</v>
      </c>
      <c r="E46" s="38" t="s">
        <v>726</v>
      </c>
      <c r="F46" s="43" t="s">
        <v>727</v>
      </c>
      <c r="G46" s="36"/>
      <c r="H46" s="38" t="s">
        <v>728</v>
      </c>
      <c r="I46" s="76" t="s">
        <v>542</v>
      </c>
      <c r="J46" s="38" t="s">
        <v>729</v>
      </c>
    </row>
    <row r="47" ht="26.25" customHeight="1">
      <c r="A47" s="12" t="s">
        <v>432</v>
      </c>
      <c r="B47" s="17">
        <v>2022.0</v>
      </c>
      <c r="C47" s="17" t="s">
        <v>14</v>
      </c>
      <c r="D47" s="40">
        <v>4081.0</v>
      </c>
      <c r="E47" s="39" t="s">
        <v>730</v>
      </c>
      <c r="F47" s="40" t="s">
        <v>731</v>
      </c>
      <c r="G47" s="37" t="s">
        <v>732</v>
      </c>
      <c r="H47" s="38" t="s">
        <v>733</v>
      </c>
      <c r="I47" s="75" t="s">
        <v>542</v>
      </c>
      <c r="J47" s="39" t="s">
        <v>734</v>
      </c>
    </row>
    <row r="48" ht="26.25" customHeight="1">
      <c r="A48" s="12" t="s">
        <v>437</v>
      </c>
      <c r="B48" s="17">
        <v>2022.0</v>
      </c>
      <c r="C48" s="40" t="s">
        <v>14</v>
      </c>
      <c r="D48" s="40">
        <v>3824.0</v>
      </c>
      <c r="E48" s="39" t="s">
        <v>580</v>
      </c>
      <c r="F48" s="40" t="s">
        <v>581</v>
      </c>
      <c r="G48" s="37" t="s">
        <v>582</v>
      </c>
      <c r="H48" s="38" t="s">
        <v>735</v>
      </c>
      <c r="I48" s="75" t="s">
        <v>542</v>
      </c>
      <c r="J48" s="39" t="s">
        <v>584</v>
      </c>
    </row>
    <row r="49" ht="26.25" customHeight="1">
      <c r="A49" s="12" t="s">
        <v>441</v>
      </c>
      <c r="B49" s="17">
        <v>2022.0</v>
      </c>
      <c r="C49" s="17" t="s">
        <v>14</v>
      </c>
      <c r="D49" s="40">
        <v>5187.0</v>
      </c>
      <c r="E49" s="39" t="s">
        <v>736</v>
      </c>
      <c r="F49" s="40" t="s">
        <v>737</v>
      </c>
      <c r="G49" s="37" t="s">
        <v>738</v>
      </c>
      <c r="H49" s="38" t="s">
        <v>739</v>
      </c>
      <c r="I49" s="75" t="s">
        <v>542</v>
      </c>
      <c r="J49" s="39" t="s">
        <v>740</v>
      </c>
    </row>
    <row r="50" ht="26.25" customHeight="1">
      <c r="A50" s="12" t="s">
        <v>445</v>
      </c>
      <c r="B50" s="17">
        <v>2022.0</v>
      </c>
      <c r="C50" s="17" t="s">
        <v>15</v>
      </c>
      <c r="D50" s="40">
        <v>5550.0</v>
      </c>
      <c r="E50" s="39" t="s">
        <v>741</v>
      </c>
      <c r="F50" s="40" t="s">
        <v>742</v>
      </c>
      <c r="G50" s="37" t="s">
        <v>743</v>
      </c>
      <c r="H50" s="36" t="s">
        <v>744</v>
      </c>
      <c r="I50" s="75" t="s">
        <v>558</v>
      </c>
      <c r="J50" s="39" t="s">
        <v>745</v>
      </c>
    </row>
    <row r="51" ht="26.25" customHeight="1">
      <c r="A51" s="12" t="s">
        <v>451</v>
      </c>
      <c r="B51" s="17">
        <v>2022.0</v>
      </c>
      <c r="C51" s="17" t="s">
        <v>15</v>
      </c>
      <c r="D51" s="40">
        <v>5581.0</v>
      </c>
      <c r="E51" s="39" t="s">
        <v>746</v>
      </c>
      <c r="F51" s="40" t="s">
        <v>747</v>
      </c>
      <c r="G51" s="37" t="s">
        <v>748</v>
      </c>
      <c r="H51" s="36" t="s">
        <v>749</v>
      </c>
      <c r="I51" s="75" t="s">
        <v>558</v>
      </c>
      <c r="J51" s="39" t="s">
        <v>750</v>
      </c>
    </row>
    <row r="52" ht="26.25" customHeight="1">
      <c r="A52" s="12" t="s">
        <v>457</v>
      </c>
      <c r="B52" s="17">
        <v>2022.0</v>
      </c>
      <c r="C52" s="17" t="s">
        <v>15</v>
      </c>
      <c r="D52" s="40">
        <v>2079.0</v>
      </c>
      <c r="E52" s="39" t="s">
        <v>751</v>
      </c>
      <c r="F52" s="40" t="s">
        <v>752</v>
      </c>
      <c r="G52" s="37" t="s">
        <v>753</v>
      </c>
      <c r="H52" s="36" t="s">
        <v>754</v>
      </c>
      <c r="I52" s="75" t="s">
        <v>531</v>
      </c>
      <c r="J52" s="39" t="s">
        <v>755</v>
      </c>
    </row>
    <row r="53" ht="26.25" customHeight="1">
      <c r="A53" s="12" t="s">
        <v>463</v>
      </c>
      <c r="B53" s="17">
        <v>2022.0</v>
      </c>
      <c r="C53" s="40" t="s">
        <v>16</v>
      </c>
      <c r="D53" s="40">
        <v>5657.0</v>
      </c>
      <c r="E53" s="39" t="s">
        <v>756</v>
      </c>
      <c r="F53" s="41" t="s">
        <v>757</v>
      </c>
      <c r="G53" s="37" t="s">
        <v>758</v>
      </c>
      <c r="H53" s="36" t="s">
        <v>759</v>
      </c>
      <c r="I53" s="75" t="s">
        <v>558</v>
      </c>
      <c r="J53" s="39" t="s">
        <v>760</v>
      </c>
    </row>
    <row r="54" ht="26.25" customHeight="1">
      <c r="A54" s="12" t="s">
        <v>468</v>
      </c>
      <c r="B54" s="17">
        <v>2022.0</v>
      </c>
      <c r="C54" s="40" t="s">
        <v>16</v>
      </c>
      <c r="D54" s="40">
        <v>6001.0</v>
      </c>
      <c r="E54" s="39" t="s">
        <v>761</v>
      </c>
      <c r="F54" s="41" t="s">
        <v>762</v>
      </c>
      <c r="G54" s="37" t="s">
        <v>763</v>
      </c>
      <c r="H54" s="36" t="s">
        <v>764</v>
      </c>
      <c r="I54" s="75" t="s">
        <v>542</v>
      </c>
      <c r="J54" s="39" t="s">
        <v>765</v>
      </c>
    </row>
    <row r="55" ht="26.25" customHeight="1">
      <c r="A55" s="12" t="s">
        <v>473</v>
      </c>
      <c r="B55" s="17">
        <v>2022.0</v>
      </c>
      <c r="C55" s="40" t="s">
        <v>17</v>
      </c>
      <c r="D55" s="40">
        <v>6291.0</v>
      </c>
      <c r="E55" s="39" t="s">
        <v>766</v>
      </c>
      <c r="F55" s="41" t="s">
        <v>767</v>
      </c>
      <c r="G55" s="37" t="s">
        <v>768</v>
      </c>
      <c r="H55" s="38" t="s">
        <v>769</v>
      </c>
      <c r="I55" s="75" t="s">
        <v>564</v>
      </c>
      <c r="J55" s="39" t="s">
        <v>770</v>
      </c>
    </row>
    <row r="56" ht="26.25" customHeight="1">
      <c r="A56" s="12" t="s">
        <v>479</v>
      </c>
      <c r="B56" s="17">
        <v>2022.0</v>
      </c>
      <c r="C56" s="40" t="s">
        <v>17</v>
      </c>
      <c r="D56" s="42">
        <v>6226.0</v>
      </c>
      <c r="E56" s="38" t="s">
        <v>771</v>
      </c>
      <c r="F56" s="43" t="s">
        <v>772</v>
      </c>
      <c r="G56" s="36"/>
      <c r="H56" s="38" t="s">
        <v>773</v>
      </c>
      <c r="I56" s="75" t="s">
        <v>531</v>
      </c>
      <c r="J56" s="38" t="s">
        <v>774</v>
      </c>
    </row>
    <row r="57" ht="26.25" customHeight="1">
      <c r="A57" s="12" t="s">
        <v>485</v>
      </c>
      <c r="B57" s="17">
        <v>2022.0</v>
      </c>
      <c r="C57" s="40" t="s">
        <v>17</v>
      </c>
      <c r="D57" s="42">
        <v>2665.0</v>
      </c>
      <c r="E57" s="38" t="s">
        <v>611</v>
      </c>
      <c r="F57" s="43" t="s">
        <v>775</v>
      </c>
      <c r="G57" s="36" t="s">
        <v>613</v>
      </c>
      <c r="H57" s="38" t="s">
        <v>776</v>
      </c>
      <c r="I57" s="75" t="s">
        <v>558</v>
      </c>
      <c r="J57" s="38" t="s">
        <v>615</v>
      </c>
    </row>
    <row r="58" ht="26.25" customHeight="1">
      <c r="A58" s="12" t="s">
        <v>487</v>
      </c>
      <c r="B58" s="17">
        <v>2022.0</v>
      </c>
      <c r="C58" s="40" t="s">
        <v>17</v>
      </c>
      <c r="D58" s="42">
        <v>4524.0</v>
      </c>
      <c r="E58" s="38" t="s">
        <v>777</v>
      </c>
      <c r="F58" s="43" t="s">
        <v>778</v>
      </c>
      <c r="G58" s="36" t="s">
        <v>779</v>
      </c>
      <c r="H58" s="38" t="s">
        <v>780</v>
      </c>
      <c r="I58" s="75" t="s">
        <v>558</v>
      </c>
      <c r="J58" s="38" t="s">
        <v>781</v>
      </c>
    </row>
    <row r="59" ht="26.25" customHeight="1">
      <c r="A59" s="12" t="s">
        <v>493</v>
      </c>
      <c r="B59" s="17">
        <v>2022.0</v>
      </c>
      <c r="C59" s="40" t="s">
        <v>18</v>
      </c>
      <c r="D59" s="40">
        <v>6683.0</v>
      </c>
      <c r="E59" s="39" t="s">
        <v>782</v>
      </c>
      <c r="F59" s="41" t="s">
        <v>783</v>
      </c>
      <c r="G59" s="37" t="s">
        <v>784</v>
      </c>
      <c r="H59" s="38" t="s">
        <v>785</v>
      </c>
      <c r="I59" s="75" t="s">
        <v>558</v>
      </c>
      <c r="J59" s="39" t="s">
        <v>786</v>
      </c>
    </row>
    <row r="60" ht="26.25" customHeight="1">
      <c r="A60" s="12" t="s">
        <v>498</v>
      </c>
      <c r="B60" s="17">
        <v>2022.0</v>
      </c>
      <c r="C60" s="35" t="s">
        <v>19</v>
      </c>
      <c r="D60" s="40">
        <v>6874.0</v>
      </c>
      <c r="E60" s="39" t="s">
        <v>787</v>
      </c>
      <c r="F60" s="41" t="s">
        <v>788</v>
      </c>
      <c r="G60" s="37" t="s">
        <v>789</v>
      </c>
      <c r="H60" s="38" t="s">
        <v>790</v>
      </c>
      <c r="I60" s="75" t="s">
        <v>558</v>
      </c>
      <c r="J60" s="39" t="s">
        <v>791</v>
      </c>
    </row>
    <row r="61" ht="26.25" customHeight="1">
      <c r="A61" s="12" t="s">
        <v>504</v>
      </c>
      <c r="B61" s="17">
        <v>2022.0</v>
      </c>
      <c r="C61" s="35" t="s">
        <v>19</v>
      </c>
      <c r="D61" s="17">
        <v>6926.0</v>
      </c>
      <c r="E61" s="39" t="s">
        <v>792</v>
      </c>
      <c r="F61" s="41" t="s">
        <v>793</v>
      </c>
      <c r="G61" s="37" t="s">
        <v>794</v>
      </c>
      <c r="H61" s="38" t="s">
        <v>795</v>
      </c>
      <c r="I61" s="75" t="s">
        <v>531</v>
      </c>
      <c r="J61" s="39" t="s">
        <v>796</v>
      </c>
    </row>
    <row r="62" ht="26.25" customHeight="1">
      <c r="A62" s="12" t="s">
        <v>797</v>
      </c>
      <c r="B62" s="17">
        <v>2022.0</v>
      </c>
      <c r="C62" s="17" t="s">
        <v>19</v>
      </c>
      <c r="D62" s="40">
        <v>6863.0</v>
      </c>
      <c r="E62" s="39" t="s">
        <v>798</v>
      </c>
      <c r="F62" s="41" t="s">
        <v>799</v>
      </c>
      <c r="G62" s="37" t="s">
        <v>800</v>
      </c>
      <c r="H62" s="38" t="s">
        <v>801</v>
      </c>
      <c r="I62" s="75" t="s">
        <v>531</v>
      </c>
      <c r="J62" s="39" t="s">
        <v>802</v>
      </c>
    </row>
    <row r="63" ht="26.25" customHeight="1">
      <c r="A63" s="12" t="s">
        <v>803</v>
      </c>
      <c r="B63" s="17">
        <v>2022.0</v>
      </c>
      <c r="C63" s="17" t="s">
        <v>19</v>
      </c>
      <c r="D63" s="40">
        <v>6926.0</v>
      </c>
      <c r="E63" s="39" t="s">
        <v>804</v>
      </c>
      <c r="F63" s="41" t="s">
        <v>805</v>
      </c>
      <c r="G63" s="37" t="s">
        <v>794</v>
      </c>
      <c r="H63" s="38" t="s">
        <v>806</v>
      </c>
      <c r="I63" s="75" t="s">
        <v>531</v>
      </c>
      <c r="J63" s="39" t="s">
        <v>796</v>
      </c>
    </row>
    <row r="64" ht="26.25" customHeight="1">
      <c r="A64" s="12" t="s">
        <v>807</v>
      </c>
      <c r="B64" s="17">
        <v>2022.0</v>
      </c>
      <c r="C64" s="17" t="s">
        <v>20</v>
      </c>
      <c r="D64" s="17">
        <v>6926.0</v>
      </c>
      <c r="E64" s="39" t="s">
        <v>808</v>
      </c>
      <c r="F64" s="40" t="s">
        <v>809</v>
      </c>
      <c r="G64" s="37" t="s">
        <v>794</v>
      </c>
      <c r="H64" s="36" t="s">
        <v>810</v>
      </c>
      <c r="I64" s="75" t="s">
        <v>531</v>
      </c>
      <c r="J64" s="39" t="s">
        <v>796</v>
      </c>
    </row>
    <row r="65" ht="26.25" customHeight="1">
      <c r="A65" s="12" t="s">
        <v>811</v>
      </c>
      <c r="B65" s="17">
        <v>2022.0</v>
      </c>
      <c r="C65" s="17" t="s">
        <v>20</v>
      </c>
      <c r="D65" s="17">
        <v>7082.0</v>
      </c>
      <c r="E65" s="39" t="s">
        <v>812</v>
      </c>
      <c r="F65" s="41" t="s">
        <v>813</v>
      </c>
      <c r="G65" s="37" t="s">
        <v>814</v>
      </c>
      <c r="H65" s="36" t="s">
        <v>815</v>
      </c>
      <c r="I65" s="75" t="s">
        <v>558</v>
      </c>
      <c r="J65" s="39" t="s">
        <v>816</v>
      </c>
    </row>
    <row r="66" ht="26.25" customHeight="1">
      <c r="A66" s="12" t="s">
        <v>817</v>
      </c>
      <c r="B66" s="17">
        <v>2022.0</v>
      </c>
      <c r="C66" s="17" t="s">
        <v>20</v>
      </c>
      <c r="D66" s="17">
        <v>7160.0</v>
      </c>
      <c r="E66" s="39" t="s">
        <v>818</v>
      </c>
      <c r="F66" s="41" t="s">
        <v>819</v>
      </c>
      <c r="G66" s="37" t="s">
        <v>820</v>
      </c>
      <c r="H66" s="36" t="s">
        <v>821</v>
      </c>
      <c r="I66" s="75" t="s">
        <v>531</v>
      </c>
      <c r="J66" s="39" t="s">
        <v>822</v>
      </c>
    </row>
    <row r="67" ht="26.25" customHeight="1">
      <c r="A67" s="12" t="s">
        <v>823</v>
      </c>
      <c r="B67" s="17">
        <v>2022.0</v>
      </c>
      <c r="C67" s="17" t="s">
        <v>20</v>
      </c>
      <c r="D67" s="17">
        <v>7321.0</v>
      </c>
      <c r="E67" s="39" t="s">
        <v>824</v>
      </c>
      <c r="F67" s="41" t="s">
        <v>825</v>
      </c>
      <c r="G67" s="37" t="s">
        <v>826</v>
      </c>
      <c r="H67" s="36" t="s">
        <v>827</v>
      </c>
      <c r="I67" s="75" t="s">
        <v>531</v>
      </c>
      <c r="J67" s="39" t="s">
        <v>828</v>
      </c>
    </row>
    <row r="68" ht="26.25" customHeight="1">
      <c r="A68" s="12" t="s">
        <v>829</v>
      </c>
      <c r="B68" s="17">
        <v>2022.0</v>
      </c>
      <c r="C68" s="40" t="s">
        <v>20</v>
      </c>
      <c r="D68" s="42">
        <v>4524.0</v>
      </c>
      <c r="E68" s="38" t="s">
        <v>777</v>
      </c>
      <c r="F68" s="43" t="s">
        <v>778</v>
      </c>
      <c r="G68" s="36" t="s">
        <v>779</v>
      </c>
      <c r="H68" s="38" t="s">
        <v>830</v>
      </c>
      <c r="I68" s="75" t="s">
        <v>558</v>
      </c>
      <c r="J68" s="38" t="s">
        <v>781</v>
      </c>
    </row>
    <row r="69" ht="26.25" customHeight="1">
      <c r="A69" s="12" t="s">
        <v>831</v>
      </c>
      <c r="B69" s="17">
        <v>2022.0</v>
      </c>
      <c r="C69" s="40" t="s">
        <v>20</v>
      </c>
      <c r="D69" s="42">
        <v>4524.0</v>
      </c>
      <c r="E69" s="38" t="s">
        <v>777</v>
      </c>
      <c r="F69" s="43" t="s">
        <v>778</v>
      </c>
      <c r="G69" s="36" t="s">
        <v>779</v>
      </c>
      <c r="H69" s="38" t="s">
        <v>832</v>
      </c>
      <c r="I69" s="75" t="s">
        <v>558</v>
      </c>
      <c r="J69" s="38" t="s">
        <v>781</v>
      </c>
    </row>
    <row r="70" ht="26.25" customHeight="1">
      <c r="A70" s="12" t="s">
        <v>833</v>
      </c>
      <c r="B70" s="17">
        <v>2022.0</v>
      </c>
      <c r="C70" s="17" t="s">
        <v>22</v>
      </c>
      <c r="D70" s="17">
        <v>6926.0</v>
      </c>
      <c r="E70" s="39" t="s">
        <v>808</v>
      </c>
      <c r="F70" s="40" t="s">
        <v>809</v>
      </c>
      <c r="G70" s="37" t="s">
        <v>794</v>
      </c>
      <c r="H70" s="36" t="s">
        <v>834</v>
      </c>
      <c r="I70" s="75" t="s">
        <v>531</v>
      </c>
      <c r="J70" s="39" t="s">
        <v>796</v>
      </c>
    </row>
    <row r="71" ht="26.25" customHeight="1">
      <c r="A71" s="12" t="s">
        <v>835</v>
      </c>
      <c r="B71" s="17">
        <v>2022.0</v>
      </c>
      <c r="C71" s="40" t="s">
        <v>22</v>
      </c>
      <c r="D71" s="40">
        <v>7257.0</v>
      </c>
      <c r="E71" s="39" t="s">
        <v>836</v>
      </c>
      <c r="F71" s="41" t="s">
        <v>837</v>
      </c>
      <c r="G71" s="37"/>
      <c r="H71" s="38" t="s">
        <v>838</v>
      </c>
      <c r="I71" s="75" t="s">
        <v>531</v>
      </c>
      <c r="J71" s="39" t="s">
        <v>839</v>
      </c>
    </row>
    <row r="72" ht="26.25" customHeight="1">
      <c r="A72" s="12" t="s">
        <v>840</v>
      </c>
      <c r="B72" s="17">
        <v>2022.0</v>
      </c>
      <c r="C72" s="35" t="s">
        <v>22</v>
      </c>
      <c r="D72" s="17">
        <v>7708.0</v>
      </c>
      <c r="E72" s="36" t="s">
        <v>841</v>
      </c>
      <c r="F72" s="43" t="s">
        <v>842</v>
      </c>
      <c r="G72" s="36" t="s">
        <v>843</v>
      </c>
      <c r="H72" s="36" t="s">
        <v>844</v>
      </c>
      <c r="I72" s="75" t="s">
        <v>558</v>
      </c>
      <c r="J72" s="39" t="s">
        <v>845</v>
      </c>
    </row>
    <row r="73" ht="26.25" customHeight="1">
      <c r="A73" s="12" t="s">
        <v>846</v>
      </c>
      <c r="B73" s="17">
        <v>2023.0</v>
      </c>
      <c r="C73" s="40" t="s">
        <v>11</v>
      </c>
      <c r="D73" s="17">
        <v>4808.0</v>
      </c>
      <c r="E73" s="39" t="s">
        <v>704</v>
      </c>
      <c r="F73" s="40" t="s">
        <v>847</v>
      </c>
      <c r="G73" s="37" t="s">
        <v>706</v>
      </c>
      <c r="H73" s="36" t="s">
        <v>848</v>
      </c>
      <c r="I73" s="75" t="s">
        <v>558</v>
      </c>
      <c r="J73" s="39" t="s">
        <v>708</v>
      </c>
    </row>
    <row r="74" ht="26.25" customHeight="1">
      <c r="A74" s="12" t="s">
        <v>849</v>
      </c>
      <c r="B74" s="17">
        <v>2023.0</v>
      </c>
      <c r="C74" s="40" t="s">
        <v>11</v>
      </c>
      <c r="D74" s="17">
        <v>8024.0</v>
      </c>
      <c r="E74" s="39" t="s">
        <v>850</v>
      </c>
      <c r="F74" s="41" t="s">
        <v>851</v>
      </c>
      <c r="G74" s="37"/>
      <c r="H74" s="36" t="s">
        <v>852</v>
      </c>
      <c r="I74" s="75" t="s">
        <v>558</v>
      </c>
      <c r="J74" s="39" t="s">
        <v>853</v>
      </c>
    </row>
    <row r="75" ht="26.25" customHeight="1">
      <c r="A75" s="12" t="s">
        <v>854</v>
      </c>
      <c r="B75" s="17">
        <v>2023.0</v>
      </c>
      <c r="C75" s="17" t="s">
        <v>12</v>
      </c>
      <c r="D75" s="40">
        <v>8159.0</v>
      </c>
      <c r="E75" s="39" t="s">
        <v>855</v>
      </c>
      <c r="F75" s="41" t="s">
        <v>856</v>
      </c>
      <c r="G75" s="37" t="s">
        <v>857</v>
      </c>
      <c r="H75" s="38" t="s">
        <v>858</v>
      </c>
      <c r="I75" s="75" t="s">
        <v>558</v>
      </c>
      <c r="J75" s="39" t="s">
        <v>859</v>
      </c>
    </row>
    <row r="76" ht="26.25" customHeight="1">
      <c r="A76" s="12" t="s">
        <v>860</v>
      </c>
      <c r="B76" s="17">
        <v>2023.0</v>
      </c>
      <c r="C76" s="17" t="s">
        <v>12</v>
      </c>
      <c r="D76" s="40">
        <v>8278.0</v>
      </c>
      <c r="E76" s="39" t="s">
        <v>861</v>
      </c>
      <c r="F76" s="41" t="s">
        <v>862</v>
      </c>
      <c r="G76" s="37" t="s">
        <v>863</v>
      </c>
      <c r="H76" s="38" t="s">
        <v>864</v>
      </c>
      <c r="I76" s="75" t="s">
        <v>531</v>
      </c>
      <c r="J76" s="39" t="s">
        <v>865</v>
      </c>
    </row>
    <row r="77" ht="26.25" customHeight="1">
      <c r="A77" s="12" t="s">
        <v>866</v>
      </c>
      <c r="B77" s="17">
        <v>2023.0</v>
      </c>
      <c r="C77" s="17" t="s">
        <v>12</v>
      </c>
      <c r="D77" s="40">
        <v>6863.0</v>
      </c>
      <c r="E77" s="39" t="s">
        <v>798</v>
      </c>
      <c r="F77" s="41" t="s">
        <v>867</v>
      </c>
      <c r="G77" s="37" t="s">
        <v>800</v>
      </c>
      <c r="H77" s="38" t="s">
        <v>868</v>
      </c>
      <c r="I77" s="75" t="s">
        <v>531</v>
      </c>
      <c r="J77" s="39" t="s">
        <v>802</v>
      </c>
    </row>
    <row r="78" ht="26.25" customHeight="1">
      <c r="A78" s="12" t="s">
        <v>869</v>
      </c>
      <c r="B78" s="17">
        <v>2023.0</v>
      </c>
      <c r="C78" s="40" t="s">
        <v>13</v>
      </c>
      <c r="D78" s="40">
        <v>8424.0</v>
      </c>
      <c r="E78" s="39" t="s">
        <v>870</v>
      </c>
      <c r="F78" s="41" t="s">
        <v>871</v>
      </c>
      <c r="G78" s="37" t="s">
        <v>872</v>
      </c>
      <c r="H78" s="38" t="s">
        <v>873</v>
      </c>
      <c r="I78" s="75" t="s">
        <v>558</v>
      </c>
      <c r="J78" s="39" t="s">
        <v>874</v>
      </c>
    </row>
    <row r="79" ht="26.25" customHeight="1">
      <c r="A79" s="12" t="s">
        <v>875</v>
      </c>
      <c r="B79" s="17">
        <v>2023.0</v>
      </c>
      <c r="C79" s="40" t="s">
        <v>14</v>
      </c>
      <c r="D79" s="40">
        <v>8673.0</v>
      </c>
      <c r="E79" s="39" t="s">
        <v>876</v>
      </c>
      <c r="F79" s="41" t="s">
        <v>877</v>
      </c>
      <c r="G79" s="37"/>
      <c r="H79" s="38" t="s">
        <v>878</v>
      </c>
      <c r="I79" s="75" t="s">
        <v>558</v>
      </c>
      <c r="J79" s="39" t="s">
        <v>879</v>
      </c>
    </row>
    <row r="80" ht="26.25" customHeight="1">
      <c r="A80" s="12" t="s">
        <v>880</v>
      </c>
      <c r="B80" s="17">
        <v>2023.0</v>
      </c>
      <c r="C80" s="40" t="s">
        <v>14</v>
      </c>
      <c r="D80" s="40">
        <v>8555.0</v>
      </c>
      <c r="E80" s="39" t="s">
        <v>881</v>
      </c>
      <c r="F80" s="41" t="s">
        <v>882</v>
      </c>
      <c r="G80" s="37" t="s">
        <v>883</v>
      </c>
      <c r="H80" s="38" t="s">
        <v>884</v>
      </c>
      <c r="I80" s="75" t="s">
        <v>885</v>
      </c>
      <c r="J80" s="39" t="s">
        <v>886</v>
      </c>
    </row>
    <row r="81" ht="26.25" customHeight="1">
      <c r="A81" s="12" t="s">
        <v>887</v>
      </c>
      <c r="B81" s="17">
        <v>2023.0</v>
      </c>
      <c r="C81" s="17" t="s">
        <v>15</v>
      </c>
      <c r="D81" s="17">
        <v>6926.0</v>
      </c>
      <c r="E81" s="39" t="s">
        <v>808</v>
      </c>
      <c r="F81" s="40" t="s">
        <v>809</v>
      </c>
      <c r="G81" s="37" t="s">
        <v>794</v>
      </c>
      <c r="H81" s="38" t="s">
        <v>888</v>
      </c>
      <c r="I81" s="75" t="s">
        <v>531</v>
      </c>
      <c r="J81" s="39" t="s">
        <v>796</v>
      </c>
    </row>
    <row r="82" ht="26.25" customHeight="1">
      <c r="A82" s="12" t="s">
        <v>889</v>
      </c>
      <c r="B82" s="17">
        <v>2023.0</v>
      </c>
      <c r="C82" s="17" t="s">
        <v>15</v>
      </c>
      <c r="D82" s="17">
        <v>4181.0</v>
      </c>
      <c r="E82" s="36" t="s">
        <v>667</v>
      </c>
      <c r="F82" s="17" t="s">
        <v>668</v>
      </c>
      <c r="G82" s="36" t="s">
        <v>669</v>
      </c>
      <c r="H82" s="38" t="s">
        <v>890</v>
      </c>
      <c r="I82" s="75" t="s">
        <v>558</v>
      </c>
      <c r="J82" s="38" t="s">
        <v>672</v>
      </c>
    </row>
    <row r="83" ht="26.25" customHeight="1">
      <c r="A83" s="12" t="s">
        <v>891</v>
      </c>
      <c r="B83" s="17">
        <v>2023.0</v>
      </c>
      <c r="C83" s="40" t="s">
        <v>16</v>
      </c>
      <c r="D83" s="40">
        <v>9080.0</v>
      </c>
      <c r="E83" s="39" t="s">
        <v>892</v>
      </c>
      <c r="F83" s="41" t="s">
        <v>893</v>
      </c>
      <c r="G83" s="37"/>
      <c r="H83" s="38" t="s">
        <v>894</v>
      </c>
      <c r="I83" s="75" t="s">
        <v>558</v>
      </c>
      <c r="J83" s="39" t="s">
        <v>895</v>
      </c>
    </row>
    <row r="84" ht="26.25" customHeight="1">
      <c r="A84" s="12" t="s">
        <v>896</v>
      </c>
      <c r="B84" s="17">
        <v>2023.0</v>
      </c>
      <c r="C84" s="40" t="s">
        <v>16</v>
      </c>
      <c r="D84" s="40">
        <v>9183.0</v>
      </c>
      <c r="E84" s="39" t="s">
        <v>897</v>
      </c>
      <c r="F84" s="41" t="s">
        <v>898</v>
      </c>
      <c r="G84" s="37"/>
      <c r="H84" s="38" t="s">
        <v>899</v>
      </c>
      <c r="I84" s="75" t="s">
        <v>558</v>
      </c>
      <c r="J84" s="39" t="s">
        <v>900</v>
      </c>
    </row>
    <row r="85" ht="26.25" customHeight="1">
      <c r="A85" s="12" t="s">
        <v>901</v>
      </c>
      <c r="B85" s="17">
        <v>2023.0</v>
      </c>
      <c r="C85" s="40" t="s">
        <v>17</v>
      </c>
      <c r="D85" s="40">
        <v>9438.0</v>
      </c>
      <c r="E85" s="39" t="s">
        <v>902</v>
      </c>
      <c r="F85" s="41" t="s">
        <v>903</v>
      </c>
      <c r="G85" s="37" t="s">
        <v>904</v>
      </c>
      <c r="H85" s="38" t="s">
        <v>905</v>
      </c>
      <c r="I85" s="75" t="s">
        <v>531</v>
      </c>
      <c r="J85" s="39" t="s">
        <v>906</v>
      </c>
    </row>
    <row r="86" ht="26.25" customHeight="1">
      <c r="A86" s="12" t="s">
        <v>907</v>
      </c>
      <c r="B86" s="17">
        <v>2023.0</v>
      </c>
      <c r="C86" s="40" t="s">
        <v>17</v>
      </c>
      <c r="D86" s="40">
        <v>9346.0</v>
      </c>
      <c r="E86" s="39" t="s">
        <v>908</v>
      </c>
      <c r="F86" s="41" t="s">
        <v>909</v>
      </c>
      <c r="G86" s="37" t="s">
        <v>910</v>
      </c>
      <c r="H86" s="38" t="s">
        <v>911</v>
      </c>
      <c r="I86" s="75" t="s">
        <v>531</v>
      </c>
      <c r="J86" s="39" t="s">
        <v>912</v>
      </c>
    </row>
    <row r="87" ht="26.25" customHeight="1">
      <c r="A87" s="12" t="s">
        <v>913</v>
      </c>
      <c r="B87" s="17">
        <v>2023.0</v>
      </c>
      <c r="C87" s="40" t="s">
        <v>17</v>
      </c>
      <c r="D87" s="40">
        <v>9646.0</v>
      </c>
      <c r="E87" s="39" t="s">
        <v>914</v>
      </c>
      <c r="F87" s="41" t="s">
        <v>915</v>
      </c>
      <c r="G87" s="37" t="s">
        <v>916</v>
      </c>
      <c r="H87" s="38" t="s">
        <v>917</v>
      </c>
      <c r="I87" s="75" t="s">
        <v>558</v>
      </c>
      <c r="J87" s="39" t="s">
        <v>918</v>
      </c>
    </row>
    <row r="88" ht="26.25" customHeight="1">
      <c r="A88" s="12" t="s">
        <v>919</v>
      </c>
      <c r="B88" s="17">
        <v>2023.0</v>
      </c>
      <c r="C88" s="40" t="s">
        <v>17</v>
      </c>
      <c r="D88" s="40">
        <v>9674.0</v>
      </c>
      <c r="E88" s="39" t="s">
        <v>920</v>
      </c>
      <c r="F88" s="41" t="s">
        <v>921</v>
      </c>
      <c r="G88" s="37"/>
      <c r="H88" s="38" t="s">
        <v>922</v>
      </c>
      <c r="I88" s="75" t="s">
        <v>558</v>
      </c>
      <c r="J88" s="39" t="s">
        <v>923</v>
      </c>
    </row>
    <row r="89" ht="26.25" customHeight="1">
      <c r="A89" s="12" t="s">
        <v>924</v>
      </c>
      <c r="B89" s="17">
        <v>2023.0</v>
      </c>
      <c r="C89" s="40" t="s">
        <v>18</v>
      </c>
      <c r="D89" s="40">
        <v>9703.0</v>
      </c>
      <c r="E89" s="39" t="s">
        <v>925</v>
      </c>
      <c r="F89" s="41" t="s">
        <v>926</v>
      </c>
      <c r="G89" s="37" t="s">
        <v>927</v>
      </c>
      <c r="H89" s="38" t="s">
        <v>928</v>
      </c>
      <c r="I89" s="75" t="s">
        <v>531</v>
      </c>
      <c r="J89" s="39" t="s">
        <v>929</v>
      </c>
    </row>
    <row r="90" ht="26.25" customHeight="1">
      <c r="A90" s="12" t="s">
        <v>930</v>
      </c>
      <c r="B90" s="17">
        <v>2023.0</v>
      </c>
      <c r="C90" s="40" t="s">
        <v>19</v>
      </c>
      <c r="D90" s="17">
        <v>9902.0</v>
      </c>
      <c r="E90" s="36" t="s">
        <v>931</v>
      </c>
      <c r="F90" s="40" t="s">
        <v>932</v>
      </c>
      <c r="G90" s="37"/>
      <c r="H90" s="36" t="s">
        <v>933</v>
      </c>
      <c r="I90" s="75" t="s">
        <v>558</v>
      </c>
      <c r="J90" s="39" t="s">
        <v>934</v>
      </c>
    </row>
    <row r="91" ht="26.25" customHeight="1">
      <c r="A91" s="12" t="s">
        <v>935</v>
      </c>
      <c r="B91" s="17">
        <v>2023.0</v>
      </c>
      <c r="C91" s="40" t="s">
        <v>19</v>
      </c>
      <c r="D91" s="17">
        <v>9999.0</v>
      </c>
      <c r="E91" s="37" t="s">
        <v>936</v>
      </c>
      <c r="F91" s="41" t="s">
        <v>937</v>
      </c>
      <c r="G91" s="37" t="s">
        <v>938</v>
      </c>
      <c r="H91" s="36" t="s">
        <v>939</v>
      </c>
      <c r="I91" s="75" t="s">
        <v>558</v>
      </c>
      <c r="J91" s="39" t="s">
        <v>940</v>
      </c>
    </row>
    <row r="92" ht="26.25" customHeight="1">
      <c r="A92" s="12" t="s">
        <v>941</v>
      </c>
      <c r="B92" s="17">
        <v>2023.0</v>
      </c>
      <c r="C92" s="40" t="s">
        <v>19</v>
      </c>
      <c r="D92" s="17">
        <v>10069.0</v>
      </c>
      <c r="E92" s="37" t="s">
        <v>942</v>
      </c>
      <c r="F92" s="41" t="s">
        <v>943</v>
      </c>
      <c r="G92" s="37" t="s">
        <v>944</v>
      </c>
      <c r="H92" s="36" t="s">
        <v>945</v>
      </c>
      <c r="I92" s="75" t="s">
        <v>558</v>
      </c>
      <c r="J92" s="39" t="s">
        <v>946</v>
      </c>
    </row>
    <row r="93" ht="26.25" customHeight="1">
      <c r="A93" s="12" t="s">
        <v>947</v>
      </c>
      <c r="B93" s="17">
        <v>2023.0</v>
      </c>
      <c r="C93" s="40" t="s">
        <v>19</v>
      </c>
      <c r="D93" s="40">
        <v>3099.0</v>
      </c>
      <c r="E93" s="39" t="s">
        <v>635</v>
      </c>
      <c r="F93" s="40" t="s">
        <v>948</v>
      </c>
      <c r="G93" s="37" t="s">
        <v>637</v>
      </c>
      <c r="H93" s="38" t="s">
        <v>949</v>
      </c>
      <c r="I93" s="75" t="s">
        <v>531</v>
      </c>
      <c r="J93" s="39" t="s">
        <v>950</v>
      </c>
    </row>
    <row r="94" ht="26.25" customHeight="1">
      <c r="A94" s="12" t="s">
        <v>951</v>
      </c>
      <c r="B94" s="17">
        <v>2023.0</v>
      </c>
      <c r="C94" s="40" t="s">
        <v>19</v>
      </c>
      <c r="D94" s="17">
        <v>2225.0</v>
      </c>
      <c r="E94" s="39" t="s">
        <v>596</v>
      </c>
      <c r="F94" s="40" t="s">
        <v>597</v>
      </c>
      <c r="G94" s="39" t="s">
        <v>598</v>
      </c>
      <c r="H94" s="38" t="s">
        <v>952</v>
      </c>
      <c r="I94" s="75" t="s">
        <v>558</v>
      </c>
      <c r="J94" s="39" t="s">
        <v>600</v>
      </c>
    </row>
    <row r="95" ht="26.25" customHeight="1">
      <c r="A95" s="12" t="s">
        <v>953</v>
      </c>
      <c r="B95" s="17">
        <v>2023.0</v>
      </c>
      <c r="C95" s="40" t="s">
        <v>19</v>
      </c>
      <c r="D95" s="17">
        <v>7420.0</v>
      </c>
      <c r="E95" s="39" t="s">
        <v>954</v>
      </c>
      <c r="F95" s="41" t="s">
        <v>955</v>
      </c>
      <c r="G95" s="39" t="s">
        <v>956</v>
      </c>
      <c r="H95" s="38" t="s">
        <v>957</v>
      </c>
      <c r="I95" s="75" t="s">
        <v>558</v>
      </c>
      <c r="J95" s="39" t="s">
        <v>958</v>
      </c>
    </row>
    <row r="96" ht="26.25" customHeight="1">
      <c r="A96" s="12" t="s">
        <v>959</v>
      </c>
      <c r="B96" s="17">
        <v>2023.0</v>
      </c>
      <c r="C96" s="17" t="s">
        <v>20</v>
      </c>
      <c r="D96" s="17">
        <v>10378.0</v>
      </c>
      <c r="E96" s="37" t="s">
        <v>960</v>
      </c>
      <c r="F96" s="41" t="s">
        <v>961</v>
      </c>
      <c r="G96" s="37" t="s">
        <v>962</v>
      </c>
      <c r="H96" s="36" t="s">
        <v>963</v>
      </c>
      <c r="I96" s="75" t="s">
        <v>558</v>
      </c>
      <c r="J96" s="39" t="s">
        <v>964</v>
      </c>
    </row>
    <row r="97" ht="26.25" customHeight="1">
      <c r="A97" s="12" t="s">
        <v>965</v>
      </c>
      <c r="B97" s="17">
        <v>2023.0</v>
      </c>
      <c r="C97" s="17" t="s">
        <v>20</v>
      </c>
      <c r="D97" s="17">
        <v>4808.0</v>
      </c>
      <c r="E97" s="39" t="s">
        <v>704</v>
      </c>
      <c r="F97" s="40" t="s">
        <v>847</v>
      </c>
      <c r="G97" s="37" t="s">
        <v>706</v>
      </c>
      <c r="H97" s="36" t="s">
        <v>966</v>
      </c>
      <c r="I97" s="75" t="s">
        <v>558</v>
      </c>
      <c r="J97" s="39" t="s">
        <v>708</v>
      </c>
    </row>
    <row r="98" ht="26.25" customHeight="1">
      <c r="A98" s="12" t="s">
        <v>967</v>
      </c>
      <c r="B98" s="17">
        <v>2023.0</v>
      </c>
      <c r="C98" s="17" t="s">
        <v>20</v>
      </c>
      <c r="D98" s="17">
        <v>9865.0</v>
      </c>
      <c r="E98" s="39" t="s">
        <v>728</v>
      </c>
      <c r="F98" s="40" t="s">
        <v>968</v>
      </c>
      <c r="G98" s="37" t="s">
        <v>969</v>
      </c>
      <c r="H98" s="36" t="s">
        <v>970</v>
      </c>
      <c r="I98" s="75" t="s">
        <v>671</v>
      </c>
      <c r="J98" s="39" t="s">
        <v>729</v>
      </c>
    </row>
    <row r="99" ht="26.25" customHeight="1">
      <c r="A99" s="12" t="s">
        <v>971</v>
      </c>
      <c r="B99" s="17">
        <v>2023.0</v>
      </c>
      <c r="C99" s="17" t="s">
        <v>21</v>
      </c>
      <c r="D99" s="17">
        <v>10558.0</v>
      </c>
      <c r="E99" s="36" t="s">
        <v>972</v>
      </c>
      <c r="F99" s="43" t="s">
        <v>973</v>
      </c>
      <c r="G99" s="39" t="s">
        <v>974</v>
      </c>
      <c r="H99" s="38" t="s">
        <v>975</v>
      </c>
      <c r="I99" s="76" t="s">
        <v>976</v>
      </c>
      <c r="J99" s="39" t="s">
        <v>977</v>
      </c>
    </row>
    <row r="100" ht="26.25" customHeight="1">
      <c r="A100" s="12" t="s">
        <v>978</v>
      </c>
      <c r="B100" s="17">
        <v>2023.0</v>
      </c>
      <c r="C100" s="42" t="s">
        <v>22</v>
      </c>
      <c r="D100" s="42">
        <v>10831.0</v>
      </c>
      <c r="E100" s="38" t="s">
        <v>979</v>
      </c>
      <c r="F100" s="43" t="s">
        <v>980</v>
      </c>
      <c r="G100" s="36" t="s">
        <v>981</v>
      </c>
      <c r="H100" s="38" t="s">
        <v>982</v>
      </c>
      <c r="I100" s="75" t="s">
        <v>558</v>
      </c>
      <c r="J100" s="38" t="s">
        <v>983</v>
      </c>
    </row>
    <row r="101" ht="26.25" customHeight="1">
      <c r="A101" s="12" t="s">
        <v>984</v>
      </c>
      <c r="B101" s="17">
        <v>2023.0</v>
      </c>
      <c r="C101" s="17" t="s">
        <v>22</v>
      </c>
      <c r="D101" s="17">
        <v>10659.0</v>
      </c>
      <c r="E101" s="36" t="s">
        <v>985</v>
      </c>
      <c r="F101" s="43" t="s">
        <v>986</v>
      </c>
      <c r="G101" s="36" t="s">
        <v>987</v>
      </c>
      <c r="H101" s="36" t="s">
        <v>988</v>
      </c>
      <c r="I101" s="75" t="s">
        <v>558</v>
      </c>
      <c r="J101" s="38" t="s">
        <v>989</v>
      </c>
    </row>
    <row r="102" ht="26.25" customHeight="1">
      <c r="A102" s="12" t="s">
        <v>990</v>
      </c>
      <c r="B102" s="17">
        <v>2023.0</v>
      </c>
      <c r="C102" s="17" t="s">
        <v>22</v>
      </c>
      <c r="D102" s="17">
        <v>10899.0</v>
      </c>
      <c r="E102" s="36" t="s">
        <v>991</v>
      </c>
      <c r="F102" s="42">
        <v>8.111624455E9</v>
      </c>
      <c r="G102" s="36" t="s">
        <v>992</v>
      </c>
      <c r="H102" s="36" t="s">
        <v>993</v>
      </c>
      <c r="I102" s="76" t="s">
        <v>558</v>
      </c>
      <c r="J102" s="38" t="s">
        <v>994</v>
      </c>
    </row>
    <row r="103" ht="26.25" customHeight="1">
      <c r="A103" s="12" t="s">
        <v>995</v>
      </c>
      <c r="B103" s="17">
        <v>2023.0</v>
      </c>
      <c r="C103" s="17" t="s">
        <v>22</v>
      </c>
      <c r="D103" s="17">
        <v>10890.0</v>
      </c>
      <c r="E103" s="36" t="s">
        <v>996</v>
      </c>
      <c r="F103" s="43" t="s">
        <v>997</v>
      </c>
      <c r="G103" s="36" t="s">
        <v>998</v>
      </c>
      <c r="H103" s="36" t="s">
        <v>999</v>
      </c>
      <c r="I103" s="75" t="s">
        <v>558</v>
      </c>
      <c r="J103" s="38" t="s">
        <v>1000</v>
      </c>
    </row>
    <row r="104" ht="26.25" customHeight="1">
      <c r="A104" s="12" t="s">
        <v>1001</v>
      </c>
      <c r="B104" s="17">
        <v>2023.0</v>
      </c>
      <c r="C104" s="17" t="s">
        <v>22</v>
      </c>
      <c r="D104" s="42">
        <v>9865.0</v>
      </c>
      <c r="E104" s="38" t="s">
        <v>728</v>
      </c>
      <c r="F104" s="38" t="s">
        <v>968</v>
      </c>
      <c r="G104" s="36" t="s">
        <v>969</v>
      </c>
      <c r="H104" s="36" t="s">
        <v>1002</v>
      </c>
      <c r="I104" s="75" t="s">
        <v>558</v>
      </c>
      <c r="J104" s="38" t="s">
        <v>729</v>
      </c>
    </row>
    <row r="105" ht="26.25" customHeight="1">
      <c r="A105" s="12" t="s">
        <v>1003</v>
      </c>
      <c r="B105" s="17">
        <v>2024.0</v>
      </c>
      <c r="C105" s="17" t="s">
        <v>11</v>
      </c>
      <c r="D105" s="17">
        <v>7708.0</v>
      </c>
      <c r="E105" s="36" t="s">
        <v>841</v>
      </c>
      <c r="F105" s="43" t="s">
        <v>842</v>
      </c>
      <c r="G105" s="36" t="s">
        <v>843</v>
      </c>
      <c r="H105" s="38" t="s">
        <v>1004</v>
      </c>
      <c r="I105" s="76" t="s">
        <v>558</v>
      </c>
      <c r="J105" s="38" t="s">
        <v>845</v>
      </c>
    </row>
    <row r="106" ht="26.25" customHeight="1">
      <c r="A106" s="12" t="s">
        <v>1005</v>
      </c>
      <c r="B106" s="17">
        <v>2024.0</v>
      </c>
      <c r="C106" s="17" t="s">
        <v>11</v>
      </c>
      <c r="D106" s="17">
        <v>10934.0</v>
      </c>
      <c r="E106" s="36" t="s">
        <v>1006</v>
      </c>
      <c r="F106" s="43" t="s">
        <v>1007</v>
      </c>
      <c r="G106" s="36" t="s">
        <v>1008</v>
      </c>
      <c r="H106" s="38" t="s">
        <v>1009</v>
      </c>
      <c r="I106" s="76" t="s">
        <v>531</v>
      </c>
      <c r="J106" s="38" t="s">
        <v>1010</v>
      </c>
    </row>
    <row r="107" ht="26.25" customHeight="1">
      <c r="A107" s="12" t="s">
        <v>1011</v>
      </c>
      <c r="B107" s="17">
        <v>2024.0</v>
      </c>
      <c r="C107" s="17" t="s">
        <v>11</v>
      </c>
      <c r="D107" s="17">
        <v>11031.0</v>
      </c>
      <c r="E107" s="36" t="s">
        <v>1012</v>
      </c>
      <c r="F107" s="43" t="s">
        <v>1013</v>
      </c>
      <c r="G107" s="36" t="s">
        <v>1014</v>
      </c>
      <c r="H107" s="38" t="s">
        <v>1015</v>
      </c>
      <c r="I107" s="76" t="s">
        <v>542</v>
      </c>
      <c r="J107" s="38" t="s">
        <v>1016</v>
      </c>
    </row>
    <row r="108" ht="26.25" customHeight="1">
      <c r="A108" s="12" t="s">
        <v>1017</v>
      </c>
      <c r="B108" s="17">
        <v>2024.0</v>
      </c>
      <c r="C108" s="17" t="s">
        <v>11</v>
      </c>
      <c r="D108" s="17">
        <v>11052.0</v>
      </c>
      <c r="E108" s="36" t="s">
        <v>1018</v>
      </c>
      <c r="F108" s="43" t="s">
        <v>1019</v>
      </c>
      <c r="G108" s="36" t="s">
        <v>1020</v>
      </c>
      <c r="H108" s="38" t="s">
        <v>1021</v>
      </c>
      <c r="I108" s="76" t="s">
        <v>542</v>
      </c>
      <c r="J108" s="38" t="s">
        <v>1022</v>
      </c>
    </row>
    <row r="109" ht="26.25" customHeight="1">
      <c r="A109" s="12" t="s">
        <v>1023</v>
      </c>
      <c r="B109" s="17">
        <v>2024.0</v>
      </c>
      <c r="C109" s="17" t="s">
        <v>11</v>
      </c>
      <c r="D109" s="17">
        <v>11015.0</v>
      </c>
      <c r="E109" s="36" t="s">
        <v>1024</v>
      </c>
      <c r="F109" s="43" t="s">
        <v>1025</v>
      </c>
      <c r="G109" s="36" t="s">
        <v>1026</v>
      </c>
      <c r="H109" s="38" t="s">
        <v>1027</v>
      </c>
      <c r="I109" s="76" t="s">
        <v>558</v>
      </c>
      <c r="J109" s="38" t="s">
        <v>1028</v>
      </c>
    </row>
    <row r="110" ht="26.25" customHeight="1">
      <c r="A110" s="12" t="s">
        <v>1029</v>
      </c>
      <c r="B110" s="17">
        <v>2024.0</v>
      </c>
      <c r="C110" s="17" t="s">
        <v>12</v>
      </c>
      <c r="D110" s="17">
        <v>11265.0</v>
      </c>
      <c r="E110" s="36" t="s">
        <v>1030</v>
      </c>
      <c r="F110" s="43" t="s">
        <v>1031</v>
      </c>
      <c r="G110" s="36" t="s">
        <v>1032</v>
      </c>
      <c r="H110" s="38" t="s">
        <v>1033</v>
      </c>
      <c r="I110" s="76" t="s">
        <v>542</v>
      </c>
      <c r="J110" s="38" t="s">
        <v>1034</v>
      </c>
    </row>
    <row r="111" ht="26.25" customHeight="1">
      <c r="A111" s="12" t="s">
        <v>1035</v>
      </c>
      <c r="B111" s="17">
        <v>2024.0</v>
      </c>
      <c r="C111" s="17" t="s">
        <v>12</v>
      </c>
      <c r="D111" s="17">
        <v>8667.0</v>
      </c>
      <c r="E111" s="36" t="s">
        <v>876</v>
      </c>
      <c r="F111" s="43" t="s">
        <v>1036</v>
      </c>
      <c r="G111" s="36" t="s">
        <v>1037</v>
      </c>
      <c r="H111" s="38" t="s">
        <v>1038</v>
      </c>
      <c r="I111" s="76" t="s">
        <v>542</v>
      </c>
      <c r="J111" s="38" t="s">
        <v>1039</v>
      </c>
    </row>
    <row r="112" ht="26.25" customHeight="1">
      <c r="A112" s="12" t="s">
        <v>1040</v>
      </c>
      <c r="B112" s="17">
        <v>2024.0</v>
      </c>
      <c r="C112" s="17" t="s">
        <v>12</v>
      </c>
      <c r="D112" s="17">
        <v>11378.0</v>
      </c>
      <c r="E112" s="36" t="s">
        <v>1041</v>
      </c>
      <c r="F112" s="43" t="s">
        <v>1042</v>
      </c>
      <c r="G112" s="47"/>
      <c r="H112" s="38" t="s">
        <v>1043</v>
      </c>
      <c r="I112" s="76" t="s">
        <v>542</v>
      </c>
      <c r="J112" s="38" t="s">
        <v>1044</v>
      </c>
    </row>
    <row r="113" ht="26.25" customHeight="1">
      <c r="A113" s="12" t="s">
        <v>1045</v>
      </c>
      <c r="B113" s="17">
        <v>2024.0</v>
      </c>
      <c r="C113" s="42" t="s">
        <v>12</v>
      </c>
      <c r="D113" s="17">
        <v>11406.0</v>
      </c>
      <c r="E113" s="36" t="s">
        <v>1046</v>
      </c>
      <c r="F113" s="43" t="s">
        <v>1047</v>
      </c>
      <c r="G113" s="36" t="s">
        <v>1048</v>
      </c>
      <c r="H113" s="36" t="s">
        <v>1049</v>
      </c>
      <c r="I113" s="76" t="s">
        <v>885</v>
      </c>
      <c r="J113" s="38" t="s">
        <v>1050</v>
      </c>
    </row>
    <row r="114" ht="26.25" customHeight="1">
      <c r="A114" s="12" t="s">
        <v>1051</v>
      </c>
      <c r="B114" s="17">
        <v>2024.0</v>
      </c>
      <c r="C114" s="42" t="s">
        <v>14</v>
      </c>
      <c r="D114" s="17">
        <v>11804.0</v>
      </c>
      <c r="E114" s="36" t="s">
        <v>1052</v>
      </c>
      <c r="F114" s="48" t="s">
        <v>1053</v>
      </c>
      <c r="G114" s="47"/>
      <c r="H114" s="36" t="s">
        <v>1054</v>
      </c>
      <c r="I114" s="76" t="s">
        <v>558</v>
      </c>
      <c r="J114" s="38" t="s">
        <v>1055</v>
      </c>
    </row>
    <row r="115" ht="26.25" customHeight="1">
      <c r="A115" s="12" t="s">
        <v>1056</v>
      </c>
      <c r="B115" s="17">
        <v>2024.0</v>
      </c>
      <c r="C115" s="42" t="s">
        <v>14</v>
      </c>
      <c r="D115" s="17">
        <v>10563.0</v>
      </c>
      <c r="E115" s="36" t="s">
        <v>1057</v>
      </c>
      <c r="F115" s="48" t="s">
        <v>1058</v>
      </c>
      <c r="G115" s="36" t="s">
        <v>1059</v>
      </c>
      <c r="H115" s="36" t="s">
        <v>1060</v>
      </c>
      <c r="I115" s="76" t="s">
        <v>677</v>
      </c>
      <c r="J115" s="38" t="s">
        <v>1061</v>
      </c>
    </row>
    <row r="116" ht="26.25" customHeight="1">
      <c r="A116" s="12" t="s">
        <v>1062</v>
      </c>
      <c r="B116" s="17">
        <v>2024.0</v>
      </c>
      <c r="C116" s="42" t="s">
        <v>15</v>
      </c>
      <c r="D116" s="17">
        <v>11582.0</v>
      </c>
      <c r="E116" s="36" t="s">
        <v>1063</v>
      </c>
      <c r="F116" s="48" t="s">
        <v>1064</v>
      </c>
      <c r="G116" s="36" t="s">
        <v>1065</v>
      </c>
      <c r="H116" s="36" t="s">
        <v>1066</v>
      </c>
      <c r="I116" s="13" t="s">
        <v>531</v>
      </c>
      <c r="J116" s="38" t="s">
        <v>1067</v>
      </c>
    </row>
    <row r="117" ht="26.25" customHeight="1">
      <c r="A117" s="12" t="s">
        <v>1068</v>
      </c>
      <c r="B117" s="17">
        <v>2024.0</v>
      </c>
      <c r="C117" s="42" t="s">
        <v>15</v>
      </c>
      <c r="D117" s="17">
        <v>12144.0</v>
      </c>
      <c r="E117" s="36" t="s">
        <v>1069</v>
      </c>
      <c r="F117" s="48" t="s">
        <v>1070</v>
      </c>
      <c r="G117" s="36" t="s">
        <v>1071</v>
      </c>
      <c r="H117" s="36" t="s">
        <v>1072</v>
      </c>
      <c r="I117" s="13" t="s">
        <v>564</v>
      </c>
      <c r="J117" s="38" t="s">
        <v>1073</v>
      </c>
    </row>
    <row r="118" ht="26.25" customHeight="1">
      <c r="A118" s="12" t="s">
        <v>1074</v>
      </c>
      <c r="B118" s="17">
        <v>2024.0</v>
      </c>
      <c r="C118" s="42" t="s">
        <v>15</v>
      </c>
      <c r="D118" s="17">
        <v>12076.0</v>
      </c>
      <c r="E118" s="36" t="s">
        <v>1075</v>
      </c>
      <c r="F118" s="48" t="s">
        <v>1076</v>
      </c>
      <c r="G118" s="36" t="s">
        <v>1077</v>
      </c>
      <c r="H118" s="36" t="s">
        <v>1078</v>
      </c>
      <c r="I118" s="13" t="s">
        <v>564</v>
      </c>
      <c r="J118" s="38" t="s">
        <v>1079</v>
      </c>
    </row>
    <row r="119" ht="26.25" customHeight="1">
      <c r="A119" s="12" t="s">
        <v>1080</v>
      </c>
      <c r="B119" s="17">
        <v>2024.0</v>
      </c>
      <c r="C119" s="42" t="s">
        <v>15</v>
      </c>
      <c r="D119" s="17">
        <v>12199.0</v>
      </c>
      <c r="E119" s="36" t="s">
        <v>1081</v>
      </c>
      <c r="F119" s="48" t="s">
        <v>1082</v>
      </c>
      <c r="G119" s="36" t="s">
        <v>1083</v>
      </c>
      <c r="H119" s="36" t="s">
        <v>1084</v>
      </c>
      <c r="I119" s="13" t="s">
        <v>558</v>
      </c>
      <c r="J119" s="38" t="s">
        <v>1085</v>
      </c>
    </row>
    <row r="120" ht="26.25" customHeight="1">
      <c r="A120" s="12" t="s">
        <v>1086</v>
      </c>
      <c r="B120" s="17">
        <v>2024.0</v>
      </c>
      <c r="C120" s="42" t="s">
        <v>15</v>
      </c>
      <c r="D120" s="17">
        <v>11939.0</v>
      </c>
      <c r="E120" s="36" t="s">
        <v>1087</v>
      </c>
      <c r="F120" s="48" t="s">
        <v>1088</v>
      </c>
      <c r="G120" s="36" t="s">
        <v>1089</v>
      </c>
      <c r="H120" s="36" t="s">
        <v>571</v>
      </c>
      <c r="I120" s="13" t="s">
        <v>542</v>
      </c>
      <c r="J120" s="38" t="s">
        <v>1090</v>
      </c>
    </row>
    <row r="121" ht="26.25" customHeight="1">
      <c r="A121" s="12" t="s">
        <v>1091</v>
      </c>
      <c r="B121" s="17">
        <v>2024.0</v>
      </c>
      <c r="C121" s="42" t="s">
        <v>16</v>
      </c>
      <c r="D121" s="35">
        <v>12220.0</v>
      </c>
      <c r="E121" s="36" t="s">
        <v>1092</v>
      </c>
      <c r="F121" s="48" t="s">
        <v>1093</v>
      </c>
      <c r="G121" s="36" t="s">
        <v>1094</v>
      </c>
      <c r="H121" s="36" t="s">
        <v>1095</v>
      </c>
      <c r="I121" s="13" t="s">
        <v>558</v>
      </c>
      <c r="J121" s="38" t="s">
        <v>1096</v>
      </c>
    </row>
    <row r="122" ht="26.25" customHeight="1">
      <c r="A122" s="12" t="s">
        <v>1097</v>
      </c>
      <c r="B122" s="17">
        <v>2024.0</v>
      </c>
      <c r="C122" s="42" t="s">
        <v>17</v>
      </c>
      <c r="D122" s="15">
        <v>10378.0</v>
      </c>
      <c r="E122" s="49" t="s">
        <v>963</v>
      </c>
      <c r="F122" s="50" t="s">
        <v>961</v>
      </c>
      <c r="G122" s="49" t="s">
        <v>962</v>
      </c>
      <c r="H122" s="49" t="s">
        <v>1098</v>
      </c>
      <c r="I122" s="77" t="s">
        <v>558</v>
      </c>
      <c r="J122" s="38" t="s">
        <v>1099</v>
      </c>
    </row>
    <row r="123" ht="26.25" customHeight="1">
      <c r="A123" s="12" t="s">
        <v>1100</v>
      </c>
      <c r="B123" s="17">
        <v>2024.0</v>
      </c>
      <c r="C123" s="42" t="s">
        <v>19</v>
      </c>
      <c r="D123" s="15">
        <v>13032.0</v>
      </c>
      <c r="E123" s="49" t="s">
        <v>1101</v>
      </c>
      <c r="F123" s="50" t="s">
        <v>1102</v>
      </c>
      <c r="G123" s="49" t="s">
        <v>1103</v>
      </c>
      <c r="H123" s="49" t="s">
        <v>1104</v>
      </c>
      <c r="I123" s="77" t="s">
        <v>558</v>
      </c>
      <c r="J123" s="38" t="s">
        <v>1105</v>
      </c>
    </row>
    <row r="124" ht="26.25" customHeight="1">
      <c r="A124" s="12" t="s">
        <v>1106</v>
      </c>
      <c r="B124" s="17">
        <v>2024.0</v>
      </c>
      <c r="C124" s="42" t="s">
        <v>19</v>
      </c>
      <c r="D124" s="15">
        <v>13256.0</v>
      </c>
      <c r="E124" s="49" t="s">
        <v>1107</v>
      </c>
      <c r="F124" s="50" t="s">
        <v>1108</v>
      </c>
      <c r="G124" s="49" t="s">
        <v>1109</v>
      </c>
      <c r="H124" s="49" t="s">
        <v>1110</v>
      </c>
      <c r="I124" s="77" t="s">
        <v>531</v>
      </c>
      <c r="J124" s="38" t="s">
        <v>1111</v>
      </c>
    </row>
    <row r="125" ht="26.25" customHeight="1">
      <c r="A125" s="12" t="s">
        <v>1112</v>
      </c>
      <c r="B125" s="17">
        <v>2024.0</v>
      </c>
      <c r="C125" s="42" t="s">
        <v>19</v>
      </c>
      <c r="D125" s="15">
        <v>13238.0</v>
      </c>
      <c r="E125" s="49" t="s">
        <v>1113</v>
      </c>
      <c r="F125" s="50" t="s">
        <v>1114</v>
      </c>
      <c r="G125" s="49" t="s">
        <v>1115</v>
      </c>
      <c r="H125" s="49" t="s">
        <v>1116</v>
      </c>
      <c r="I125" s="77" t="s">
        <v>531</v>
      </c>
      <c r="J125" s="38" t="s">
        <v>1117</v>
      </c>
    </row>
    <row r="126" ht="26.25" customHeight="1">
      <c r="A126" s="12" t="s">
        <v>1118</v>
      </c>
      <c r="B126" s="17">
        <v>2024.0</v>
      </c>
      <c r="C126" s="42" t="s">
        <v>19</v>
      </c>
      <c r="D126" s="15">
        <v>13273.0</v>
      </c>
      <c r="E126" s="49" t="s">
        <v>1119</v>
      </c>
      <c r="F126" s="50" t="s">
        <v>1120</v>
      </c>
      <c r="G126" s="49" t="s">
        <v>1121</v>
      </c>
      <c r="H126" s="49" t="s">
        <v>1122</v>
      </c>
      <c r="I126" s="77" t="s">
        <v>558</v>
      </c>
      <c r="J126" s="38" t="s">
        <v>1123</v>
      </c>
    </row>
    <row r="127" ht="26.25" customHeight="1">
      <c r="A127" s="12" t="s">
        <v>1124</v>
      </c>
      <c r="B127" s="17">
        <v>2024.0</v>
      </c>
      <c r="C127" s="42" t="s">
        <v>20</v>
      </c>
      <c r="D127" s="15">
        <v>13595.0</v>
      </c>
      <c r="E127" s="49" t="s">
        <v>1125</v>
      </c>
      <c r="F127" s="50" t="s">
        <v>1126</v>
      </c>
      <c r="G127" s="49" t="s">
        <v>1127</v>
      </c>
      <c r="H127" s="49" t="s">
        <v>1125</v>
      </c>
      <c r="I127" s="77" t="s">
        <v>558</v>
      </c>
      <c r="J127" s="38" t="s">
        <v>1128</v>
      </c>
    </row>
    <row r="128" ht="26.25" customHeight="1">
      <c r="A128" s="12" t="s">
        <v>1129</v>
      </c>
      <c r="B128" s="17">
        <v>2024.0</v>
      </c>
      <c r="C128" s="42" t="s">
        <v>22</v>
      </c>
      <c r="D128" s="15">
        <v>14000.0</v>
      </c>
      <c r="E128" s="49" t="s">
        <v>1130</v>
      </c>
      <c r="F128" s="50" t="s">
        <v>1131</v>
      </c>
      <c r="G128" s="49" t="s">
        <v>1132</v>
      </c>
      <c r="H128" s="49" t="s">
        <v>1133</v>
      </c>
      <c r="I128" s="77" t="s">
        <v>531</v>
      </c>
      <c r="J128" s="38" t="s">
        <v>1134</v>
      </c>
    </row>
    <row r="129" ht="26.25" customHeight="1">
      <c r="A129" s="12" t="s">
        <v>1135</v>
      </c>
      <c r="B129" s="17">
        <v>2024.0</v>
      </c>
      <c r="C129" s="42" t="s">
        <v>22</v>
      </c>
      <c r="D129" s="15">
        <v>14116.0</v>
      </c>
      <c r="E129" s="49" t="s">
        <v>1136</v>
      </c>
      <c r="F129" s="50" t="s">
        <v>1137</v>
      </c>
      <c r="G129" s="49" t="s">
        <v>1138</v>
      </c>
      <c r="H129" s="49" t="s">
        <v>1139</v>
      </c>
      <c r="I129" s="77" t="s">
        <v>558</v>
      </c>
      <c r="J129" s="38" t="s">
        <v>1140</v>
      </c>
    </row>
    <row r="130" ht="26.25" customHeight="1">
      <c r="A130" s="12" t="s">
        <v>1141</v>
      </c>
      <c r="B130" s="17">
        <v>2025.0</v>
      </c>
      <c r="C130" s="42" t="s">
        <v>11</v>
      </c>
      <c r="D130" s="15">
        <v>9865.0</v>
      </c>
      <c r="E130" s="49" t="s">
        <v>728</v>
      </c>
      <c r="F130" s="50" t="s">
        <v>1142</v>
      </c>
      <c r="G130" s="49" t="s">
        <v>1143</v>
      </c>
      <c r="H130" s="49" t="s">
        <v>1144</v>
      </c>
      <c r="I130" s="77" t="s">
        <v>1145</v>
      </c>
      <c r="J130" s="38" t="s">
        <v>1146</v>
      </c>
    </row>
    <row r="131" ht="26.25" customHeight="1">
      <c r="A131" s="12" t="s">
        <v>1147</v>
      </c>
      <c r="B131" s="17">
        <v>2025.0</v>
      </c>
      <c r="C131" s="42" t="s">
        <v>11</v>
      </c>
      <c r="D131" s="12" t="s">
        <v>1148</v>
      </c>
      <c r="E131" s="13" t="s">
        <v>1149</v>
      </c>
      <c r="F131" s="43" t="s">
        <v>1150</v>
      </c>
      <c r="G131" s="17"/>
      <c r="H131" s="36" t="s">
        <v>1151</v>
      </c>
      <c r="I131" s="13" t="s">
        <v>531</v>
      </c>
      <c r="J131" s="13" t="s">
        <v>1152</v>
      </c>
    </row>
    <row r="132" ht="26.25" customHeight="1">
      <c r="A132" s="12" t="s">
        <v>1153</v>
      </c>
      <c r="B132" s="17">
        <v>2025.0</v>
      </c>
      <c r="C132" s="42" t="s">
        <v>14</v>
      </c>
      <c r="D132" s="15">
        <v>10378.0</v>
      </c>
      <c r="E132" s="13" t="s">
        <v>963</v>
      </c>
      <c r="F132" s="54" t="s">
        <v>961</v>
      </c>
      <c r="G132" s="13" t="s">
        <v>962</v>
      </c>
      <c r="H132" s="49" t="s">
        <v>1154</v>
      </c>
      <c r="I132" s="13" t="s">
        <v>558</v>
      </c>
      <c r="J132" s="13" t="s">
        <v>1155</v>
      </c>
    </row>
    <row r="133" ht="26.25" customHeight="1">
      <c r="A133" s="12" t="s">
        <v>1156</v>
      </c>
      <c r="B133" s="17">
        <v>2025.0</v>
      </c>
      <c r="C133" s="42" t="s">
        <v>1157</v>
      </c>
      <c r="D133" s="15">
        <v>15536.0</v>
      </c>
      <c r="E133" s="13" t="s">
        <v>1158</v>
      </c>
      <c r="F133" s="54" t="s">
        <v>1159</v>
      </c>
      <c r="G133" s="13" t="s">
        <v>1160</v>
      </c>
      <c r="H133" s="49" t="s">
        <v>1161</v>
      </c>
      <c r="I133" s="13" t="s">
        <v>976</v>
      </c>
      <c r="J133" s="13" t="s">
        <v>1162</v>
      </c>
    </row>
    <row r="134" ht="26.25" customHeight="1">
      <c r="A134" s="12" t="s">
        <v>1163</v>
      </c>
      <c r="B134" s="17">
        <v>2025.0</v>
      </c>
      <c r="C134" s="42" t="s">
        <v>16</v>
      </c>
      <c r="D134" s="15">
        <v>15559.0</v>
      </c>
      <c r="E134" s="13" t="s">
        <v>1164</v>
      </c>
      <c r="F134" s="54" t="s">
        <v>1165</v>
      </c>
      <c r="G134" s="13" t="s">
        <v>1166</v>
      </c>
      <c r="H134" s="49" t="s">
        <v>1167</v>
      </c>
      <c r="I134" s="13" t="s">
        <v>531</v>
      </c>
      <c r="J134" s="13" t="s">
        <v>1168</v>
      </c>
    </row>
    <row r="135" ht="26.25" customHeight="1">
      <c r="A135" s="12" t="s">
        <v>1169</v>
      </c>
      <c r="B135" s="17">
        <v>2025.0</v>
      </c>
      <c r="C135" s="42" t="s">
        <v>16</v>
      </c>
      <c r="D135" s="15">
        <v>15208.0</v>
      </c>
      <c r="E135" s="77" t="s">
        <v>1170</v>
      </c>
      <c r="F135" s="54" t="s">
        <v>1171</v>
      </c>
      <c r="G135" s="13"/>
      <c r="H135" s="49" t="s">
        <v>1172</v>
      </c>
      <c r="I135" s="13" t="s">
        <v>976</v>
      </c>
      <c r="J135" s="13" t="s">
        <v>1173</v>
      </c>
    </row>
    <row r="136" ht="26.25" customHeight="1">
      <c r="A136" s="12" t="s">
        <v>1174</v>
      </c>
      <c r="B136" s="17">
        <v>2025.0</v>
      </c>
      <c r="C136" s="42" t="s">
        <v>17</v>
      </c>
      <c r="D136" s="15">
        <v>15694.0</v>
      </c>
      <c r="E136" s="77" t="s">
        <v>1175</v>
      </c>
      <c r="F136" s="54" t="s">
        <v>1176</v>
      </c>
      <c r="G136" s="13" t="s">
        <v>1177</v>
      </c>
      <c r="H136" s="49" t="s">
        <v>1178</v>
      </c>
      <c r="I136" s="13" t="s">
        <v>558</v>
      </c>
      <c r="J136" s="13" t="s">
        <v>1179</v>
      </c>
    </row>
    <row r="137" ht="26.25" customHeight="1">
      <c r="A137" s="12" t="s">
        <v>1180</v>
      </c>
      <c r="B137" s="17">
        <v>2025.0</v>
      </c>
      <c r="C137" s="42" t="s">
        <v>18</v>
      </c>
      <c r="D137" s="15">
        <v>15964.0</v>
      </c>
      <c r="E137" s="77" t="s">
        <v>1181</v>
      </c>
      <c r="F137" s="54" t="s">
        <v>1182</v>
      </c>
      <c r="G137" s="13" t="s">
        <v>1183</v>
      </c>
      <c r="H137" s="49" t="s">
        <v>1184</v>
      </c>
      <c r="I137" s="13" t="s">
        <v>542</v>
      </c>
      <c r="J137" s="13" t="s">
        <v>1185</v>
      </c>
    </row>
    <row r="138" ht="26.25" customHeight="1">
      <c r="A138" s="12" t="s">
        <v>1186</v>
      </c>
      <c r="B138" s="17">
        <v>2025.0</v>
      </c>
      <c r="C138" s="42" t="s">
        <v>18</v>
      </c>
      <c r="D138" s="15">
        <v>16096.0</v>
      </c>
      <c r="E138" s="77" t="s">
        <v>1187</v>
      </c>
      <c r="F138" s="54" t="s">
        <v>1188</v>
      </c>
      <c r="G138" s="13" t="s">
        <v>1189</v>
      </c>
      <c r="H138" s="49" t="s">
        <v>1190</v>
      </c>
      <c r="I138" s="13" t="s">
        <v>531</v>
      </c>
      <c r="J138" s="13" t="s">
        <v>1191</v>
      </c>
    </row>
    <row r="139" ht="26.25" customHeight="1">
      <c r="A139" s="12" t="s">
        <v>1192</v>
      </c>
      <c r="B139" s="17">
        <v>2025.0</v>
      </c>
      <c r="C139" s="42" t="s">
        <v>18</v>
      </c>
      <c r="D139" s="15">
        <v>16056.0</v>
      </c>
      <c r="E139" s="49" t="s">
        <v>1193</v>
      </c>
      <c r="F139" s="54" t="s">
        <v>1194</v>
      </c>
      <c r="G139" s="13" t="s">
        <v>1195</v>
      </c>
      <c r="H139" s="49" t="s">
        <v>1196</v>
      </c>
      <c r="I139" s="49" t="s">
        <v>558</v>
      </c>
      <c r="J139" s="13" t="s">
        <v>1197</v>
      </c>
    </row>
    <row r="140" ht="26.25" customHeight="1">
      <c r="A140" s="12" t="s">
        <v>1198</v>
      </c>
      <c r="B140" s="17">
        <v>2025.0</v>
      </c>
      <c r="C140" s="42" t="s">
        <v>20</v>
      </c>
      <c r="D140" s="15">
        <v>16488.0</v>
      </c>
      <c r="E140" s="49" t="s">
        <v>1199</v>
      </c>
      <c r="F140" s="54" t="s">
        <v>1200</v>
      </c>
      <c r="G140" s="13" t="s">
        <v>1201</v>
      </c>
      <c r="H140" s="78" t="s">
        <v>1202</v>
      </c>
      <c r="I140" s="49" t="s">
        <v>558</v>
      </c>
      <c r="J140" s="13" t="s">
        <v>1203</v>
      </c>
    </row>
    <row r="141" ht="26.25" customHeight="1">
      <c r="A141" s="12" t="s">
        <v>1204</v>
      </c>
      <c r="B141" s="17">
        <v>2025.0</v>
      </c>
      <c r="C141" s="42" t="s">
        <v>20</v>
      </c>
      <c r="D141" s="15">
        <v>16645.0</v>
      </c>
      <c r="E141" s="49" t="s">
        <v>1205</v>
      </c>
      <c r="F141" s="54" t="s">
        <v>1206</v>
      </c>
      <c r="G141" s="13" t="s">
        <v>1207</v>
      </c>
      <c r="H141" s="49" t="s">
        <v>1208</v>
      </c>
      <c r="I141" s="49" t="s">
        <v>542</v>
      </c>
      <c r="J141" s="13" t="s">
        <v>1209</v>
      </c>
    </row>
    <row r="142" ht="26.25" customHeight="1">
      <c r="A142" s="12" t="s">
        <v>1210</v>
      </c>
      <c r="B142" s="17">
        <v>2025.0</v>
      </c>
      <c r="C142" s="42" t="s">
        <v>21</v>
      </c>
      <c r="D142" s="15">
        <v>16096.0</v>
      </c>
      <c r="E142" s="49" t="s">
        <v>1187</v>
      </c>
      <c r="F142" s="54" t="s">
        <v>1188</v>
      </c>
      <c r="G142" s="13" t="s">
        <v>1189</v>
      </c>
      <c r="H142" s="49" t="s">
        <v>1211</v>
      </c>
      <c r="I142" s="49" t="s">
        <v>531</v>
      </c>
      <c r="J142" s="13" t="s">
        <v>1212</v>
      </c>
    </row>
    <row r="143" ht="26.25" customHeight="1">
      <c r="A143" s="12" t="s">
        <v>1213</v>
      </c>
      <c r="B143" s="17">
        <v>2025.0</v>
      </c>
      <c r="C143" s="42" t="s">
        <v>22</v>
      </c>
      <c r="D143" s="15">
        <v>16961.0</v>
      </c>
      <c r="E143" s="49" t="s">
        <v>1214</v>
      </c>
      <c r="F143" s="54" t="s">
        <v>1215</v>
      </c>
      <c r="G143" s="13" t="s">
        <v>1216</v>
      </c>
      <c r="H143" s="49" t="s">
        <v>1217</v>
      </c>
      <c r="I143" s="49" t="s">
        <v>558</v>
      </c>
      <c r="J143" s="13" t="s">
        <v>1218</v>
      </c>
    </row>
    <row r="144" ht="26.25" customHeight="1">
      <c r="A144" s="12" t="s">
        <v>1219</v>
      </c>
      <c r="B144" s="17">
        <v>2025.0</v>
      </c>
      <c r="C144" s="42" t="s">
        <v>22</v>
      </c>
      <c r="D144" s="15">
        <v>17049.0</v>
      </c>
      <c r="E144" s="49" t="s">
        <v>1220</v>
      </c>
      <c r="F144" s="54" t="s">
        <v>1221</v>
      </c>
      <c r="G144" s="13" t="s">
        <v>1222</v>
      </c>
      <c r="H144" s="49" t="s">
        <v>1223</v>
      </c>
      <c r="I144" s="49" t="s">
        <v>558</v>
      </c>
      <c r="J144" s="13" t="s">
        <v>1224</v>
      </c>
    </row>
    <row r="145" ht="26.25" customHeight="1">
      <c r="A145" s="12" t="s">
        <v>1225</v>
      </c>
      <c r="B145" s="17">
        <v>2026.0</v>
      </c>
      <c r="C145" s="42" t="s">
        <v>11</v>
      </c>
      <c r="D145" s="57">
        <v>17265.0</v>
      </c>
      <c r="E145" s="58" t="s">
        <v>1226</v>
      </c>
      <c r="F145" s="59" t="s">
        <v>1227</v>
      </c>
      <c r="G145" s="13" t="s">
        <v>1228</v>
      </c>
      <c r="H145" s="49" t="s">
        <v>1229</v>
      </c>
      <c r="I145" s="49" t="s">
        <v>558</v>
      </c>
      <c r="J145" s="13" t="s">
        <v>1230</v>
      </c>
    </row>
    <row r="146" ht="26.25" customHeight="1">
      <c r="A146" s="12" t="s">
        <v>1231</v>
      </c>
      <c r="B146" s="17">
        <v>2026.0</v>
      </c>
      <c r="C146" s="42" t="s">
        <v>11</v>
      </c>
      <c r="D146" s="57">
        <v>10558.0</v>
      </c>
      <c r="E146" s="58" t="s">
        <v>1232</v>
      </c>
      <c r="F146" s="59" t="s">
        <v>1233</v>
      </c>
      <c r="G146" s="13" t="s">
        <v>974</v>
      </c>
      <c r="H146" s="58" t="s">
        <v>1234</v>
      </c>
      <c r="I146" s="58" t="s">
        <v>976</v>
      </c>
      <c r="J146" s="13" t="s">
        <v>977</v>
      </c>
    </row>
    <row r="147" ht="26.25" customHeight="1">
      <c r="A147" s="12" t="s">
        <v>1235</v>
      </c>
      <c r="B147" s="17">
        <v>2026.0</v>
      </c>
      <c r="C147" s="79" t="s">
        <v>13</v>
      </c>
      <c r="D147" s="15">
        <v>18052.0</v>
      </c>
      <c r="E147" s="58" t="s">
        <v>1236</v>
      </c>
      <c r="F147" s="59" t="s">
        <v>1237</v>
      </c>
      <c r="G147" s="60" t="s">
        <v>1238</v>
      </c>
      <c r="H147" s="80" t="s">
        <v>1239</v>
      </c>
      <c r="I147" s="80" t="s">
        <v>976</v>
      </c>
      <c r="J147" s="60" t="s">
        <v>1240</v>
      </c>
    </row>
    <row r="148" ht="26.25" customHeight="1">
      <c r="A148" s="12" t="s">
        <v>1241</v>
      </c>
      <c r="B148" s="17">
        <v>2026.0</v>
      </c>
      <c r="C148" s="79" t="s">
        <v>13</v>
      </c>
      <c r="D148" s="57">
        <v>17785.0</v>
      </c>
      <c r="E148" s="58" t="s">
        <v>1242</v>
      </c>
      <c r="F148" s="59" t="s">
        <v>1243</v>
      </c>
      <c r="G148" s="60"/>
      <c r="H148" s="81" t="s">
        <v>1244</v>
      </c>
      <c r="I148" s="81" t="s">
        <v>564</v>
      </c>
      <c r="J148" s="60" t="s">
        <v>1245</v>
      </c>
    </row>
    <row r="149" ht="26.25" customHeight="1">
      <c r="A149" s="12" t="s">
        <v>1246</v>
      </c>
      <c r="B149" s="17">
        <v>2026.0</v>
      </c>
      <c r="C149" s="79" t="s">
        <v>16</v>
      </c>
      <c r="D149" s="82">
        <v>18666.0</v>
      </c>
      <c r="E149" s="80" t="s">
        <v>1247</v>
      </c>
      <c r="F149" s="83" t="s">
        <v>1248</v>
      </c>
      <c r="G149" s="60" t="s">
        <v>1249</v>
      </c>
      <c r="H149" s="80" t="s">
        <v>1250</v>
      </c>
      <c r="I149" s="80" t="s">
        <v>542</v>
      </c>
      <c r="J149" s="60" t="s">
        <v>1251</v>
      </c>
    </row>
    <row r="150" ht="26.25" customHeight="1">
      <c r="A150" s="12" t="s">
        <v>1252</v>
      </c>
      <c r="B150" s="17">
        <v>2026.0</v>
      </c>
      <c r="C150" s="79" t="s">
        <v>17</v>
      </c>
      <c r="D150" s="82">
        <v>19085.0</v>
      </c>
      <c r="E150" s="80" t="s">
        <v>1253</v>
      </c>
      <c r="F150" s="83" t="s">
        <v>1254</v>
      </c>
      <c r="G150" s="60" t="s">
        <v>1255</v>
      </c>
      <c r="H150" s="80" t="s">
        <v>1256</v>
      </c>
      <c r="I150" s="80" t="s">
        <v>542</v>
      </c>
      <c r="J150" s="60" t="s">
        <v>1255</v>
      </c>
    </row>
    <row r="151" ht="26.25" customHeight="1">
      <c r="A151" s="51" t="s">
        <v>222</v>
      </c>
      <c r="C151" s="52"/>
      <c r="D151" s="52"/>
      <c r="E151" s="53">
        <f t="array" ref="E151">sum(1/countif(E145:E147,E145:E147))</f>
        <v>3</v>
      </c>
      <c r="F151" s="52"/>
      <c r="G151" s="52"/>
      <c r="H151" s="53">
        <f t="array" ref="H151">sum(1/countif(H145:H147,H145:H147))</f>
        <v>3</v>
      </c>
      <c r="I151" s="53">
        <f t="array" ref="I151">sum(1/countif(I130:I142,I130:I142))</f>
        <v>5</v>
      </c>
      <c r="J151" s="53"/>
    </row>
    <row r="152" ht="26.25" customHeight="1">
      <c r="A152" s="51" t="s">
        <v>223</v>
      </c>
      <c r="C152" s="52"/>
      <c r="E152" s="53">
        <f t="array" ref="E152">sum(1/countif(E5:E147,E5:E147))</f>
        <v>121</v>
      </c>
      <c r="F152" s="52"/>
      <c r="G152" s="52"/>
      <c r="H152" s="53">
        <f t="array" ref="H152">sum(1/countif(H5:H147,H5:H147))</f>
        <v>141</v>
      </c>
      <c r="I152" s="53">
        <f t="array" ref="I152">sum(1/countif(I5:I142,I5:I142))</f>
        <v>11</v>
      </c>
      <c r="J152" s="53"/>
    </row>
  </sheetData>
  <mergeCells count="6">
    <mergeCell ref="A1:J1"/>
    <mergeCell ref="A2:J2"/>
    <mergeCell ref="A3:J3"/>
    <mergeCell ref="A151:B151"/>
    <mergeCell ref="A152:B152"/>
    <mergeCell ref="C152:D1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40" t="s">
        <v>19</v>
      </c>
      <c r="D5" s="35">
        <v>2188.0</v>
      </c>
      <c r="E5" s="37" t="s">
        <v>1257</v>
      </c>
      <c r="F5" s="42" t="s">
        <v>1258</v>
      </c>
      <c r="G5" s="39" t="s">
        <v>1259</v>
      </c>
      <c r="H5" s="39" t="s">
        <v>1260</v>
      </c>
      <c r="I5" s="39" t="s">
        <v>1261</v>
      </c>
      <c r="J5" s="39" t="s">
        <v>1262</v>
      </c>
    </row>
    <row r="6" ht="26.25" customHeight="1">
      <c r="A6" s="12" t="s">
        <v>80</v>
      </c>
      <c r="B6" s="17">
        <v>2023.0</v>
      </c>
      <c r="C6" s="17" t="s">
        <v>21</v>
      </c>
      <c r="D6" s="17">
        <v>10649.0</v>
      </c>
      <c r="E6" s="13" t="s">
        <v>1263</v>
      </c>
      <c r="F6" s="43" t="s">
        <v>1264</v>
      </c>
      <c r="G6" s="75" t="s">
        <v>1265</v>
      </c>
      <c r="H6" s="13" t="s">
        <v>1266</v>
      </c>
      <c r="I6" s="76" t="s">
        <v>1267</v>
      </c>
      <c r="J6" s="75" t="s">
        <v>1268</v>
      </c>
    </row>
    <row r="7" ht="26.25" customHeight="1">
      <c r="A7" s="51" t="s">
        <v>222</v>
      </c>
      <c r="C7" s="52"/>
      <c r="D7" s="84"/>
      <c r="E7" s="53" t="str">
        <f t="array" ref="E7">sum(1/countif(E7,E7))</f>
        <v>#REF!</v>
      </c>
      <c r="F7" s="52"/>
      <c r="G7" s="52"/>
      <c r="H7" s="53" t="str">
        <f t="array" ref="H7">sum(1/countif(H7,H7))</f>
        <v>#REF!</v>
      </c>
      <c r="I7" s="53">
        <v>0.0</v>
      </c>
      <c r="J7" s="53"/>
    </row>
    <row r="8" ht="26.25" customHeight="1">
      <c r="A8" s="51" t="s">
        <v>223</v>
      </c>
      <c r="C8" s="52"/>
      <c r="E8" s="53">
        <f t="array" ref="E8">sum(1/countif(E5:E6,E5:E6))</f>
        <v>2</v>
      </c>
      <c r="F8" s="52"/>
      <c r="G8" s="52"/>
      <c r="H8" s="53">
        <f t="array" ref="H8">sum(1/countif(H5:H6,H5:H6))</f>
        <v>2</v>
      </c>
      <c r="I8" s="53">
        <f t="array" ref="I8">sum(1/countif(I5:I6,I5:I6))</f>
        <v>2</v>
      </c>
      <c r="J8" s="53"/>
    </row>
  </sheetData>
  <mergeCells count="6">
    <mergeCell ref="A1:J1"/>
    <mergeCell ref="A2:J2"/>
    <mergeCell ref="A3:J3"/>
    <mergeCell ref="A7:B7"/>
    <mergeCell ref="A8:B8"/>
    <mergeCell ref="C8:D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14</v>
      </c>
      <c r="D5" s="35">
        <v>287.0</v>
      </c>
      <c r="E5" s="37" t="s">
        <v>1269</v>
      </c>
      <c r="F5" s="35" t="s">
        <v>1270</v>
      </c>
      <c r="G5" s="37" t="s">
        <v>1271</v>
      </c>
      <c r="H5" s="37" t="s">
        <v>1272</v>
      </c>
      <c r="I5" s="39" t="s">
        <v>1273</v>
      </c>
      <c r="J5" s="39" t="s">
        <v>1274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376.0</v>
      </c>
      <c r="E6" s="37" t="s">
        <v>1275</v>
      </c>
      <c r="F6" s="35" t="s">
        <v>1276</v>
      </c>
      <c r="G6" s="37" t="s">
        <v>1277</v>
      </c>
      <c r="H6" s="38" t="s">
        <v>1278</v>
      </c>
      <c r="I6" s="39" t="s">
        <v>1279</v>
      </c>
      <c r="J6" s="39" t="s">
        <v>1280</v>
      </c>
    </row>
    <row r="7" ht="26.25" customHeight="1">
      <c r="A7" s="12" t="s">
        <v>87</v>
      </c>
      <c r="B7" s="17">
        <v>2021.0</v>
      </c>
      <c r="C7" s="35" t="s">
        <v>15</v>
      </c>
      <c r="D7" s="35">
        <v>518.0</v>
      </c>
      <c r="E7" s="37" t="s">
        <v>1281</v>
      </c>
      <c r="F7" s="35" t="s">
        <v>1282</v>
      </c>
      <c r="G7" s="37" t="s">
        <v>1283</v>
      </c>
      <c r="H7" s="37" t="s">
        <v>1284</v>
      </c>
      <c r="I7" s="39" t="s">
        <v>1279</v>
      </c>
      <c r="J7" s="39" t="s">
        <v>1285</v>
      </c>
    </row>
    <row r="8" ht="26.25" customHeight="1">
      <c r="A8" s="12" t="s">
        <v>94</v>
      </c>
      <c r="B8" s="17">
        <v>2021.0</v>
      </c>
      <c r="C8" s="40" t="s">
        <v>18</v>
      </c>
      <c r="D8" s="40">
        <v>1780.0</v>
      </c>
      <c r="E8" s="39" t="s">
        <v>1286</v>
      </c>
      <c r="F8" s="40" t="s">
        <v>1287</v>
      </c>
      <c r="G8" s="39" t="s">
        <v>1288</v>
      </c>
      <c r="H8" s="39" t="s">
        <v>1289</v>
      </c>
      <c r="I8" s="39" t="s">
        <v>1279</v>
      </c>
      <c r="J8" s="39" t="s">
        <v>1290</v>
      </c>
    </row>
    <row r="9" ht="26.25" customHeight="1">
      <c r="A9" s="12" t="s">
        <v>101</v>
      </c>
      <c r="B9" s="17">
        <v>2021.0</v>
      </c>
      <c r="C9" s="35" t="s">
        <v>20</v>
      </c>
      <c r="D9" s="35">
        <v>2825.0</v>
      </c>
      <c r="E9" s="37" t="s">
        <v>1291</v>
      </c>
      <c r="F9" s="35" t="s">
        <v>1292</v>
      </c>
      <c r="G9" s="37" t="s">
        <v>1293</v>
      </c>
      <c r="H9" s="37" t="s">
        <v>1294</v>
      </c>
      <c r="I9" s="39" t="s">
        <v>1273</v>
      </c>
      <c r="J9" s="39" t="s">
        <v>1295</v>
      </c>
    </row>
    <row r="10" ht="26.25" customHeight="1">
      <c r="A10" s="12" t="s">
        <v>108</v>
      </c>
      <c r="B10" s="17">
        <v>2021.0</v>
      </c>
      <c r="C10" s="35" t="s">
        <v>21</v>
      </c>
      <c r="D10" s="35">
        <v>3404.0</v>
      </c>
      <c r="E10" s="37" t="s">
        <v>1296</v>
      </c>
      <c r="F10" s="35" t="s">
        <v>1297</v>
      </c>
      <c r="G10" s="39" t="s">
        <v>1298</v>
      </c>
      <c r="H10" s="36" t="s">
        <v>1299</v>
      </c>
      <c r="I10" s="39" t="s">
        <v>1273</v>
      </c>
      <c r="J10" s="39" t="s">
        <v>1300</v>
      </c>
    </row>
    <row r="11" ht="26.25" customHeight="1">
      <c r="A11" s="12" t="s">
        <v>113</v>
      </c>
      <c r="B11" s="17">
        <v>2022.0</v>
      </c>
      <c r="C11" s="40" t="s">
        <v>11</v>
      </c>
      <c r="D11" s="40">
        <v>3851.0</v>
      </c>
      <c r="E11" s="39" t="s">
        <v>1301</v>
      </c>
      <c r="F11" s="40" t="s">
        <v>1302</v>
      </c>
      <c r="G11" s="36" t="s">
        <v>1303</v>
      </c>
      <c r="H11" s="39" t="s">
        <v>1304</v>
      </c>
      <c r="I11" s="39" t="s">
        <v>1279</v>
      </c>
      <c r="J11" s="39" t="s">
        <v>1305</v>
      </c>
    </row>
    <row r="12" ht="26.25" customHeight="1">
      <c r="A12" s="12" t="s">
        <v>120</v>
      </c>
      <c r="B12" s="17">
        <v>2022.0</v>
      </c>
      <c r="C12" s="40" t="s">
        <v>11</v>
      </c>
      <c r="D12" s="40">
        <v>1485.0</v>
      </c>
      <c r="E12" s="39" t="s">
        <v>1306</v>
      </c>
      <c r="F12" s="40" t="s">
        <v>1307</v>
      </c>
      <c r="G12" s="36" t="s">
        <v>1308</v>
      </c>
      <c r="H12" s="38" t="s">
        <v>1309</v>
      </c>
      <c r="I12" s="39" t="s">
        <v>1273</v>
      </c>
      <c r="J12" s="39" t="s">
        <v>1310</v>
      </c>
    </row>
    <row r="13" ht="26.25" customHeight="1">
      <c r="A13" s="12" t="s">
        <v>126</v>
      </c>
      <c r="B13" s="17">
        <v>2022.0</v>
      </c>
      <c r="C13" s="40" t="s">
        <v>13</v>
      </c>
      <c r="D13" s="40">
        <v>3411.0</v>
      </c>
      <c r="E13" s="39" t="s">
        <v>1311</v>
      </c>
      <c r="F13" s="40" t="s">
        <v>1312</v>
      </c>
      <c r="G13" s="36" t="s">
        <v>1313</v>
      </c>
      <c r="H13" s="39" t="s">
        <v>1314</v>
      </c>
      <c r="I13" s="39" t="s">
        <v>1315</v>
      </c>
      <c r="J13" s="39" t="s">
        <v>1316</v>
      </c>
    </row>
    <row r="14" ht="26.25" customHeight="1">
      <c r="A14" s="12" t="s">
        <v>132</v>
      </c>
      <c r="B14" s="17">
        <v>2022.0</v>
      </c>
      <c r="C14" s="40" t="s">
        <v>13</v>
      </c>
      <c r="D14" s="40">
        <v>4979.0</v>
      </c>
      <c r="E14" s="39" t="s">
        <v>1317</v>
      </c>
      <c r="F14" s="40" t="s">
        <v>1318</v>
      </c>
      <c r="G14" s="36" t="s">
        <v>1319</v>
      </c>
      <c r="H14" s="39" t="s">
        <v>1320</v>
      </c>
      <c r="I14" s="39" t="s">
        <v>1279</v>
      </c>
      <c r="J14" s="39" t="s">
        <v>1321</v>
      </c>
    </row>
    <row r="15" ht="26.25" customHeight="1">
      <c r="A15" s="12" t="s">
        <v>138</v>
      </c>
      <c r="B15" s="17">
        <v>2022.0</v>
      </c>
      <c r="C15" s="40" t="s">
        <v>13</v>
      </c>
      <c r="D15" s="40">
        <v>4865.0</v>
      </c>
      <c r="E15" s="39" t="s">
        <v>1322</v>
      </c>
      <c r="F15" s="40" t="s">
        <v>1323</v>
      </c>
      <c r="G15" s="36" t="s">
        <v>1324</v>
      </c>
      <c r="H15" s="39" t="s">
        <v>1325</v>
      </c>
      <c r="I15" s="39" t="s">
        <v>1279</v>
      </c>
      <c r="J15" s="39" t="s">
        <v>1326</v>
      </c>
    </row>
    <row r="16" ht="26.25" customHeight="1">
      <c r="A16" s="12" t="s">
        <v>144</v>
      </c>
      <c r="B16" s="17">
        <v>2022.0</v>
      </c>
      <c r="C16" s="40" t="s">
        <v>15</v>
      </c>
      <c r="D16" s="40">
        <v>5536.0</v>
      </c>
      <c r="E16" s="39" t="s">
        <v>1327</v>
      </c>
      <c r="F16" s="41" t="s">
        <v>1328</v>
      </c>
      <c r="G16" s="36" t="s">
        <v>1329</v>
      </c>
      <c r="H16" s="39" t="s">
        <v>1330</v>
      </c>
      <c r="I16" s="39" t="s">
        <v>1279</v>
      </c>
      <c r="J16" s="39" t="s">
        <v>1331</v>
      </c>
    </row>
    <row r="17" ht="26.25" customHeight="1">
      <c r="A17" s="12" t="s">
        <v>146</v>
      </c>
      <c r="B17" s="17">
        <v>2022.0</v>
      </c>
      <c r="C17" s="40" t="s">
        <v>18</v>
      </c>
      <c r="D17" s="40">
        <v>6656.0</v>
      </c>
      <c r="E17" s="39" t="s">
        <v>1332</v>
      </c>
      <c r="F17" s="41" t="s">
        <v>1333</v>
      </c>
      <c r="G17" s="36" t="s">
        <v>1334</v>
      </c>
      <c r="H17" s="39" t="s">
        <v>1335</v>
      </c>
      <c r="I17" s="39" t="s">
        <v>1273</v>
      </c>
      <c r="J17" s="39" t="s">
        <v>1336</v>
      </c>
    </row>
    <row r="18" ht="26.25" customHeight="1">
      <c r="A18" s="12" t="s">
        <v>151</v>
      </c>
      <c r="B18" s="17">
        <v>2022.0</v>
      </c>
      <c r="C18" s="40" t="s">
        <v>18</v>
      </c>
      <c r="D18" s="40">
        <v>6508.0</v>
      </c>
      <c r="E18" s="39" t="s">
        <v>1337</v>
      </c>
      <c r="F18" s="41" t="s">
        <v>1338</v>
      </c>
      <c r="G18" s="36" t="s">
        <v>1339</v>
      </c>
      <c r="H18" s="39" t="s">
        <v>1340</v>
      </c>
      <c r="I18" s="39" t="s">
        <v>1279</v>
      </c>
      <c r="J18" s="39" t="s">
        <v>1341</v>
      </c>
    </row>
    <row r="19" ht="26.25" customHeight="1">
      <c r="A19" s="12" t="s">
        <v>153</v>
      </c>
      <c r="B19" s="17">
        <v>2023.0</v>
      </c>
      <c r="C19" s="40" t="s">
        <v>13</v>
      </c>
      <c r="D19" s="40">
        <v>8381.0</v>
      </c>
      <c r="E19" s="75" t="s">
        <v>1342</v>
      </c>
      <c r="F19" s="41" t="s">
        <v>1343</v>
      </c>
      <c r="G19" s="13" t="s">
        <v>1344</v>
      </c>
      <c r="H19" s="75" t="s">
        <v>1345</v>
      </c>
      <c r="I19" s="75" t="s">
        <v>1279</v>
      </c>
      <c r="J19" s="75" t="s">
        <v>1346</v>
      </c>
    </row>
    <row r="20" ht="26.25" customHeight="1">
      <c r="A20" s="12" t="s">
        <v>159</v>
      </c>
      <c r="B20" s="17">
        <v>2023.0</v>
      </c>
      <c r="C20" s="40" t="s">
        <v>17</v>
      </c>
      <c r="D20" s="17">
        <v>9598.0</v>
      </c>
      <c r="E20" s="13" t="s">
        <v>1347</v>
      </c>
      <c r="F20" s="42" t="s">
        <v>1348</v>
      </c>
      <c r="G20" s="13" t="s">
        <v>1349</v>
      </c>
      <c r="H20" s="76" t="s">
        <v>1350</v>
      </c>
      <c r="I20" s="75" t="s">
        <v>1279</v>
      </c>
      <c r="J20" s="75" t="s">
        <v>1351</v>
      </c>
    </row>
    <row r="21" ht="26.25" customHeight="1">
      <c r="A21" s="12" t="s">
        <v>165</v>
      </c>
      <c r="B21" s="17">
        <v>2023.0</v>
      </c>
      <c r="C21" s="40" t="s">
        <v>18</v>
      </c>
      <c r="D21" s="17">
        <v>9598.0</v>
      </c>
      <c r="E21" s="13" t="s">
        <v>1347</v>
      </c>
      <c r="F21" s="42" t="s">
        <v>1348</v>
      </c>
      <c r="G21" s="13" t="s">
        <v>1349</v>
      </c>
      <c r="H21" s="76" t="s">
        <v>1352</v>
      </c>
      <c r="I21" s="75" t="s">
        <v>1279</v>
      </c>
      <c r="J21" s="75" t="s">
        <v>1351</v>
      </c>
    </row>
    <row r="22" ht="26.25" customHeight="1">
      <c r="A22" s="12" t="s">
        <v>171</v>
      </c>
      <c r="B22" s="17">
        <v>2023.0</v>
      </c>
      <c r="C22" s="40" t="s">
        <v>18</v>
      </c>
      <c r="D22" s="17">
        <v>9598.0</v>
      </c>
      <c r="E22" s="13" t="s">
        <v>1347</v>
      </c>
      <c r="F22" s="42" t="s">
        <v>1348</v>
      </c>
      <c r="G22" s="13" t="s">
        <v>1349</v>
      </c>
      <c r="H22" s="76" t="s">
        <v>1353</v>
      </c>
      <c r="I22" s="75" t="s">
        <v>1279</v>
      </c>
      <c r="J22" s="75" t="s">
        <v>1351</v>
      </c>
    </row>
    <row r="23" ht="26.25" customHeight="1">
      <c r="A23" s="12" t="s">
        <v>173</v>
      </c>
      <c r="B23" s="17">
        <v>2023.0</v>
      </c>
      <c r="C23" s="40" t="s">
        <v>19</v>
      </c>
      <c r="D23" s="17">
        <v>9598.0</v>
      </c>
      <c r="E23" s="13" t="s">
        <v>1347</v>
      </c>
      <c r="F23" s="42" t="s">
        <v>1354</v>
      </c>
      <c r="G23" s="13" t="s">
        <v>1349</v>
      </c>
      <c r="H23" s="76" t="s">
        <v>1355</v>
      </c>
      <c r="I23" s="75" t="s">
        <v>1279</v>
      </c>
      <c r="J23" s="75" t="s">
        <v>1351</v>
      </c>
    </row>
    <row r="24" ht="26.25" customHeight="1">
      <c r="A24" s="12" t="s">
        <v>178</v>
      </c>
      <c r="B24" s="17">
        <v>2023.0</v>
      </c>
      <c r="C24" s="40" t="s">
        <v>19</v>
      </c>
      <c r="D24" s="40">
        <v>6656.0</v>
      </c>
      <c r="E24" s="75" t="s">
        <v>1332</v>
      </c>
      <c r="F24" s="40" t="s">
        <v>1356</v>
      </c>
      <c r="G24" s="13" t="s">
        <v>1334</v>
      </c>
      <c r="H24" s="13" t="s">
        <v>1357</v>
      </c>
      <c r="I24" s="75" t="s">
        <v>1273</v>
      </c>
      <c r="J24" s="75" t="s">
        <v>1336</v>
      </c>
    </row>
    <row r="25" ht="26.25" customHeight="1">
      <c r="A25" s="12" t="s">
        <v>184</v>
      </c>
      <c r="B25" s="17">
        <v>2024.0</v>
      </c>
      <c r="C25" s="42" t="s">
        <v>11</v>
      </c>
      <c r="D25" s="17">
        <v>376.0</v>
      </c>
      <c r="E25" s="36" t="s">
        <v>1275</v>
      </c>
      <c r="F25" s="43" t="s">
        <v>1358</v>
      </c>
      <c r="G25" s="36" t="s">
        <v>1277</v>
      </c>
      <c r="H25" s="38" t="s">
        <v>1359</v>
      </c>
      <c r="I25" s="38" t="s">
        <v>1279</v>
      </c>
      <c r="J25" s="38" t="s">
        <v>1280</v>
      </c>
    </row>
    <row r="26" ht="26.25" customHeight="1">
      <c r="A26" s="12" t="s">
        <v>190</v>
      </c>
      <c r="B26" s="17">
        <v>2024.0</v>
      </c>
      <c r="C26" s="42" t="s">
        <v>17</v>
      </c>
      <c r="D26" s="17">
        <v>11270.0</v>
      </c>
      <c r="E26" s="36" t="s">
        <v>1360</v>
      </c>
      <c r="F26" s="48" t="s">
        <v>1361</v>
      </c>
      <c r="G26" s="36" t="s">
        <v>1362</v>
      </c>
      <c r="H26" s="36" t="s">
        <v>1363</v>
      </c>
      <c r="I26" s="36" t="s">
        <v>1315</v>
      </c>
      <c r="J26" s="38" t="s">
        <v>1364</v>
      </c>
    </row>
    <row r="27" ht="26.25" customHeight="1">
      <c r="A27" s="12" t="s">
        <v>196</v>
      </c>
      <c r="B27" s="17">
        <v>2024.0</v>
      </c>
      <c r="C27" s="42" t="s">
        <v>20</v>
      </c>
      <c r="D27" s="15">
        <v>13517.0</v>
      </c>
      <c r="E27" s="49" t="s">
        <v>1365</v>
      </c>
      <c r="F27" s="50" t="s">
        <v>1366</v>
      </c>
      <c r="G27" s="36" t="s">
        <v>1367</v>
      </c>
      <c r="H27" s="49" t="s">
        <v>1368</v>
      </c>
      <c r="I27" s="49" t="s">
        <v>1273</v>
      </c>
      <c r="J27" s="38" t="s">
        <v>1369</v>
      </c>
    </row>
    <row r="28" ht="26.25" customHeight="1">
      <c r="A28" s="12" t="s">
        <v>202</v>
      </c>
      <c r="B28" s="17">
        <v>2025.0</v>
      </c>
      <c r="C28" s="42" t="s">
        <v>1370</v>
      </c>
      <c r="D28" s="15">
        <v>14513.0</v>
      </c>
      <c r="E28" s="49" t="s">
        <v>1371</v>
      </c>
      <c r="F28" s="50" t="s">
        <v>1372</v>
      </c>
      <c r="G28" s="36" t="s">
        <v>1373</v>
      </c>
      <c r="H28" s="49" t="s">
        <v>1374</v>
      </c>
      <c r="I28" s="49" t="s">
        <v>1279</v>
      </c>
      <c r="J28" s="38" t="s">
        <v>1375</v>
      </c>
    </row>
    <row r="29" ht="26.25" customHeight="1">
      <c r="A29" s="12" t="s">
        <v>208</v>
      </c>
      <c r="B29" s="17">
        <v>2025.0</v>
      </c>
      <c r="C29" s="42" t="s">
        <v>1370</v>
      </c>
      <c r="D29" s="15">
        <v>6508.0</v>
      </c>
      <c r="E29" s="49" t="s">
        <v>1337</v>
      </c>
      <c r="F29" s="50" t="s">
        <v>1338</v>
      </c>
      <c r="G29" s="36" t="s">
        <v>1339</v>
      </c>
      <c r="H29" s="49" t="s">
        <v>1376</v>
      </c>
      <c r="I29" s="49" t="s">
        <v>1315</v>
      </c>
      <c r="J29" s="38" t="s">
        <v>1377</v>
      </c>
    </row>
    <row r="30" ht="26.25" customHeight="1">
      <c r="A30" s="12" t="s">
        <v>213</v>
      </c>
      <c r="B30" s="17">
        <v>2025.0</v>
      </c>
      <c r="C30" s="42" t="s">
        <v>1370</v>
      </c>
      <c r="D30" s="15">
        <v>14698.0</v>
      </c>
      <c r="E30" s="49" t="s">
        <v>1378</v>
      </c>
      <c r="F30" s="50" t="s">
        <v>1379</v>
      </c>
      <c r="G30" s="36"/>
      <c r="H30" s="49" t="s">
        <v>1380</v>
      </c>
      <c r="I30" s="49" t="s">
        <v>1279</v>
      </c>
      <c r="J30" s="38" t="s">
        <v>1381</v>
      </c>
    </row>
    <row r="31" ht="26.25" customHeight="1">
      <c r="A31" s="12" t="s">
        <v>215</v>
      </c>
      <c r="B31" s="17">
        <v>2025.0</v>
      </c>
      <c r="C31" s="42" t="s">
        <v>15</v>
      </c>
      <c r="D31" s="15">
        <v>15308.0</v>
      </c>
      <c r="E31" s="49" t="s">
        <v>1382</v>
      </c>
      <c r="F31" s="50" t="s">
        <v>1383</v>
      </c>
      <c r="G31" s="36" t="s">
        <v>1384</v>
      </c>
      <c r="H31" s="78" t="s">
        <v>1385</v>
      </c>
      <c r="I31" s="49" t="s">
        <v>1273</v>
      </c>
      <c r="J31" s="38" t="s">
        <v>1386</v>
      </c>
    </row>
    <row r="32" ht="26.25" customHeight="1">
      <c r="A32" s="12" t="s">
        <v>354</v>
      </c>
      <c r="B32" s="17">
        <v>2025.0</v>
      </c>
      <c r="C32" s="42" t="s">
        <v>18</v>
      </c>
      <c r="D32" s="15">
        <v>16049.0</v>
      </c>
      <c r="E32" s="49" t="s">
        <v>1387</v>
      </c>
      <c r="F32" s="50" t="s">
        <v>1388</v>
      </c>
      <c r="G32" s="36"/>
      <c r="H32" s="78" t="s">
        <v>1389</v>
      </c>
      <c r="I32" s="49" t="s">
        <v>1279</v>
      </c>
      <c r="J32" s="38" t="s">
        <v>1390</v>
      </c>
    </row>
    <row r="33" ht="26.25" customHeight="1">
      <c r="A33" s="12" t="s">
        <v>358</v>
      </c>
      <c r="B33" s="17">
        <v>2025.0</v>
      </c>
      <c r="C33" s="42" t="s">
        <v>21</v>
      </c>
      <c r="D33" s="15">
        <v>9598.0</v>
      </c>
      <c r="E33" s="49" t="s">
        <v>1391</v>
      </c>
      <c r="F33" s="54" t="s">
        <v>1392</v>
      </c>
      <c r="G33" s="36" t="s">
        <v>1349</v>
      </c>
      <c r="H33" s="49" t="s">
        <v>1393</v>
      </c>
      <c r="I33" s="49" t="s">
        <v>1279</v>
      </c>
      <c r="J33" s="38" t="s">
        <v>1351</v>
      </c>
    </row>
    <row r="34" ht="26.25" customHeight="1">
      <c r="A34" s="12" t="s">
        <v>360</v>
      </c>
      <c r="B34" s="20">
        <v>2026.0</v>
      </c>
      <c r="C34" s="79" t="s">
        <v>16</v>
      </c>
      <c r="D34" s="62">
        <v>18986.0</v>
      </c>
      <c r="E34" s="63" t="s">
        <v>1394</v>
      </c>
      <c r="F34" s="64" t="s">
        <v>1395</v>
      </c>
      <c r="G34" s="85" t="s">
        <v>1396</v>
      </c>
      <c r="H34" s="86" t="s">
        <v>1397</v>
      </c>
      <c r="I34" s="63" t="s">
        <v>1279</v>
      </c>
      <c r="J34" s="87" t="s">
        <v>1398</v>
      </c>
    </row>
    <row r="35" ht="26.25" customHeight="1">
      <c r="A35" s="51" t="s">
        <v>222</v>
      </c>
      <c r="C35" s="53"/>
      <c r="D35" s="53"/>
      <c r="E35" s="53" t="str">
        <f t="array" ref="E35">sum(1/countif(E35,E35))</f>
        <v>#REF!</v>
      </c>
      <c r="F35" s="53"/>
      <c r="G35" s="53"/>
      <c r="H35" s="53" t="str">
        <f t="array" ref="H35">sum(1/countif(H35,H35))</f>
        <v>#REF!</v>
      </c>
      <c r="I35" s="53">
        <f t="array" ref="I35">sum(1/countif(I28:I32,I28:I32))</f>
        <v>3</v>
      </c>
      <c r="J35" s="53"/>
    </row>
    <row r="36" ht="26.25" customHeight="1">
      <c r="A36" s="51" t="s">
        <v>223</v>
      </c>
      <c r="C36" s="53"/>
      <c r="D36" s="53"/>
      <c r="E36" s="53">
        <f t="array" ref="E36">sum(1/countif(E5:E34,E5:E34))</f>
        <v>24</v>
      </c>
      <c r="F36" s="53"/>
      <c r="G36" s="53"/>
      <c r="H36" s="53">
        <f t="array" ref="H36">sum(1/countif(H5:H34,H5:H34))</f>
        <v>30</v>
      </c>
      <c r="I36" s="53">
        <f t="array" ref="I36">sum(1/countif(I5:I32,I5:I32))</f>
        <v>3</v>
      </c>
      <c r="J36" s="53"/>
    </row>
  </sheetData>
  <mergeCells count="5">
    <mergeCell ref="A1:J1"/>
    <mergeCell ref="A2:J2"/>
    <mergeCell ref="A3:J3"/>
    <mergeCell ref="A35:B35"/>
    <mergeCell ref="A36:B36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15</v>
      </c>
      <c r="D5" s="35">
        <v>326.0</v>
      </c>
      <c r="E5" s="36" t="s">
        <v>1399</v>
      </c>
      <c r="F5" s="72" t="s">
        <v>1400</v>
      </c>
      <c r="G5" s="37" t="s">
        <v>1401</v>
      </c>
      <c r="H5" s="36" t="s">
        <v>1402</v>
      </c>
      <c r="I5" s="39" t="s">
        <v>1403</v>
      </c>
      <c r="J5" s="39" t="s">
        <v>1404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764.0</v>
      </c>
      <c r="E6" s="36" t="s">
        <v>1405</v>
      </c>
      <c r="F6" s="35" t="s">
        <v>1406</v>
      </c>
      <c r="G6" s="37" t="s">
        <v>1407</v>
      </c>
      <c r="H6" s="38" t="s">
        <v>1408</v>
      </c>
      <c r="I6" s="39" t="s">
        <v>1409</v>
      </c>
      <c r="J6" s="39" t="s">
        <v>1410</v>
      </c>
    </row>
    <row r="7" ht="26.25" customHeight="1">
      <c r="A7" s="12" t="s">
        <v>87</v>
      </c>
      <c r="B7" s="17">
        <v>2021.0</v>
      </c>
      <c r="C7" s="35" t="s">
        <v>15</v>
      </c>
      <c r="D7" s="35">
        <v>946.0</v>
      </c>
      <c r="E7" s="36" t="s">
        <v>1411</v>
      </c>
      <c r="F7" s="72" t="s">
        <v>1412</v>
      </c>
      <c r="G7" s="37" t="s">
        <v>1413</v>
      </c>
      <c r="H7" s="36" t="s">
        <v>1414</v>
      </c>
      <c r="I7" s="39" t="s">
        <v>1415</v>
      </c>
      <c r="J7" s="39" t="s">
        <v>1416</v>
      </c>
    </row>
    <row r="8" ht="26.25" customHeight="1">
      <c r="A8" s="12" t="s">
        <v>94</v>
      </c>
      <c r="B8" s="17">
        <v>2021.0</v>
      </c>
      <c r="C8" s="35" t="s">
        <v>15</v>
      </c>
      <c r="D8" s="35">
        <v>382.0</v>
      </c>
      <c r="E8" s="36" t="s">
        <v>1417</v>
      </c>
      <c r="F8" s="35" t="s">
        <v>1418</v>
      </c>
      <c r="G8" s="37" t="s">
        <v>1419</v>
      </c>
      <c r="H8" s="36" t="s">
        <v>1420</v>
      </c>
      <c r="I8" s="39" t="s">
        <v>1409</v>
      </c>
      <c r="J8" s="39" t="s">
        <v>1421</v>
      </c>
    </row>
    <row r="9" ht="26.25" customHeight="1">
      <c r="A9" s="12" t="s">
        <v>101</v>
      </c>
      <c r="B9" s="17">
        <v>2021.0</v>
      </c>
      <c r="C9" s="35" t="s">
        <v>16</v>
      </c>
      <c r="D9" s="35">
        <v>763.0</v>
      </c>
      <c r="E9" s="36" t="s">
        <v>1422</v>
      </c>
      <c r="F9" s="72" t="s">
        <v>1423</v>
      </c>
      <c r="G9" s="37" t="s">
        <v>1424</v>
      </c>
      <c r="H9" s="36" t="s">
        <v>1425</v>
      </c>
      <c r="I9" s="39" t="s">
        <v>1426</v>
      </c>
      <c r="J9" s="39" t="s">
        <v>1427</v>
      </c>
    </row>
    <row r="10" ht="26.25" customHeight="1">
      <c r="A10" s="12" t="s">
        <v>108</v>
      </c>
      <c r="B10" s="17">
        <v>2021.0</v>
      </c>
      <c r="C10" s="35" t="s">
        <v>16</v>
      </c>
      <c r="D10" s="35">
        <v>931.0</v>
      </c>
      <c r="E10" s="36" t="s">
        <v>1428</v>
      </c>
      <c r="F10" s="72" t="s">
        <v>1429</v>
      </c>
      <c r="G10" s="37" t="s">
        <v>1430</v>
      </c>
      <c r="H10" s="36" t="s">
        <v>1431</v>
      </c>
      <c r="I10" s="39" t="s">
        <v>1426</v>
      </c>
      <c r="J10" s="39" t="s">
        <v>1432</v>
      </c>
    </row>
    <row r="11" ht="26.25" customHeight="1">
      <c r="A11" s="12" t="s">
        <v>113</v>
      </c>
      <c r="B11" s="17">
        <v>2021.0</v>
      </c>
      <c r="C11" s="17" t="s">
        <v>16</v>
      </c>
      <c r="D11" s="17">
        <v>1449.0</v>
      </c>
      <c r="E11" s="36" t="s">
        <v>1433</v>
      </c>
      <c r="F11" s="17" t="s">
        <v>1434</v>
      </c>
      <c r="G11" s="36" t="s">
        <v>1435</v>
      </c>
      <c r="H11" s="36" t="s">
        <v>1436</v>
      </c>
      <c r="I11" s="38" t="s">
        <v>1403</v>
      </c>
      <c r="J11" s="38" t="s">
        <v>1437</v>
      </c>
    </row>
    <row r="12" ht="26.25" customHeight="1">
      <c r="A12" s="12" t="s">
        <v>120</v>
      </c>
      <c r="B12" s="17">
        <v>2021.0</v>
      </c>
      <c r="C12" s="35" t="s">
        <v>16</v>
      </c>
      <c r="D12" s="35">
        <v>1162.0</v>
      </c>
      <c r="E12" s="36" t="s">
        <v>1438</v>
      </c>
      <c r="F12" s="35" t="s">
        <v>1439</v>
      </c>
      <c r="G12" s="37" t="s">
        <v>1440</v>
      </c>
      <c r="H12" s="36" t="s">
        <v>1441</v>
      </c>
      <c r="I12" s="39" t="s">
        <v>1426</v>
      </c>
      <c r="J12" s="39" t="s">
        <v>1442</v>
      </c>
    </row>
    <row r="13" ht="26.25" customHeight="1">
      <c r="A13" s="12" t="s">
        <v>126</v>
      </c>
      <c r="B13" s="17">
        <v>2021.0</v>
      </c>
      <c r="C13" s="35" t="s">
        <v>16</v>
      </c>
      <c r="D13" s="35">
        <v>1209.0</v>
      </c>
      <c r="E13" s="36" t="s">
        <v>1443</v>
      </c>
      <c r="F13" s="35" t="s">
        <v>1444</v>
      </c>
      <c r="G13" s="37" t="s">
        <v>1445</v>
      </c>
      <c r="H13" s="36" t="s">
        <v>1446</v>
      </c>
      <c r="I13" s="39" t="s">
        <v>1447</v>
      </c>
      <c r="J13" s="39" t="s">
        <v>1448</v>
      </c>
    </row>
    <row r="14" ht="26.25" customHeight="1">
      <c r="A14" s="12" t="s">
        <v>132</v>
      </c>
      <c r="B14" s="17">
        <v>2021.0</v>
      </c>
      <c r="C14" s="35" t="s">
        <v>16</v>
      </c>
      <c r="D14" s="35">
        <v>494.0</v>
      </c>
      <c r="E14" s="36" t="s">
        <v>1449</v>
      </c>
      <c r="F14" s="72" t="s">
        <v>1450</v>
      </c>
      <c r="G14" s="37" t="s">
        <v>1451</v>
      </c>
      <c r="H14" s="36" t="s">
        <v>1452</v>
      </c>
      <c r="I14" s="39" t="s">
        <v>1447</v>
      </c>
      <c r="J14" s="39" t="s">
        <v>1453</v>
      </c>
    </row>
    <row r="15" ht="26.25" customHeight="1">
      <c r="A15" s="12" t="s">
        <v>138</v>
      </c>
      <c r="B15" s="17">
        <v>2021.0</v>
      </c>
      <c r="C15" s="35" t="s">
        <v>16</v>
      </c>
      <c r="D15" s="35">
        <v>1409.0</v>
      </c>
      <c r="E15" s="36" t="s">
        <v>1454</v>
      </c>
      <c r="F15" s="35" t="s">
        <v>1455</v>
      </c>
      <c r="G15" s="37" t="s">
        <v>1456</v>
      </c>
      <c r="H15" s="36" t="s">
        <v>1457</v>
      </c>
      <c r="I15" s="39" t="s">
        <v>1409</v>
      </c>
      <c r="J15" s="39" t="s">
        <v>1458</v>
      </c>
    </row>
    <row r="16" ht="26.25" customHeight="1">
      <c r="A16" s="12" t="s">
        <v>144</v>
      </c>
      <c r="B16" s="17">
        <v>2021.0</v>
      </c>
      <c r="C16" s="35" t="s">
        <v>16</v>
      </c>
      <c r="D16" s="35">
        <v>1294.0</v>
      </c>
      <c r="E16" s="36" t="s">
        <v>1459</v>
      </c>
      <c r="F16" s="35" t="s">
        <v>1460</v>
      </c>
      <c r="G16" s="37" t="s">
        <v>1461</v>
      </c>
      <c r="H16" s="36" t="s">
        <v>1462</v>
      </c>
      <c r="I16" s="39" t="s">
        <v>1415</v>
      </c>
      <c r="J16" s="39" t="s">
        <v>1463</v>
      </c>
    </row>
    <row r="17" ht="26.25" customHeight="1">
      <c r="A17" s="12" t="s">
        <v>146</v>
      </c>
      <c r="B17" s="17">
        <v>2021.0</v>
      </c>
      <c r="C17" s="35" t="s">
        <v>16</v>
      </c>
      <c r="D17" s="35">
        <v>1041.0</v>
      </c>
      <c r="E17" s="36" t="s">
        <v>1464</v>
      </c>
      <c r="F17" s="72" t="s">
        <v>1465</v>
      </c>
      <c r="G17" s="37" t="s">
        <v>1466</v>
      </c>
      <c r="H17" s="36" t="s">
        <v>1467</v>
      </c>
      <c r="I17" s="39" t="s">
        <v>1409</v>
      </c>
      <c r="J17" s="39" t="s">
        <v>1468</v>
      </c>
    </row>
    <row r="18" ht="26.25" customHeight="1">
      <c r="A18" s="12" t="s">
        <v>151</v>
      </c>
      <c r="B18" s="17">
        <v>2021.0</v>
      </c>
      <c r="C18" s="35" t="s">
        <v>16</v>
      </c>
      <c r="D18" s="35">
        <v>1428.0</v>
      </c>
      <c r="E18" s="36" t="s">
        <v>1469</v>
      </c>
      <c r="F18" s="35" t="s">
        <v>1470</v>
      </c>
      <c r="G18" s="37" t="s">
        <v>1471</v>
      </c>
      <c r="H18" s="36" t="s">
        <v>1472</v>
      </c>
      <c r="I18" s="39" t="s">
        <v>1403</v>
      </c>
      <c r="J18" s="39" t="s">
        <v>1473</v>
      </c>
    </row>
    <row r="19" ht="26.25" customHeight="1">
      <c r="A19" s="12" t="s">
        <v>153</v>
      </c>
      <c r="B19" s="17">
        <v>2021.0</v>
      </c>
      <c r="C19" s="35" t="s">
        <v>17</v>
      </c>
      <c r="D19" s="35">
        <v>353.0</v>
      </c>
      <c r="E19" s="36" t="s">
        <v>1474</v>
      </c>
      <c r="F19" s="35" t="s">
        <v>1475</v>
      </c>
      <c r="G19" s="37" t="s">
        <v>1476</v>
      </c>
      <c r="H19" s="36" t="s">
        <v>1477</v>
      </c>
      <c r="I19" s="39" t="s">
        <v>1426</v>
      </c>
      <c r="J19" s="39" t="s">
        <v>1478</v>
      </c>
    </row>
    <row r="20" ht="26.25" customHeight="1">
      <c r="A20" s="12" t="s">
        <v>159</v>
      </c>
      <c r="B20" s="17">
        <v>2021.0</v>
      </c>
      <c r="C20" s="35" t="s">
        <v>17</v>
      </c>
      <c r="D20" s="35">
        <v>1671.0</v>
      </c>
      <c r="E20" s="36" t="s">
        <v>1479</v>
      </c>
      <c r="F20" s="35" t="s">
        <v>1480</v>
      </c>
      <c r="G20" s="37" t="s">
        <v>1481</v>
      </c>
      <c r="H20" s="36" t="s">
        <v>1482</v>
      </c>
      <c r="I20" s="39" t="s">
        <v>1409</v>
      </c>
      <c r="J20" s="39" t="s">
        <v>1483</v>
      </c>
    </row>
    <row r="21" ht="26.25" customHeight="1">
      <c r="A21" s="12" t="s">
        <v>165</v>
      </c>
      <c r="B21" s="17">
        <v>2021.0</v>
      </c>
      <c r="C21" s="35" t="s">
        <v>17</v>
      </c>
      <c r="D21" s="35">
        <v>1418.0</v>
      </c>
      <c r="E21" s="36" t="s">
        <v>1484</v>
      </c>
      <c r="F21" s="35" t="s">
        <v>1485</v>
      </c>
      <c r="G21" s="37" t="s">
        <v>1486</v>
      </c>
      <c r="H21" s="36" t="s">
        <v>1487</v>
      </c>
      <c r="I21" s="39" t="s">
        <v>1409</v>
      </c>
      <c r="J21" s="39" t="s">
        <v>1488</v>
      </c>
    </row>
    <row r="22" ht="26.25" customHeight="1">
      <c r="A22" s="12" t="s">
        <v>171</v>
      </c>
      <c r="B22" s="17">
        <v>2021.0</v>
      </c>
      <c r="C22" s="35" t="s">
        <v>17</v>
      </c>
      <c r="D22" s="35">
        <v>1725.0</v>
      </c>
      <c r="E22" s="36" t="s">
        <v>1489</v>
      </c>
      <c r="F22" s="35" t="s">
        <v>1490</v>
      </c>
      <c r="G22" s="37" t="s">
        <v>1491</v>
      </c>
      <c r="H22" s="36" t="s">
        <v>1492</v>
      </c>
      <c r="I22" s="39" t="s">
        <v>1409</v>
      </c>
      <c r="J22" s="39" t="s">
        <v>1493</v>
      </c>
    </row>
    <row r="23" ht="26.25" customHeight="1">
      <c r="A23" s="12" t="s">
        <v>173</v>
      </c>
      <c r="B23" s="17">
        <v>2021.0</v>
      </c>
      <c r="C23" s="35" t="s">
        <v>17</v>
      </c>
      <c r="D23" s="35">
        <v>1611.0</v>
      </c>
      <c r="E23" s="36" t="s">
        <v>1494</v>
      </c>
      <c r="F23" s="35" t="s">
        <v>1495</v>
      </c>
      <c r="G23" s="37" t="s">
        <v>1496</v>
      </c>
      <c r="H23" s="36" t="s">
        <v>1497</v>
      </c>
      <c r="I23" s="39" t="s">
        <v>1447</v>
      </c>
      <c r="J23" s="39" t="s">
        <v>1498</v>
      </c>
    </row>
    <row r="24" ht="26.25" customHeight="1">
      <c r="A24" s="12" t="s">
        <v>178</v>
      </c>
      <c r="B24" s="17">
        <v>2021.0</v>
      </c>
      <c r="C24" s="40" t="s">
        <v>18</v>
      </c>
      <c r="D24" s="40">
        <v>1389.0</v>
      </c>
      <c r="E24" s="38" t="s">
        <v>1499</v>
      </c>
      <c r="F24" s="40" t="s">
        <v>1500</v>
      </c>
      <c r="G24" s="39" t="s">
        <v>1501</v>
      </c>
      <c r="H24" s="38" t="s">
        <v>1502</v>
      </c>
      <c r="I24" s="39" t="s">
        <v>1447</v>
      </c>
      <c r="J24" s="39" t="s">
        <v>1503</v>
      </c>
    </row>
    <row r="25" ht="26.25" customHeight="1">
      <c r="A25" s="12" t="s">
        <v>184</v>
      </c>
      <c r="B25" s="17">
        <v>2021.0</v>
      </c>
      <c r="C25" s="40" t="s">
        <v>18</v>
      </c>
      <c r="D25" s="40">
        <v>1542.0</v>
      </c>
      <c r="E25" s="38" t="s">
        <v>1504</v>
      </c>
      <c r="F25" s="40" t="s">
        <v>1505</v>
      </c>
      <c r="G25" s="39" t="s">
        <v>1506</v>
      </c>
      <c r="H25" s="38" t="s">
        <v>1507</v>
      </c>
      <c r="I25" s="39" t="s">
        <v>1447</v>
      </c>
      <c r="J25" s="39" t="s">
        <v>1508</v>
      </c>
    </row>
    <row r="26" ht="26.25" customHeight="1">
      <c r="A26" s="12" t="s">
        <v>190</v>
      </c>
      <c r="B26" s="17">
        <v>2021.0</v>
      </c>
      <c r="C26" s="35" t="s">
        <v>18</v>
      </c>
      <c r="D26" s="35">
        <v>528.0</v>
      </c>
      <c r="E26" s="36" t="s">
        <v>1509</v>
      </c>
      <c r="F26" s="35" t="s">
        <v>1510</v>
      </c>
      <c r="G26" s="37" t="s">
        <v>1511</v>
      </c>
      <c r="H26" s="38" t="s">
        <v>1512</v>
      </c>
      <c r="I26" s="39" t="s">
        <v>1447</v>
      </c>
      <c r="J26" s="39" t="s">
        <v>1513</v>
      </c>
    </row>
    <row r="27" ht="26.25" customHeight="1">
      <c r="A27" s="12" t="s">
        <v>196</v>
      </c>
      <c r="B27" s="17">
        <v>2021.0</v>
      </c>
      <c r="C27" s="40" t="s">
        <v>18</v>
      </c>
      <c r="D27" s="40">
        <v>2035.0</v>
      </c>
      <c r="E27" s="38" t="s">
        <v>1514</v>
      </c>
      <c r="F27" s="40" t="s">
        <v>1515</v>
      </c>
      <c r="G27" s="39" t="s">
        <v>1516</v>
      </c>
      <c r="H27" s="38" t="s">
        <v>1517</v>
      </c>
      <c r="I27" s="39" t="s">
        <v>1447</v>
      </c>
      <c r="J27" s="39" t="s">
        <v>1518</v>
      </c>
    </row>
    <row r="28" ht="26.25" customHeight="1">
      <c r="A28" s="12" t="s">
        <v>202</v>
      </c>
      <c r="B28" s="17">
        <v>2021.0</v>
      </c>
      <c r="C28" s="40" t="s">
        <v>18</v>
      </c>
      <c r="D28" s="40">
        <v>1389.0</v>
      </c>
      <c r="E28" s="38" t="s">
        <v>1499</v>
      </c>
      <c r="F28" s="40" t="s">
        <v>1500</v>
      </c>
      <c r="G28" s="39" t="s">
        <v>1501</v>
      </c>
      <c r="H28" s="38" t="s">
        <v>1519</v>
      </c>
      <c r="I28" s="39" t="s">
        <v>1447</v>
      </c>
      <c r="J28" s="39" t="s">
        <v>1503</v>
      </c>
    </row>
    <row r="29" ht="26.25" customHeight="1">
      <c r="A29" s="12" t="s">
        <v>208</v>
      </c>
      <c r="B29" s="17">
        <v>2021.0</v>
      </c>
      <c r="C29" s="40" t="s">
        <v>18</v>
      </c>
      <c r="D29" s="40">
        <v>1389.0</v>
      </c>
      <c r="E29" s="38" t="s">
        <v>1499</v>
      </c>
      <c r="F29" s="40" t="s">
        <v>1500</v>
      </c>
      <c r="G29" s="39" t="s">
        <v>1501</v>
      </c>
      <c r="H29" s="38" t="s">
        <v>1520</v>
      </c>
      <c r="I29" s="39" t="s">
        <v>1447</v>
      </c>
      <c r="J29" s="39" t="s">
        <v>1503</v>
      </c>
    </row>
    <row r="30" ht="26.25" customHeight="1">
      <c r="A30" s="12" t="s">
        <v>213</v>
      </c>
      <c r="B30" s="17">
        <v>2021.0</v>
      </c>
      <c r="C30" s="40" t="s">
        <v>18</v>
      </c>
      <c r="D30" s="40">
        <v>512.0</v>
      </c>
      <c r="E30" s="38" t="s">
        <v>1521</v>
      </c>
      <c r="F30" s="40" t="s">
        <v>1522</v>
      </c>
      <c r="G30" s="39" t="s">
        <v>1523</v>
      </c>
      <c r="H30" s="38" t="s">
        <v>1524</v>
      </c>
      <c r="I30" s="39" t="s">
        <v>1409</v>
      </c>
      <c r="J30" s="39" t="s">
        <v>1525</v>
      </c>
    </row>
    <row r="31" ht="26.25" customHeight="1">
      <c r="A31" s="12" t="s">
        <v>215</v>
      </c>
      <c r="B31" s="17">
        <v>2021.0</v>
      </c>
      <c r="C31" s="40" t="s">
        <v>18</v>
      </c>
      <c r="D31" s="35">
        <v>1765.0</v>
      </c>
      <c r="E31" s="36" t="s">
        <v>1526</v>
      </c>
      <c r="F31" s="35" t="s">
        <v>1527</v>
      </c>
      <c r="G31" s="37" t="s">
        <v>1528</v>
      </c>
      <c r="H31" s="36" t="s">
        <v>1529</v>
      </c>
      <c r="I31" s="39" t="s">
        <v>1447</v>
      </c>
      <c r="J31" s="39" t="s">
        <v>1530</v>
      </c>
    </row>
    <row r="32" ht="26.25" customHeight="1">
      <c r="A32" s="12" t="s">
        <v>354</v>
      </c>
      <c r="B32" s="17">
        <v>2021.0</v>
      </c>
      <c r="C32" s="40" t="s">
        <v>19</v>
      </c>
      <c r="D32" s="40">
        <v>2145.0</v>
      </c>
      <c r="E32" s="38" t="s">
        <v>1531</v>
      </c>
      <c r="F32" s="40" t="s">
        <v>1532</v>
      </c>
      <c r="G32" s="39" t="s">
        <v>1533</v>
      </c>
      <c r="H32" s="38" t="s">
        <v>1534</v>
      </c>
      <c r="I32" s="39" t="s">
        <v>1403</v>
      </c>
      <c r="J32" s="39" t="s">
        <v>1535</v>
      </c>
    </row>
    <row r="33" ht="26.25" customHeight="1">
      <c r="A33" s="12" t="s">
        <v>358</v>
      </c>
      <c r="B33" s="17">
        <v>2021.0</v>
      </c>
      <c r="C33" s="35" t="s">
        <v>19</v>
      </c>
      <c r="D33" s="35">
        <v>1428.0</v>
      </c>
      <c r="E33" s="36" t="s">
        <v>1469</v>
      </c>
      <c r="F33" s="40" t="s">
        <v>1536</v>
      </c>
      <c r="G33" s="37" t="s">
        <v>1471</v>
      </c>
      <c r="H33" s="38" t="s">
        <v>1537</v>
      </c>
      <c r="I33" s="39" t="s">
        <v>1403</v>
      </c>
      <c r="J33" s="39" t="s">
        <v>1473</v>
      </c>
    </row>
    <row r="34" ht="26.25" customHeight="1">
      <c r="A34" s="12" t="s">
        <v>360</v>
      </c>
      <c r="B34" s="17">
        <v>2021.0</v>
      </c>
      <c r="C34" s="40" t="s">
        <v>19</v>
      </c>
      <c r="D34" s="40">
        <v>1006.0</v>
      </c>
      <c r="E34" s="38" t="s">
        <v>1538</v>
      </c>
      <c r="F34" s="40" t="s">
        <v>1539</v>
      </c>
      <c r="G34" s="39" t="s">
        <v>1540</v>
      </c>
      <c r="H34" s="38" t="s">
        <v>1541</v>
      </c>
      <c r="I34" s="39" t="s">
        <v>1403</v>
      </c>
      <c r="J34" s="39" t="s">
        <v>1542</v>
      </c>
    </row>
    <row r="35" ht="26.25" customHeight="1">
      <c r="A35" s="12" t="s">
        <v>366</v>
      </c>
      <c r="B35" s="17">
        <v>2021.0</v>
      </c>
      <c r="C35" s="40" t="s">
        <v>19</v>
      </c>
      <c r="D35" s="40">
        <v>2401.0</v>
      </c>
      <c r="E35" s="38" t="s">
        <v>1543</v>
      </c>
      <c r="F35" s="40" t="s">
        <v>1544</v>
      </c>
      <c r="G35" s="39" t="s">
        <v>1545</v>
      </c>
      <c r="H35" s="38" t="s">
        <v>1546</v>
      </c>
      <c r="I35" s="39" t="s">
        <v>1426</v>
      </c>
      <c r="J35" s="39" t="s">
        <v>1547</v>
      </c>
    </row>
    <row r="36" ht="26.25" customHeight="1">
      <c r="A36" s="12" t="s">
        <v>372</v>
      </c>
      <c r="B36" s="17">
        <v>2021.0</v>
      </c>
      <c r="C36" s="40" t="s">
        <v>19</v>
      </c>
      <c r="D36" s="40">
        <v>2204.0</v>
      </c>
      <c r="E36" s="38" t="s">
        <v>1548</v>
      </c>
      <c r="F36" s="40" t="s">
        <v>1549</v>
      </c>
      <c r="G36" s="39" t="s">
        <v>1550</v>
      </c>
      <c r="H36" s="38" t="s">
        <v>1551</v>
      </c>
      <c r="I36" s="39" t="s">
        <v>1409</v>
      </c>
      <c r="J36" s="39" t="s">
        <v>1552</v>
      </c>
    </row>
    <row r="37" ht="26.25" customHeight="1">
      <c r="A37" s="12" t="s">
        <v>377</v>
      </c>
      <c r="B37" s="17">
        <v>2021.0</v>
      </c>
      <c r="C37" s="40" t="s">
        <v>19</v>
      </c>
      <c r="D37" s="40">
        <v>2691.0</v>
      </c>
      <c r="E37" s="38" t="s">
        <v>1553</v>
      </c>
      <c r="F37" s="40" t="s">
        <v>1554</v>
      </c>
      <c r="G37" s="39" t="s">
        <v>1555</v>
      </c>
      <c r="H37" s="38" t="s">
        <v>1556</v>
      </c>
      <c r="I37" s="39" t="s">
        <v>1403</v>
      </c>
      <c r="J37" s="39" t="s">
        <v>1557</v>
      </c>
    </row>
    <row r="38" ht="26.25" customHeight="1">
      <c r="A38" s="12" t="s">
        <v>383</v>
      </c>
      <c r="B38" s="17">
        <v>2021.0</v>
      </c>
      <c r="C38" s="35" t="s">
        <v>19</v>
      </c>
      <c r="D38" s="35">
        <v>2186.0</v>
      </c>
      <c r="E38" s="36" t="s">
        <v>1558</v>
      </c>
      <c r="F38" s="40" t="s">
        <v>1559</v>
      </c>
      <c r="G38" s="39" t="s">
        <v>1560</v>
      </c>
      <c r="H38" s="38" t="s">
        <v>1561</v>
      </c>
      <c r="I38" s="39" t="s">
        <v>1409</v>
      </c>
      <c r="J38" s="39" t="s">
        <v>1562</v>
      </c>
    </row>
    <row r="39" ht="26.25" customHeight="1">
      <c r="A39" s="12" t="s">
        <v>390</v>
      </c>
      <c r="B39" s="17">
        <v>2021.0</v>
      </c>
      <c r="C39" s="40" t="s">
        <v>19</v>
      </c>
      <c r="D39" s="40">
        <v>2443.0</v>
      </c>
      <c r="E39" s="38" t="s">
        <v>1563</v>
      </c>
      <c r="F39" s="41" t="s">
        <v>1564</v>
      </c>
      <c r="G39" s="39" t="s">
        <v>1565</v>
      </c>
      <c r="H39" s="38" t="s">
        <v>1566</v>
      </c>
      <c r="I39" s="39" t="s">
        <v>1409</v>
      </c>
      <c r="J39" s="39" t="s">
        <v>1567</v>
      </c>
    </row>
    <row r="40" ht="26.25" customHeight="1">
      <c r="A40" s="12" t="s">
        <v>393</v>
      </c>
      <c r="B40" s="17">
        <v>2021.0</v>
      </c>
      <c r="C40" s="40" t="s">
        <v>20</v>
      </c>
      <c r="D40" s="40">
        <v>2530.0</v>
      </c>
      <c r="E40" s="38" t="s">
        <v>1568</v>
      </c>
      <c r="F40" s="40" t="s">
        <v>1569</v>
      </c>
      <c r="G40" s="37" t="s">
        <v>1570</v>
      </c>
      <c r="H40" s="36" t="s">
        <v>1571</v>
      </c>
      <c r="I40" s="39" t="s">
        <v>1409</v>
      </c>
      <c r="J40" s="39" t="s">
        <v>1572</v>
      </c>
    </row>
    <row r="41" ht="26.25" customHeight="1">
      <c r="A41" s="12" t="s">
        <v>399</v>
      </c>
      <c r="B41" s="17">
        <v>2021.0</v>
      </c>
      <c r="C41" s="40" t="s">
        <v>20</v>
      </c>
      <c r="D41" s="40">
        <v>1389.0</v>
      </c>
      <c r="E41" s="38" t="s">
        <v>1499</v>
      </c>
      <c r="F41" s="40" t="s">
        <v>1500</v>
      </c>
      <c r="G41" s="39" t="s">
        <v>1501</v>
      </c>
      <c r="H41" s="38" t="s">
        <v>1573</v>
      </c>
      <c r="I41" s="39" t="s">
        <v>1447</v>
      </c>
      <c r="J41" s="39" t="s">
        <v>1503</v>
      </c>
    </row>
    <row r="42" ht="26.25" customHeight="1">
      <c r="A42" s="12" t="s">
        <v>404</v>
      </c>
      <c r="B42" s="17">
        <v>2021.0</v>
      </c>
      <c r="C42" s="40" t="s">
        <v>20</v>
      </c>
      <c r="D42" s="35">
        <v>1488.0</v>
      </c>
      <c r="E42" s="36" t="s">
        <v>1574</v>
      </c>
      <c r="F42" s="40" t="s">
        <v>1575</v>
      </c>
      <c r="G42" s="37" t="s">
        <v>1576</v>
      </c>
      <c r="H42" s="36" t="s">
        <v>1577</v>
      </c>
      <c r="I42" s="39" t="s">
        <v>1415</v>
      </c>
      <c r="J42" s="39" t="s">
        <v>1578</v>
      </c>
    </row>
    <row r="43" ht="26.25" customHeight="1">
      <c r="A43" s="12" t="s">
        <v>409</v>
      </c>
      <c r="B43" s="17">
        <v>2021.0</v>
      </c>
      <c r="C43" s="40" t="s">
        <v>21</v>
      </c>
      <c r="D43" s="40">
        <v>3142.0</v>
      </c>
      <c r="E43" s="38" t="s">
        <v>1579</v>
      </c>
      <c r="F43" s="40" t="s">
        <v>1580</v>
      </c>
      <c r="G43" s="39" t="s">
        <v>1581</v>
      </c>
      <c r="H43" s="38" t="s">
        <v>1582</v>
      </c>
      <c r="I43" s="39" t="s">
        <v>1409</v>
      </c>
      <c r="J43" s="39" t="s">
        <v>1583</v>
      </c>
    </row>
    <row r="44" ht="26.25" customHeight="1">
      <c r="A44" s="12" t="s">
        <v>415</v>
      </c>
      <c r="B44" s="17">
        <v>2021.0</v>
      </c>
      <c r="C44" s="35" t="s">
        <v>21</v>
      </c>
      <c r="D44" s="40">
        <v>2893.0</v>
      </c>
      <c r="E44" s="38" t="s">
        <v>1584</v>
      </c>
      <c r="F44" s="40" t="s">
        <v>1585</v>
      </c>
      <c r="G44" s="39" t="s">
        <v>1586</v>
      </c>
      <c r="H44" s="38" t="s">
        <v>1587</v>
      </c>
      <c r="I44" s="39" t="s">
        <v>1447</v>
      </c>
      <c r="J44" s="39" t="s">
        <v>1588</v>
      </c>
    </row>
    <row r="45" ht="26.25" customHeight="1">
      <c r="A45" s="12" t="s">
        <v>421</v>
      </c>
      <c r="B45" s="17">
        <v>2021.0</v>
      </c>
      <c r="C45" s="35" t="s">
        <v>21</v>
      </c>
      <c r="D45" s="35">
        <v>2186.0</v>
      </c>
      <c r="E45" s="36" t="s">
        <v>1558</v>
      </c>
      <c r="F45" s="40" t="s">
        <v>1559</v>
      </c>
      <c r="G45" s="39" t="s">
        <v>1560</v>
      </c>
      <c r="H45" s="36" t="s">
        <v>1589</v>
      </c>
      <c r="I45" s="39" t="s">
        <v>1409</v>
      </c>
      <c r="J45" s="39" t="s">
        <v>1562</v>
      </c>
    </row>
    <row r="46" ht="26.25" customHeight="1">
      <c r="A46" s="12" t="s">
        <v>426</v>
      </c>
      <c r="B46" s="17">
        <v>2021.0</v>
      </c>
      <c r="C46" s="35" t="s">
        <v>21</v>
      </c>
      <c r="D46" s="35">
        <v>2186.0</v>
      </c>
      <c r="E46" s="36" t="s">
        <v>1558</v>
      </c>
      <c r="F46" s="40" t="s">
        <v>1559</v>
      </c>
      <c r="G46" s="39" t="s">
        <v>1560</v>
      </c>
      <c r="H46" s="36" t="s">
        <v>1590</v>
      </c>
      <c r="I46" s="39" t="s">
        <v>1426</v>
      </c>
      <c r="J46" s="39" t="s">
        <v>1562</v>
      </c>
    </row>
    <row r="47" ht="26.25" customHeight="1">
      <c r="A47" s="12" t="s">
        <v>432</v>
      </c>
      <c r="B47" s="17">
        <v>2021.0</v>
      </c>
      <c r="C47" s="35" t="s">
        <v>21</v>
      </c>
      <c r="D47" s="35">
        <v>2186.0</v>
      </c>
      <c r="E47" s="36" t="s">
        <v>1558</v>
      </c>
      <c r="F47" s="40" t="s">
        <v>1559</v>
      </c>
      <c r="G47" s="39" t="s">
        <v>1560</v>
      </c>
      <c r="H47" s="36" t="s">
        <v>1591</v>
      </c>
      <c r="I47" s="39" t="s">
        <v>1409</v>
      </c>
      <c r="J47" s="39" t="s">
        <v>1562</v>
      </c>
    </row>
    <row r="48" ht="26.25" customHeight="1">
      <c r="A48" s="12" t="s">
        <v>437</v>
      </c>
      <c r="B48" s="17">
        <v>2021.0</v>
      </c>
      <c r="C48" s="40" t="s">
        <v>21</v>
      </c>
      <c r="D48" s="40">
        <v>3162.0</v>
      </c>
      <c r="E48" s="38" t="s">
        <v>1592</v>
      </c>
      <c r="F48" s="40" t="s">
        <v>1593</v>
      </c>
      <c r="G48" s="39" t="s">
        <v>1594</v>
      </c>
      <c r="H48" s="38" t="s">
        <v>1595</v>
      </c>
      <c r="I48" s="39" t="s">
        <v>1447</v>
      </c>
      <c r="J48" s="39" t="s">
        <v>1596</v>
      </c>
    </row>
    <row r="49" ht="26.25" customHeight="1">
      <c r="A49" s="12" t="s">
        <v>441</v>
      </c>
      <c r="B49" s="17">
        <v>2021.0</v>
      </c>
      <c r="C49" s="35" t="s">
        <v>21</v>
      </c>
      <c r="D49" s="35">
        <v>2690.0</v>
      </c>
      <c r="E49" s="36" t="s">
        <v>1597</v>
      </c>
      <c r="F49" s="40" t="s">
        <v>1598</v>
      </c>
      <c r="G49" s="39" t="s">
        <v>1599</v>
      </c>
      <c r="H49" s="38" t="s">
        <v>1600</v>
      </c>
      <c r="I49" s="39" t="s">
        <v>1409</v>
      </c>
      <c r="J49" s="39" t="s">
        <v>1601</v>
      </c>
    </row>
    <row r="50" ht="26.25" customHeight="1">
      <c r="A50" s="12" t="s">
        <v>445</v>
      </c>
      <c r="B50" s="17">
        <v>2021.0</v>
      </c>
      <c r="C50" s="40" t="s">
        <v>21</v>
      </c>
      <c r="D50" s="40">
        <v>3239.0</v>
      </c>
      <c r="E50" s="38" t="s">
        <v>1602</v>
      </c>
      <c r="F50" s="41" t="s">
        <v>1603</v>
      </c>
      <c r="G50" s="39" t="s">
        <v>1604</v>
      </c>
      <c r="H50" s="38" t="s">
        <v>1605</v>
      </c>
      <c r="I50" s="39" t="s">
        <v>1409</v>
      </c>
      <c r="J50" s="39" t="s">
        <v>1606</v>
      </c>
    </row>
    <row r="51" ht="26.25" customHeight="1">
      <c r="A51" s="12" t="s">
        <v>451</v>
      </c>
      <c r="B51" s="17">
        <v>2021.0</v>
      </c>
      <c r="C51" s="40" t="s">
        <v>21</v>
      </c>
      <c r="D51" s="40">
        <v>3145.0</v>
      </c>
      <c r="E51" s="38" t="s">
        <v>1607</v>
      </c>
      <c r="F51" s="40" t="s">
        <v>1608</v>
      </c>
      <c r="G51" s="39" t="s">
        <v>1609</v>
      </c>
      <c r="H51" s="38" t="s">
        <v>1610</v>
      </c>
      <c r="I51" s="39" t="s">
        <v>1447</v>
      </c>
      <c r="J51" s="39" t="s">
        <v>1611</v>
      </c>
    </row>
    <row r="52" ht="26.25" customHeight="1">
      <c r="A52" s="12" t="s">
        <v>457</v>
      </c>
      <c r="B52" s="17">
        <v>2021.0</v>
      </c>
      <c r="C52" s="35" t="s">
        <v>21</v>
      </c>
      <c r="D52" s="35">
        <v>2186.0</v>
      </c>
      <c r="E52" s="36" t="s">
        <v>1558</v>
      </c>
      <c r="F52" s="40" t="s">
        <v>1559</v>
      </c>
      <c r="G52" s="39" t="s">
        <v>1560</v>
      </c>
      <c r="H52" s="36" t="s">
        <v>1612</v>
      </c>
      <c r="I52" s="39" t="s">
        <v>1409</v>
      </c>
      <c r="J52" s="39" t="s">
        <v>1562</v>
      </c>
    </row>
    <row r="53" ht="26.25" customHeight="1">
      <c r="A53" s="12" t="s">
        <v>463</v>
      </c>
      <c r="B53" s="17">
        <v>2021.0</v>
      </c>
      <c r="C53" s="40" t="s">
        <v>21</v>
      </c>
      <c r="D53" s="40">
        <v>3086.0</v>
      </c>
      <c r="E53" s="38" t="s">
        <v>1613</v>
      </c>
      <c r="F53" s="41" t="s">
        <v>1614</v>
      </c>
      <c r="G53" s="39" t="s">
        <v>1615</v>
      </c>
      <c r="H53" s="38" t="s">
        <v>1616</v>
      </c>
      <c r="I53" s="39" t="s">
        <v>1409</v>
      </c>
      <c r="J53" s="39" t="s">
        <v>1617</v>
      </c>
    </row>
    <row r="54" ht="26.25" customHeight="1">
      <c r="A54" s="12" t="s">
        <v>468</v>
      </c>
      <c r="B54" s="17">
        <v>2021.0</v>
      </c>
      <c r="C54" s="35" t="s">
        <v>22</v>
      </c>
      <c r="D54" s="35">
        <v>3497.0</v>
      </c>
      <c r="E54" s="36" t="s">
        <v>1618</v>
      </c>
      <c r="F54" s="40" t="s">
        <v>1619</v>
      </c>
      <c r="G54" s="39" t="s">
        <v>1620</v>
      </c>
      <c r="H54" s="38" t="s">
        <v>1621</v>
      </c>
      <c r="I54" s="39" t="s">
        <v>1403</v>
      </c>
      <c r="J54" s="39" t="s">
        <v>1622</v>
      </c>
    </row>
    <row r="55" ht="26.25" customHeight="1">
      <c r="A55" s="12" t="s">
        <v>473</v>
      </c>
      <c r="B55" s="17">
        <v>2021.0</v>
      </c>
      <c r="C55" s="35" t="s">
        <v>22</v>
      </c>
      <c r="D55" s="40">
        <v>3656.0</v>
      </c>
      <c r="E55" s="38" t="s">
        <v>1623</v>
      </c>
      <c r="F55" s="40" t="s">
        <v>1624</v>
      </c>
      <c r="G55" s="39" t="s">
        <v>1625</v>
      </c>
      <c r="H55" s="38" t="s">
        <v>1626</v>
      </c>
      <c r="I55" s="39" t="s">
        <v>1403</v>
      </c>
      <c r="J55" s="39" t="s">
        <v>1627</v>
      </c>
    </row>
    <row r="56" ht="26.25" customHeight="1">
      <c r="A56" s="12" t="s">
        <v>479</v>
      </c>
      <c r="B56" s="17">
        <v>2021.0</v>
      </c>
      <c r="C56" s="35" t="s">
        <v>22</v>
      </c>
      <c r="D56" s="35">
        <v>3371.0</v>
      </c>
      <c r="E56" s="36" t="s">
        <v>1628</v>
      </c>
      <c r="F56" s="35" t="s">
        <v>1629</v>
      </c>
      <c r="G56" s="39" t="s">
        <v>1630</v>
      </c>
      <c r="H56" s="38" t="s">
        <v>1631</v>
      </c>
      <c r="I56" s="39" t="s">
        <v>1409</v>
      </c>
      <c r="J56" s="39" t="s">
        <v>1632</v>
      </c>
    </row>
    <row r="57" ht="26.25" customHeight="1">
      <c r="A57" s="12" t="s">
        <v>485</v>
      </c>
      <c r="B57" s="17">
        <v>2021.0</v>
      </c>
      <c r="C57" s="35" t="s">
        <v>22</v>
      </c>
      <c r="D57" s="35">
        <v>2967.0</v>
      </c>
      <c r="E57" s="36" t="s">
        <v>1633</v>
      </c>
      <c r="F57" s="40" t="s">
        <v>1634</v>
      </c>
      <c r="G57" s="39" t="s">
        <v>1635</v>
      </c>
      <c r="H57" s="38" t="s">
        <v>1636</v>
      </c>
      <c r="I57" s="39" t="s">
        <v>1409</v>
      </c>
      <c r="J57" s="39" t="s">
        <v>1637</v>
      </c>
    </row>
    <row r="58" ht="26.25" customHeight="1">
      <c r="A58" s="12" t="s">
        <v>487</v>
      </c>
      <c r="B58" s="17">
        <v>2021.0</v>
      </c>
      <c r="C58" s="35" t="s">
        <v>22</v>
      </c>
      <c r="D58" s="35">
        <v>3560.0</v>
      </c>
      <c r="E58" s="36" t="s">
        <v>1638</v>
      </c>
      <c r="F58" s="35" t="s">
        <v>1639</v>
      </c>
      <c r="G58" s="39" t="s">
        <v>1640</v>
      </c>
      <c r="H58" s="36" t="s">
        <v>1641</v>
      </c>
      <c r="I58" s="39" t="s">
        <v>1426</v>
      </c>
      <c r="J58" s="39" t="s">
        <v>1642</v>
      </c>
    </row>
    <row r="59" ht="26.25" customHeight="1">
      <c r="A59" s="12" t="s">
        <v>493</v>
      </c>
      <c r="B59" s="17">
        <v>2021.0</v>
      </c>
      <c r="C59" s="35" t="s">
        <v>22</v>
      </c>
      <c r="D59" s="35">
        <v>3569.0</v>
      </c>
      <c r="E59" s="36" t="s">
        <v>1643</v>
      </c>
      <c r="F59" s="40" t="s">
        <v>1644</v>
      </c>
      <c r="G59" s="39" t="s">
        <v>1645</v>
      </c>
      <c r="H59" s="38" t="s">
        <v>1646</v>
      </c>
      <c r="I59" s="39" t="s">
        <v>1426</v>
      </c>
      <c r="J59" s="39" t="s">
        <v>1647</v>
      </c>
    </row>
    <row r="60" ht="26.25" customHeight="1">
      <c r="A60" s="12" t="s">
        <v>498</v>
      </c>
      <c r="B60" s="17">
        <v>2022.0</v>
      </c>
      <c r="C60" s="40" t="s">
        <v>11</v>
      </c>
      <c r="D60" s="40">
        <v>4089.0</v>
      </c>
      <c r="E60" s="39" t="s">
        <v>1648</v>
      </c>
      <c r="F60" s="40" t="s">
        <v>1649</v>
      </c>
      <c r="G60" s="39" t="s">
        <v>1650</v>
      </c>
      <c r="H60" s="38" t="s">
        <v>1651</v>
      </c>
      <c r="I60" s="39" t="s">
        <v>1447</v>
      </c>
      <c r="J60" s="39" t="s">
        <v>1652</v>
      </c>
    </row>
    <row r="61" ht="26.25" customHeight="1">
      <c r="A61" s="12" t="s">
        <v>504</v>
      </c>
      <c r="B61" s="17">
        <v>2022.0</v>
      </c>
      <c r="C61" s="40" t="s">
        <v>11</v>
      </c>
      <c r="D61" s="40">
        <v>7519.0</v>
      </c>
      <c r="E61" s="39" t="s">
        <v>1653</v>
      </c>
      <c r="F61" s="41" t="s">
        <v>1654</v>
      </c>
      <c r="G61" s="37"/>
      <c r="H61" s="38" t="s">
        <v>1655</v>
      </c>
      <c r="I61" s="39" t="s">
        <v>1403</v>
      </c>
      <c r="J61" s="39" t="s">
        <v>1656</v>
      </c>
    </row>
    <row r="62" ht="26.25" customHeight="1">
      <c r="A62" s="12" t="s">
        <v>797</v>
      </c>
      <c r="B62" s="17">
        <v>2022.0</v>
      </c>
      <c r="C62" s="40" t="s">
        <v>11</v>
      </c>
      <c r="D62" s="40">
        <v>4210.0</v>
      </c>
      <c r="E62" s="39" t="s">
        <v>1657</v>
      </c>
      <c r="F62" s="41" t="s">
        <v>1658</v>
      </c>
      <c r="G62" s="39" t="s">
        <v>1659</v>
      </c>
      <c r="H62" s="38" t="s">
        <v>1660</v>
      </c>
      <c r="I62" s="39" t="s">
        <v>1447</v>
      </c>
      <c r="J62" s="39" t="s">
        <v>1661</v>
      </c>
    </row>
    <row r="63" ht="26.25" customHeight="1">
      <c r="A63" s="12" t="s">
        <v>803</v>
      </c>
      <c r="B63" s="17">
        <v>2022.0</v>
      </c>
      <c r="C63" s="35" t="s">
        <v>12</v>
      </c>
      <c r="D63" s="35">
        <v>326.0</v>
      </c>
      <c r="E63" s="37" t="s">
        <v>1399</v>
      </c>
      <c r="F63" s="72" t="s">
        <v>1400</v>
      </c>
      <c r="G63" s="37" t="s">
        <v>1401</v>
      </c>
      <c r="H63" s="36" t="s">
        <v>1662</v>
      </c>
      <c r="I63" s="39" t="s">
        <v>1403</v>
      </c>
      <c r="J63" s="39" t="s">
        <v>1404</v>
      </c>
    </row>
    <row r="64" ht="26.25" customHeight="1">
      <c r="A64" s="12" t="s">
        <v>807</v>
      </c>
      <c r="B64" s="17">
        <v>2022.0</v>
      </c>
      <c r="C64" s="40" t="s">
        <v>12</v>
      </c>
      <c r="D64" s="40">
        <v>4399.0</v>
      </c>
      <c r="E64" s="39" t="s">
        <v>1663</v>
      </c>
      <c r="F64" s="40" t="s">
        <v>1664</v>
      </c>
      <c r="G64" s="39" t="s">
        <v>1665</v>
      </c>
      <c r="H64" s="38" t="s">
        <v>1666</v>
      </c>
      <c r="I64" s="39" t="s">
        <v>1447</v>
      </c>
      <c r="J64" s="39" t="s">
        <v>1667</v>
      </c>
    </row>
    <row r="65" ht="26.25" customHeight="1">
      <c r="A65" s="12" t="s">
        <v>811</v>
      </c>
      <c r="B65" s="17">
        <v>2022.0</v>
      </c>
      <c r="C65" s="40" t="s">
        <v>12</v>
      </c>
      <c r="D65" s="40">
        <v>4430.0</v>
      </c>
      <c r="E65" s="39" t="s">
        <v>1668</v>
      </c>
      <c r="F65" s="40" t="s">
        <v>1669</v>
      </c>
      <c r="G65" s="39" t="s">
        <v>1670</v>
      </c>
      <c r="H65" s="38" t="s">
        <v>1671</v>
      </c>
      <c r="I65" s="39" t="s">
        <v>1426</v>
      </c>
      <c r="J65" s="39" t="s">
        <v>1672</v>
      </c>
    </row>
    <row r="66" ht="26.25" customHeight="1">
      <c r="A66" s="12" t="s">
        <v>817</v>
      </c>
      <c r="B66" s="17">
        <v>2022.0</v>
      </c>
      <c r="C66" s="40" t="s">
        <v>12</v>
      </c>
      <c r="D66" s="40">
        <v>4749.0</v>
      </c>
      <c r="E66" s="39" t="s">
        <v>1673</v>
      </c>
      <c r="F66" s="40" t="s">
        <v>1674</v>
      </c>
      <c r="G66" s="39" t="s">
        <v>1675</v>
      </c>
      <c r="H66" s="38" t="s">
        <v>1676</v>
      </c>
      <c r="I66" s="39" t="s">
        <v>1403</v>
      </c>
      <c r="J66" s="39" t="s">
        <v>1677</v>
      </c>
    </row>
    <row r="67" ht="26.25" customHeight="1">
      <c r="A67" s="12" t="s">
        <v>823</v>
      </c>
      <c r="B67" s="17">
        <v>2022.0</v>
      </c>
      <c r="C67" s="40" t="s">
        <v>12</v>
      </c>
      <c r="D67" s="40">
        <v>4570.0</v>
      </c>
      <c r="E67" s="39" t="s">
        <v>1678</v>
      </c>
      <c r="F67" s="40" t="s">
        <v>1679</v>
      </c>
      <c r="G67" s="39" t="s">
        <v>1680</v>
      </c>
      <c r="H67" s="38" t="s">
        <v>1681</v>
      </c>
      <c r="I67" s="39" t="s">
        <v>1415</v>
      </c>
      <c r="J67" s="39" t="s">
        <v>1682</v>
      </c>
    </row>
    <row r="68" ht="26.25" customHeight="1">
      <c r="A68" s="12" t="s">
        <v>829</v>
      </c>
      <c r="B68" s="17">
        <v>2022.0</v>
      </c>
      <c r="C68" s="40" t="s">
        <v>13</v>
      </c>
      <c r="D68" s="40">
        <v>4821.0</v>
      </c>
      <c r="E68" s="39" t="s">
        <v>1683</v>
      </c>
      <c r="F68" s="40" t="s">
        <v>1684</v>
      </c>
      <c r="G68" s="39" t="s">
        <v>1685</v>
      </c>
      <c r="H68" s="38" t="s">
        <v>1686</v>
      </c>
      <c r="I68" s="39" t="s">
        <v>1409</v>
      </c>
      <c r="J68" s="39" t="s">
        <v>1687</v>
      </c>
    </row>
    <row r="69" ht="26.25" customHeight="1">
      <c r="A69" s="12" t="s">
        <v>831</v>
      </c>
      <c r="B69" s="17">
        <v>2022.0</v>
      </c>
      <c r="C69" s="40" t="s">
        <v>13</v>
      </c>
      <c r="D69" s="40">
        <v>4749.0</v>
      </c>
      <c r="E69" s="39" t="s">
        <v>1673</v>
      </c>
      <c r="F69" s="40" t="s">
        <v>1674</v>
      </c>
      <c r="G69" s="39" t="s">
        <v>1675</v>
      </c>
      <c r="H69" s="38" t="s">
        <v>1688</v>
      </c>
      <c r="I69" s="39" t="s">
        <v>1403</v>
      </c>
      <c r="J69" s="39" t="s">
        <v>1677</v>
      </c>
    </row>
    <row r="70" ht="26.25" customHeight="1">
      <c r="A70" s="12" t="s">
        <v>833</v>
      </c>
      <c r="B70" s="17">
        <v>2022.0</v>
      </c>
      <c r="C70" s="40" t="s">
        <v>13</v>
      </c>
      <c r="D70" s="40">
        <v>4921.0</v>
      </c>
      <c r="E70" s="39" t="s">
        <v>1689</v>
      </c>
      <c r="F70" s="40" t="s">
        <v>1690</v>
      </c>
      <c r="G70" s="39" t="s">
        <v>1691</v>
      </c>
      <c r="H70" s="38" t="s">
        <v>1692</v>
      </c>
      <c r="I70" s="39" t="s">
        <v>1447</v>
      </c>
      <c r="J70" s="39" t="s">
        <v>1693</v>
      </c>
    </row>
    <row r="71" ht="26.25" customHeight="1">
      <c r="A71" s="12" t="s">
        <v>835</v>
      </c>
      <c r="B71" s="17">
        <v>2022.0</v>
      </c>
      <c r="C71" s="40" t="s">
        <v>13</v>
      </c>
      <c r="D71" s="40">
        <v>4749.0</v>
      </c>
      <c r="E71" s="39" t="s">
        <v>1673</v>
      </c>
      <c r="F71" s="40" t="s">
        <v>1674</v>
      </c>
      <c r="G71" s="39" t="s">
        <v>1675</v>
      </c>
      <c r="H71" s="38" t="s">
        <v>1694</v>
      </c>
      <c r="I71" s="39" t="s">
        <v>1403</v>
      </c>
      <c r="J71" s="39" t="s">
        <v>1677</v>
      </c>
    </row>
    <row r="72" ht="26.25" customHeight="1">
      <c r="A72" s="12" t="s">
        <v>840</v>
      </c>
      <c r="B72" s="17">
        <v>2022.0</v>
      </c>
      <c r="C72" s="40" t="s">
        <v>13</v>
      </c>
      <c r="D72" s="17">
        <v>4778.0</v>
      </c>
      <c r="E72" s="36" t="s">
        <v>1695</v>
      </c>
      <c r="F72" s="40" t="s">
        <v>1696</v>
      </c>
      <c r="G72" s="39" t="s">
        <v>1697</v>
      </c>
      <c r="H72" s="38" t="s">
        <v>1698</v>
      </c>
      <c r="I72" s="39" t="s">
        <v>1426</v>
      </c>
      <c r="J72" s="39" t="s">
        <v>1699</v>
      </c>
    </row>
    <row r="73" ht="26.25" customHeight="1">
      <c r="A73" s="12" t="s">
        <v>846</v>
      </c>
      <c r="B73" s="17">
        <v>2022.0</v>
      </c>
      <c r="C73" s="40" t="s">
        <v>13</v>
      </c>
      <c r="D73" s="40">
        <v>5009.0</v>
      </c>
      <c r="E73" s="39" t="s">
        <v>1700</v>
      </c>
      <c r="F73" s="41" t="s">
        <v>1701</v>
      </c>
      <c r="G73" s="39" t="s">
        <v>1702</v>
      </c>
      <c r="H73" s="38" t="s">
        <v>1703</v>
      </c>
      <c r="I73" s="39" t="s">
        <v>1426</v>
      </c>
      <c r="J73" s="39" t="s">
        <v>1704</v>
      </c>
    </row>
    <row r="74" ht="26.25" customHeight="1">
      <c r="A74" s="12" t="s">
        <v>849</v>
      </c>
      <c r="B74" s="17">
        <v>2022.0</v>
      </c>
      <c r="C74" s="40" t="s">
        <v>14</v>
      </c>
      <c r="D74" s="40">
        <v>5123.0</v>
      </c>
      <c r="E74" s="39" t="s">
        <v>1705</v>
      </c>
      <c r="F74" s="40" t="s">
        <v>1706</v>
      </c>
      <c r="G74" s="39" t="s">
        <v>1707</v>
      </c>
      <c r="H74" s="38" t="s">
        <v>1708</v>
      </c>
      <c r="I74" s="39" t="s">
        <v>1403</v>
      </c>
      <c r="J74" s="39" t="s">
        <v>1709</v>
      </c>
    </row>
    <row r="75" ht="26.25" customHeight="1">
      <c r="A75" s="12" t="s">
        <v>854</v>
      </c>
      <c r="B75" s="17">
        <v>2022.0</v>
      </c>
      <c r="C75" s="40" t="s">
        <v>14</v>
      </c>
      <c r="D75" s="17">
        <v>5319.0</v>
      </c>
      <c r="E75" s="39" t="s">
        <v>1710</v>
      </c>
      <c r="F75" s="41" t="s">
        <v>1711</v>
      </c>
      <c r="G75" s="39" t="s">
        <v>1712</v>
      </c>
      <c r="H75" s="38" t="s">
        <v>1713</v>
      </c>
      <c r="I75" s="39" t="s">
        <v>1409</v>
      </c>
      <c r="J75" s="39" t="s">
        <v>1714</v>
      </c>
    </row>
    <row r="76" ht="26.25" customHeight="1">
      <c r="A76" s="12" t="s">
        <v>860</v>
      </c>
      <c r="B76" s="17">
        <v>2022.0</v>
      </c>
      <c r="C76" s="40" t="s">
        <v>14</v>
      </c>
      <c r="D76" s="40">
        <v>5296.0</v>
      </c>
      <c r="E76" s="39" t="s">
        <v>1715</v>
      </c>
      <c r="F76" s="40" t="s">
        <v>1716</v>
      </c>
      <c r="G76" s="39" t="s">
        <v>1717</v>
      </c>
      <c r="H76" s="38" t="s">
        <v>1718</v>
      </c>
      <c r="I76" s="39" t="s">
        <v>1403</v>
      </c>
      <c r="J76" s="39" t="s">
        <v>1719</v>
      </c>
    </row>
    <row r="77" ht="26.25" customHeight="1">
      <c r="A77" s="12" t="s">
        <v>866</v>
      </c>
      <c r="B77" s="17">
        <v>2022.0</v>
      </c>
      <c r="C77" s="35" t="s">
        <v>14</v>
      </c>
      <c r="D77" s="35">
        <v>1671.0</v>
      </c>
      <c r="E77" s="37" t="s">
        <v>1479</v>
      </c>
      <c r="F77" s="35" t="s">
        <v>1480</v>
      </c>
      <c r="G77" s="37" t="s">
        <v>1481</v>
      </c>
      <c r="H77" s="38" t="s">
        <v>1720</v>
      </c>
      <c r="I77" s="39" t="s">
        <v>1409</v>
      </c>
      <c r="J77" s="39" t="s">
        <v>1483</v>
      </c>
    </row>
    <row r="78" ht="26.25" customHeight="1">
      <c r="A78" s="12" t="s">
        <v>869</v>
      </c>
      <c r="B78" s="17">
        <v>2022.0</v>
      </c>
      <c r="C78" s="40" t="s">
        <v>14</v>
      </c>
      <c r="D78" s="40">
        <v>4749.0</v>
      </c>
      <c r="E78" s="39" t="s">
        <v>1673</v>
      </c>
      <c r="F78" s="40" t="s">
        <v>1674</v>
      </c>
      <c r="G78" s="39" t="s">
        <v>1675</v>
      </c>
      <c r="H78" s="38" t="s">
        <v>1721</v>
      </c>
      <c r="I78" s="39" t="s">
        <v>1403</v>
      </c>
      <c r="J78" s="39" t="s">
        <v>1677</v>
      </c>
    </row>
    <row r="79" ht="26.25" customHeight="1">
      <c r="A79" s="12" t="s">
        <v>875</v>
      </c>
      <c r="B79" s="17">
        <v>2022.0</v>
      </c>
      <c r="C79" s="40" t="s">
        <v>14</v>
      </c>
      <c r="D79" s="40">
        <v>4749.0</v>
      </c>
      <c r="E79" s="39" t="s">
        <v>1673</v>
      </c>
      <c r="F79" s="40" t="s">
        <v>1674</v>
      </c>
      <c r="G79" s="39" t="s">
        <v>1675</v>
      </c>
      <c r="H79" s="38" t="s">
        <v>1722</v>
      </c>
      <c r="I79" s="39" t="s">
        <v>1403</v>
      </c>
      <c r="J79" s="39" t="s">
        <v>1677</v>
      </c>
    </row>
    <row r="80" ht="26.25" customHeight="1">
      <c r="A80" s="12" t="s">
        <v>880</v>
      </c>
      <c r="B80" s="17">
        <v>2022.0</v>
      </c>
      <c r="C80" s="40" t="s">
        <v>14</v>
      </c>
      <c r="D80" s="40">
        <v>5380.0</v>
      </c>
      <c r="E80" s="39" t="s">
        <v>1723</v>
      </c>
      <c r="F80" s="40" t="s">
        <v>1724</v>
      </c>
      <c r="G80" s="39" t="s">
        <v>1725</v>
      </c>
      <c r="H80" s="36" t="s">
        <v>1726</v>
      </c>
      <c r="I80" s="39" t="s">
        <v>1426</v>
      </c>
      <c r="J80" s="39" t="s">
        <v>1727</v>
      </c>
    </row>
    <row r="81" ht="26.25" customHeight="1">
      <c r="A81" s="12" t="s">
        <v>887</v>
      </c>
      <c r="B81" s="17">
        <v>2022.0</v>
      </c>
      <c r="C81" s="40" t="s">
        <v>15</v>
      </c>
      <c r="D81" s="42">
        <v>5519.0</v>
      </c>
      <c r="E81" s="38" t="s">
        <v>1728</v>
      </c>
      <c r="F81" s="42" t="s">
        <v>1729</v>
      </c>
      <c r="G81" s="37"/>
      <c r="H81" s="36" t="s">
        <v>1730</v>
      </c>
      <c r="I81" s="39" t="s">
        <v>1409</v>
      </c>
      <c r="J81" s="39" t="s">
        <v>1731</v>
      </c>
    </row>
    <row r="82" ht="26.25" customHeight="1">
      <c r="A82" s="12" t="s">
        <v>889</v>
      </c>
      <c r="B82" s="17">
        <v>2022.0</v>
      </c>
      <c r="C82" s="40" t="s">
        <v>15</v>
      </c>
      <c r="D82" s="40">
        <v>5508.0</v>
      </c>
      <c r="E82" s="39" t="s">
        <v>1732</v>
      </c>
      <c r="F82" s="40" t="s">
        <v>1733</v>
      </c>
      <c r="G82" s="39" t="s">
        <v>1734</v>
      </c>
      <c r="H82" s="36" t="s">
        <v>1735</v>
      </c>
      <c r="I82" s="39" t="s">
        <v>1403</v>
      </c>
      <c r="J82" s="39" t="s">
        <v>1736</v>
      </c>
    </row>
    <row r="83" ht="26.25" customHeight="1">
      <c r="A83" s="12" t="s">
        <v>891</v>
      </c>
      <c r="B83" s="17">
        <v>2022.0</v>
      </c>
      <c r="C83" s="40" t="s">
        <v>15</v>
      </c>
      <c r="D83" s="40">
        <v>5574.0</v>
      </c>
      <c r="E83" s="39" t="s">
        <v>1737</v>
      </c>
      <c r="F83" s="40" t="s">
        <v>1738</v>
      </c>
      <c r="G83" s="39" t="s">
        <v>1739</v>
      </c>
      <c r="H83" s="36" t="s">
        <v>1740</v>
      </c>
      <c r="I83" s="39" t="s">
        <v>1426</v>
      </c>
      <c r="J83" s="39" t="s">
        <v>1741</v>
      </c>
    </row>
    <row r="84" ht="26.25" customHeight="1">
      <c r="A84" s="12" t="s">
        <v>896</v>
      </c>
      <c r="B84" s="17">
        <v>2022.0</v>
      </c>
      <c r="C84" s="42" t="s">
        <v>15</v>
      </c>
      <c r="D84" s="42">
        <v>5749.0</v>
      </c>
      <c r="E84" s="38" t="s">
        <v>1742</v>
      </c>
      <c r="F84" s="42" t="s">
        <v>1743</v>
      </c>
      <c r="G84" s="38" t="s">
        <v>1744</v>
      </c>
      <c r="H84" s="36" t="s">
        <v>1745</v>
      </c>
      <c r="I84" s="38" t="s">
        <v>1447</v>
      </c>
      <c r="J84" s="38" t="s">
        <v>1746</v>
      </c>
    </row>
    <row r="85" ht="26.25" customHeight="1">
      <c r="A85" s="12" t="s">
        <v>901</v>
      </c>
      <c r="B85" s="17">
        <v>2022.0</v>
      </c>
      <c r="C85" s="40" t="s">
        <v>16</v>
      </c>
      <c r="D85" s="40">
        <v>5765.0</v>
      </c>
      <c r="E85" s="39" t="s">
        <v>469</v>
      </c>
      <c r="F85" s="40" t="s">
        <v>1747</v>
      </c>
      <c r="G85" s="39" t="s">
        <v>1748</v>
      </c>
      <c r="H85" s="36" t="s">
        <v>1749</v>
      </c>
      <c r="I85" s="39" t="s">
        <v>1403</v>
      </c>
      <c r="J85" s="39" t="s">
        <v>1750</v>
      </c>
    </row>
    <row r="86" ht="26.25" customHeight="1">
      <c r="A86" s="12" t="s">
        <v>907</v>
      </c>
      <c r="B86" s="17">
        <v>2022.0</v>
      </c>
      <c r="C86" s="42" t="s">
        <v>16</v>
      </c>
      <c r="D86" s="42">
        <v>2903.0</v>
      </c>
      <c r="E86" s="38" t="s">
        <v>1751</v>
      </c>
      <c r="F86" s="42" t="s">
        <v>1752</v>
      </c>
      <c r="G86" s="38" t="s">
        <v>1753</v>
      </c>
      <c r="H86" s="36" t="s">
        <v>1754</v>
      </c>
      <c r="I86" s="38" t="s">
        <v>1403</v>
      </c>
      <c r="J86" s="38" t="s">
        <v>1755</v>
      </c>
    </row>
    <row r="87" ht="26.25" customHeight="1">
      <c r="A87" s="12" t="s">
        <v>913</v>
      </c>
      <c r="B87" s="17">
        <v>2022.0</v>
      </c>
      <c r="C87" s="42" t="s">
        <v>16</v>
      </c>
      <c r="D87" s="42">
        <v>5911.0</v>
      </c>
      <c r="E87" s="38" t="s">
        <v>1756</v>
      </c>
      <c r="F87" s="42" t="s">
        <v>1757</v>
      </c>
      <c r="G87" s="38" t="s">
        <v>1758</v>
      </c>
      <c r="H87" s="36" t="s">
        <v>1759</v>
      </c>
      <c r="I87" s="38" t="s">
        <v>1415</v>
      </c>
      <c r="J87" s="38" t="s">
        <v>1760</v>
      </c>
    </row>
    <row r="88" ht="26.25" customHeight="1">
      <c r="A88" s="12" t="s">
        <v>919</v>
      </c>
      <c r="B88" s="17">
        <v>2022.0</v>
      </c>
      <c r="C88" s="40" t="s">
        <v>16</v>
      </c>
      <c r="D88" s="40">
        <v>6058.0</v>
      </c>
      <c r="E88" s="39" t="s">
        <v>1761</v>
      </c>
      <c r="F88" s="40" t="s">
        <v>1762</v>
      </c>
      <c r="G88" s="39" t="s">
        <v>1763</v>
      </c>
      <c r="H88" s="36" t="s">
        <v>1764</v>
      </c>
      <c r="I88" s="39" t="s">
        <v>1403</v>
      </c>
      <c r="J88" s="39" t="s">
        <v>1765</v>
      </c>
    </row>
    <row r="89" ht="26.25" customHeight="1">
      <c r="A89" s="12" t="s">
        <v>924</v>
      </c>
      <c r="B89" s="17">
        <v>2022.0</v>
      </c>
      <c r="C89" s="40" t="s">
        <v>1766</v>
      </c>
      <c r="D89" s="40">
        <v>4570.0</v>
      </c>
      <c r="E89" s="39" t="s">
        <v>1678</v>
      </c>
      <c r="F89" s="40" t="s">
        <v>1679</v>
      </c>
      <c r="G89" s="39" t="s">
        <v>1680</v>
      </c>
      <c r="H89" s="38" t="s">
        <v>1767</v>
      </c>
      <c r="I89" s="39" t="s">
        <v>1415</v>
      </c>
      <c r="J89" s="39" t="s">
        <v>1682</v>
      </c>
    </row>
    <row r="90" ht="26.25" customHeight="1">
      <c r="A90" s="12" t="s">
        <v>930</v>
      </c>
      <c r="B90" s="17">
        <v>2022.0</v>
      </c>
      <c r="C90" s="42" t="s">
        <v>18</v>
      </c>
      <c r="D90" s="42">
        <v>6509.0</v>
      </c>
      <c r="E90" s="38" t="s">
        <v>1768</v>
      </c>
      <c r="F90" s="43" t="s">
        <v>1769</v>
      </c>
      <c r="G90" s="38" t="s">
        <v>1770</v>
      </c>
      <c r="H90" s="38" t="s">
        <v>1771</v>
      </c>
      <c r="I90" s="38" t="s">
        <v>1415</v>
      </c>
      <c r="J90" s="38" t="s">
        <v>1772</v>
      </c>
    </row>
    <row r="91" ht="26.25" customHeight="1">
      <c r="A91" s="12" t="s">
        <v>935</v>
      </c>
      <c r="B91" s="17">
        <v>2022.0</v>
      </c>
      <c r="C91" s="40" t="s">
        <v>18</v>
      </c>
      <c r="D91" s="40">
        <v>6608.0</v>
      </c>
      <c r="E91" s="39" t="s">
        <v>1773</v>
      </c>
      <c r="F91" s="41" t="s">
        <v>1774</v>
      </c>
      <c r="G91" s="39" t="s">
        <v>1775</v>
      </c>
      <c r="H91" s="38" t="s">
        <v>1776</v>
      </c>
      <c r="I91" s="39" t="s">
        <v>1409</v>
      </c>
      <c r="J91" s="39" t="s">
        <v>1777</v>
      </c>
    </row>
    <row r="92" ht="26.25" customHeight="1">
      <c r="A92" s="12" t="s">
        <v>941</v>
      </c>
      <c r="B92" s="17">
        <v>2022.0</v>
      </c>
      <c r="C92" s="40" t="s">
        <v>18</v>
      </c>
      <c r="D92" s="40">
        <v>4399.0</v>
      </c>
      <c r="E92" s="39" t="s">
        <v>1663</v>
      </c>
      <c r="F92" s="40" t="s">
        <v>1664</v>
      </c>
      <c r="G92" s="39" t="s">
        <v>1665</v>
      </c>
      <c r="H92" s="38" t="s">
        <v>1778</v>
      </c>
      <c r="I92" s="39" t="s">
        <v>1447</v>
      </c>
      <c r="J92" s="39" t="s">
        <v>1667</v>
      </c>
    </row>
    <row r="93" ht="26.25" customHeight="1">
      <c r="A93" s="12" t="s">
        <v>947</v>
      </c>
      <c r="B93" s="17">
        <v>2022.0</v>
      </c>
      <c r="C93" s="40" t="s">
        <v>18</v>
      </c>
      <c r="D93" s="40">
        <v>6617.0</v>
      </c>
      <c r="E93" s="39" t="s">
        <v>1779</v>
      </c>
      <c r="F93" s="41" t="s">
        <v>1780</v>
      </c>
      <c r="G93" s="39" t="s">
        <v>1781</v>
      </c>
      <c r="H93" s="38" t="s">
        <v>1782</v>
      </c>
      <c r="I93" s="39" t="s">
        <v>1409</v>
      </c>
      <c r="J93" s="39" t="s">
        <v>1783</v>
      </c>
    </row>
    <row r="94" ht="26.25" customHeight="1">
      <c r="A94" s="12" t="s">
        <v>951</v>
      </c>
      <c r="B94" s="17">
        <v>2022.0</v>
      </c>
      <c r="C94" s="40" t="s">
        <v>19</v>
      </c>
      <c r="D94" s="17">
        <v>6695.0</v>
      </c>
      <c r="E94" s="36" t="s">
        <v>1784</v>
      </c>
      <c r="F94" s="48" t="s">
        <v>1785</v>
      </c>
      <c r="G94" s="39" t="s">
        <v>1786</v>
      </c>
      <c r="H94" s="38" t="s">
        <v>1787</v>
      </c>
      <c r="I94" s="39" t="s">
        <v>1447</v>
      </c>
      <c r="J94" s="39" t="s">
        <v>1788</v>
      </c>
    </row>
    <row r="95" ht="26.25" customHeight="1">
      <c r="A95" s="12" t="s">
        <v>953</v>
      </c>
      <c r="B95" s="17">
        <v>2022.0</v>
      </c>
      <c r="C95" s="40" t="s">
        <v>19</v>
      </c>
      <c r="D95" s="17">
        <v>5319.0</v>
      </c>
      <c r="E95" s="39" t="s">
        <v>1710</v>
      </c>
      <c r="F95" s="41" t="s">
        <v>1711</v>
      </c>
      <c r="G95" s="39" t="s">
        <v>1712</v>
      </c>
      <c r="H95" s="38" t="s">
        <v>1789</v>
      </c>
      <c r="I95" s="39" t="s">
        <v>1409</v>
      </c>
      <c r="J95" s="39" t="s">
        <v>1714</v>
      </c>
    </row>
    <row r="96" ht="26.25" customHeight="1">
      <c r="A96" s="12" t="s">
        <v>959</v>
      </c>
      <c r="B96" s="17">
        <v>2022.0</v>
      </c>
      <c r="C96" s="17" t="s">
        <v>19</v>
      </c>
      <c r="D96" s="17">
        <v>6737.0</v>
      </c>
      <c r="E96" s="38" t="s">
        <v>1790</v>
      </c>
      <c r="F96" s="43" t="s">
        <v>1791</v>
      </c>
      <c r="G96" s="37"/>
      <c r="H96" s="38" t="s">
        <v>1792</v>
      </c>
      <c r="I96" s="38" t="s">
        <v>1409</v>
      </c>
      <c r="J96" s="39" t="s">
        <v>1793</v>
      </c>
    </row>
    <row r="97" ht="26.25" customHeight="1">
      <c r="A97" s="12" t="s">
        <v>965</v>
      </c>
      <c r="B97" s="17">
        <v>2022.0</v>
      </c>
      <c r="C97" s="35" t="s">
        <v>19</v>
      </c>
      <c r="D97" s="35">
        <v>3371.0</v>
      </c>
      <c r="E97" s="37" t="s">
        <v>1628</v>
      </c>
      <c r="F97" s="35" t="s">
        <v>1629</v>
      </c>
      <c r="G97" s="39" t="s">
        <v>1630</v>
      </c>
      <c r="H97" s="38" t="s">
        <v>1794</v>
      </c>
      <c r="I97" s="39" t="s">
        <v>1409</v>
      </c>
      <c r="J97" s="39" t="s">
        <v>1632</v>
      </c>
    </row>
    <row r="98" ht="26.25" customHeight="1">
      <c r="A98" s="12" t="s">
        <v>967</v>
      </c>
      <c r="B98" s="17">
        <v>2022.0</v>
      </c>
      <c r="C98" s="35" t="s">
        <v>19</v>
      </c>
      <c r="D98" s="17">
        <v>1682.0</v>
      </c>
      <c r="E98" s="38" t="s">
        <v>554</v>
      </c>
      <c r="F98" s="43" t="s">
        <v>1795</v>
      </c>
      <c r="G98" s="39" t="s">
        <v>1796</v>
      </c>
      <c r="H98" s="38" t="s">
        <v>1797</v>
      </c>
      <c r="I98" s="39" t="s">
        <v>1447</v>
      </c>
      <c r="J98" s="39" t="s">
        <v>1798</v>
      </c>
    </row>
    <row r="99" ht="26.25" customHeight="1">
      <c r="A99" s="12" t="s">
        <v>971</v>
      </c>
      <c r="B99" s="17">
        <v>2022.0</v>
      </c>
      <c r="C99" s="35" t="s">
        <v>19</v>
      </c>
      <c r="D99" s="17">
        <v>6645.0</v>
      </c>
      <c r="E99" s="38" t="s">
        <v>1799</v>
      </c>
      <c r="F99" s="43" t="s">
        <v>1800</v>
      </c>
      <c r="G99" s="88" t="s">
        <v>1801</v>
      </c>
      <c r="H99" s="38" t="s">
        <v>1802</v>
      </c>
      <c r="I99" s="39" t="s">
        <v>1447</v>
      </c>
      <c r="J99" s="39" t="s">
        <v>1803</v>
      </c>
    </row>
    <row r="100" ht="26.25" customHeight="1">
      <c r="A100" s="12" t="s">
        <v>978</v>
      </c>
      <c r="B100" s="17">
        <v>2022.0</v>
      </c>
      <c r="C100" s="35" t="s">
        <v>19</v>
      </c>
      <c r="D100" s="17">
        <v>6645.0</v>
      </c>
      <c r="E100" s="38" t="s">
        <v>1799</v>
      </c>
      <c r="F100" s="43" t="s">
        <v>1800</v>
      </c>
      <c r="G100" s="88" t="s">
        <v>1801</v>
      </c>
      <c r="H100" s="38" t="s">
        <v>1804</v>
      </c>
      <c r="I100" s="39" t="s">
        <v>1447</v>
      </c>
      <c r="J100" s="39" t="s">
        <v>1803</v>
      </c>
    </row>
    <row r="101" ht="26.25" customHeight="1">
      <c r="A101" s="12" t="s">
        <v>984</v>
      </c>
      <c r="B101" s="17">
        <v>2022.0</v>
      </c>
      <c r="C101" s="35" t="s">
        <v>20</v>
      </c>
      <c r="D101" s="42">
        <v>7198.0</v>
      </c>
      <c r="E101" s="38" t="s">
        <v>1805</v>
      </c>
      <c r="F101" s="48" t="s">
        <v>1806</v>
      </c>
      <c r="G101" s="39" t="s">
        <v>1807</v>
      </c>
      <c r="H101" s="38" t="s">
        <v>1808</v>
      </c>
      <c r="I101" s="39" t="s">
        <v>1426</v>
      </c>
      <c r="J101" s="39" t="s">
        <v>1809</v>
      </c>
    </row>
    <row r="102" ht="26.25" customHeight="1">
      <c r="A102" s="12" t="s">
        <v>990</v>
      </c>
      <c r="B102" s="17">
        <v>2022.0</v>
      </c>
      <c r="C102" s="35" t="s">
        <v>20</v>
      </c>
      <c r="D102" s="42">
        <v>5824.0</v>
      </c>
      <c r="E102" s="38" t="s">
        <v>1810</v>
      </c>
      <c r="F102" s="43" t="s">
        <v>1811</v>
      </c>
      <c r="G102" s="37"/>
      <c r="H102" s="38" t="s">
        <v>1812</v>
      </c>
      <c r="I102" s="39" t="s">
        <v>1426</v>
      </c>
      <c r="J102" s="39" t="s">
        <v>1813</v>
      </c>
    </row>
    <row r="103" ht="26.25" customHeight="1">
      <c r="A103" s="12" t="s">
        <v>995</v>
      </c>
      <c r="B103" s="17">
        <v>2022.0</v>
      </c>
      <c r="C103" s="40" t="s">
        <v>20</v>
      </c>
      <c r="D103" s="40">
        <v>7236.0</v>
      </c>
      <c r="E103" s="39" t="s">
        <v>1814</v>
      </c>
      <c r="F103" s="41" t="s">
        <v>1815</v>
      </c>
      <c r="G103" s="39" t="s">
        <v>1816</v>
      </c>
      <c r="H103" s="38" t="s">
        <v>1814</v>
      </c>
      <c r="I103" s="39" t="s">
        <v>1403</v>
      </c>
      <c r="J103" s="39" t="s">
        <v>1817</v>
      </c>
    </row>
    <row r="104" ht="26.25" customHeight="1">
      <c r="A104" s="12" t="s">
        <v>1001</v>
      </c>
      <c r="B104" s="17">
        <v>2022.0</v>
      </c>
      <c r="C104" s="35" t="s">
        <v>20</v>
      </c>
      <c r="D104" s="17">
        <v>7059.0</v>
      </c>
      <c r="E104" s="39" t="s">
        <v>1818</v>
      </c>
      <c r="F104" s="41" t="s">
        <v>1819</v>
      </c>
      <c r="G104" s="37"/>
      <c r="H104" s="38" t="s">
        <v>1820</v>
      </c>
      <c r="I104" s="39" t="s">
        <v>1447</v>
      </c>
      <c r="J104" s="39" t="s">
        <v>1821</v>
      </c>
    </row>
    <row r="105" ht="26.25" customHeight="1">
      <c r="A105" s="12" t="s">
        <v>1003</v>
      </c>
      <c r="B105" s="17">
        <v>2022.0</v>
      </c>
      <c r="C105" s="35" t="s">
        <v>21</v>
      </c>
      <c r="D105" s="17">
        <v>7410.0</v>
      </c>
      <c r="E105" s="39" t="s">
        <v>1822</v>
      </c>
      <c r="F105" s="41" t="s">
        <v>1823</v>
      </c>
      <c r="G105" s="37" t="s">
        <v>1824</v>
      </c>
      <c r="H105" s="38" t="s">
        <v>1822</v>
      </c>
      <c r="I105" s="39" t="s">
        <v>1409</v>
      </c>
      <c r="J105" s="39" t="s">
        <v>1825</v>
      </c>
    </row>
    <row r="106" ht="26.25" customHeight="1">
      <c r="A106" s="12" t="s">
        <v>1005</v>
      </c>
      <c r="B106" s="17">
        <v>2022.0</v>
      </c>
      <c r="C106" s="35" t="s">
        <v>22</v>
      </c>
      <c r="D106" s="17">
        <v>7638.0</v>
      </c>
      <c r="E106" s="36" t="s">
        <v>1826</v>
      </c>
      <c r="F106" s="43" t="s">
        <v>1827</v>
      </c>
      <c r="G106" s="37" t="s">
        <v>1828</v>
      </c>
      <c r="H106" s="38" t="s">
        <v>1829</v>
      </c>
      <c r="I106" s="39" t="s">
        <v>1409</v>
      </c>
      <c r="J106" s="39" t="s">
        <v>1830</v>
      </c>
    </row>
    <row r="107" ht="26.25" customHeight="1">
      <c r="A107" s="12" t="s">
        <v>1011</v>
      </c>
      <c r="B107" s="17">
        <v>2023.0</v>
      </c>
      <c r="C107" s="40" t="s">
        <v>11</v>
      </c>
      <c r="D107" s="40">
        <v>6058.0</v>
      </c>
      <c r="E107" s="39" t="s">
        <v>1761</v>
      </c>
      <c r="F107" s="40" t="s">
        <v>1762</v>
      </c>
      <c r="G107" s="39" t="s">
        <v>1763</v>
      </c>
      <c r="H107" s="36" t="s">
        <v>1831</v>
      </c>
      <c r="I107" s="38" t="s">
        <v>1403</v>
      </c>
      <c r="J107" s="39" t="s">
        <v>1765</v>
      </c>
    </row>
    <row r="108" ht="26.25" customHeight="1">
      <c r="A108" s="12" t="s">
        <v>1017</v>
      </c>
      <c r="B108" s="17">
        <v>2023.0</v>
      </c>
      <c r="C108" s="40" t="s">
        <v>11</v>
      </c>
      <c r="D108" s="42">
        <v>7949.0</v>
      </c>
      <c r="E108" s="38" t="s">
        <v>1832</v>
      </c>
      <c r="F108" s="43" t="s">
        <v>1833</v>
      </c>
      <c r="G108" s="39" t="s">
        <v>1834</v>
      </c>
      <c r="H108" s="36" t="s">
        <v>1835</v>
      </c>
      <c r="I108" s="39" t="s">
        <v>1426</v>
      </c>
      <c r="J108" s="39" t="s">
        <v>1836</v>
      </c>
    </row>
    <row r="109" ht="26.25" customHeight="1">
      <c r="A109" s="12" t="s">
        <v>1023</v>
      </c>
      <c r="B109" s="17">
        <v>2023.0</v>
      </c>
      <c r="C109" s="35" t="s">
        <v>11</v>
      </c>
      <c r="D109" s="17">
        <v>7059.0</v>
      </c>
      <c r="E109" s="39" t="s">
        <v>1818</v>
      </c>
      <c r="F109" s="41" t="s">
        <v>1819</v>
      </c>
      <c r="G109" s="37"/>
      <c r="H109" s="38" t="s">
        <v>1837</v>
      </c>
      <c r="I109" s="39" t="s">
        <v>1447</v>
      </c>
      <c r="J109" s="39" t="s">
        <v>1821</v>
      </c>
    </row>
    <row r="110" ht="26.25" customHeight="1">
      <c r="A110" s="12" t="s">
        <v>1029</v>
      </c>
      <c r="B110" s="17">
        <v>2023.0</v>
      </c>
      <c r="C110" s="35" t="s">
        <v>11</v>
      </c>
      <c r="D110" s="42">
        <v>8040.0</v>
      </c>
      <c r="E110" s="38" t="s">
        <v>1275</v>
      </c>
      <c r="F110" s="42" t="s">
        <v>1838</v>
      </c>
      <c r="G110" s="37" t="s">
        <v>1839</v>
      </c>
      <c r="H110" s="38" t="s">
        <v>1840</v>
      </c>
      <c r="I110" s="39" t="s">
        <v>1426</v>
      </c>
      <c r="J110" s="39" t="s">
        <v>1841</v>
      </c>
    </row>
    <row r="111" ht="26.25" customHeight="1">
      <c r="A111" s="12" t="s">
        <v>1035</v>
      </c>
      <c r="B111" s="17">
        <v>2023.0</v>
      </c>
      <c r="C111" s="35" t="s">
        <v>11</v>
      </c>
      <c r="D111" s="17">
        <v>7865.0</v>
      </c>
      <c r="E111" s="38" t="s">
        <v>1842</v>
      </c>
      <c r="F111" s="43" t="s">
        <v>1843</v>
      </c>
      <c r="G111" s="39" t="s">
        <v>1844</v>
      </c>
      <c r="H111" s="38" t="s">
        <v>1845</v>
      </c>
      <c r="I111" s="39" t="s">
        <v>1426</v>
      </c>
      <c r="J111" s="39" t="s">
        <v>1846</v>
      </c>
    </row>
    <row r="112" ht="26.25" customHeight="1">
      <c r="A112" s="12" t="s">
        <v>1040</v>
      </c>
      <c r="B112" s="17">
        <v>2023.0</v>
      </c>
      <c r="C112" s="17" t="s">
        <v>11</v>
      </c>
      <c r="D112" s="17">
        <v>6737.0</v>
      </c>
      <c r="E112" s="38" t="s">
        <v>1790</v>
      </c>
      <c r="F112" s="43" t="s">
        <v>1791</v>
      </c>
      <c r="G112" s="37"/>
      <c r="H112" s="38" t="s">
        <v>1847</v>
      </c>
      <c r="I112" s="38" t="s">
        <v>1409</v>
      </c>
      <c r="J112" s="39" t="s">
        <v>1793</v>
      </c>
    </row>
    <row r="113" ht="26.25" customHeight="1">
      <c r="A113" s="12" t="s">
        <v>1045</v>
      </c>
      <c r="B113" s="17">
        <v>2023.0</v>
      </c>
      <c r="C113" s="40" t="s">
        <v>11</v>
      </c>
      <c r="D113" s="42">
        <v>7835.0</v>
      </c>
      <c r="E113" s="38" t="s">
        <v>1848</v>
      </c>
      <c r="F113" s="42" t="s">
        <v>1849</v>
      </c>
      <c r="G113" s="39" t="s">
        <v>1850</v>
      </c>
      <c r="H113" s="38" t="s">
        <v>1851</v>
      </c>
      <c r="I113" s="39" t="s">
        <v>1409</v>
      </c>
      <c r="J113" s="39" t="s">
        <v>1852</v>
      </c>
    </row>
    <row r="114" ht="26.25" customHeight="1">
      <c r="A114" s="12" t="s">
        <v>1051</v>
      </c>
      <c r="B114" s="17">
        <v>2023.0</v>
      </c>
      <c r="C114" s="40" t="s">
        <v>11</v>
      </c>
      <c r="D114" s="42">
        <v>8027.0</v>
      </c>
      <c r="E114" s="38" t="s">
        <v>1853</v>
      </c>
      <c r="F114" s="43" t="s">
        <v>1854</v>
      </c>
      <c r="G114" s="39" t="s">
        <v>1855</v>
      </c>
      <c r="H114" s="38" t="s">
        <v>1856</v>
      </c>
      <c r="I114" s="38" t="s">
        <v>1415</v>
      </c>
      <c r="J114" s="38" t="s">
        <v>1857</v>
      </c>
    </row>
    <row r="115" ht="26.25" customHeight="1">
      <c r="A115" s="12" t="s">
        <v>1056</v>
      </c>
      <c r="B115" s="17">
        <v>2023.0</v>
      </c>
      <c r="C115" s="17" t="s">
        <v>12</v>
      </c>
      <c r="D115" s="17">
        <v>6737.0</v>
      </c>
      <c r="E115" s="38" t="s">
        <v>1790</v>
      </c>
      <c r="F115" s="43" t="s">
        <v>1791</v>
      </c>
      <c r="G115" s="37"/>
      <c r="H115" s="38" t="s">
        <v>1858</v>
      </c>
      <c r="I115" s="38" t="s">
        <v>1409</v>
      </c>
      <c r="J115" s="39" t="s">
        <v>1793</v>
      </c>
    </row>
    <row r="116" ht="26.25" customHeight="1">
      <c r="A116" s="12" t="s">
        <v>1062</v>
      </c>
      <c r="B116" s="17">
        <v>2023.0</v>
      </c>
      <c r="C116" s="17" t="s">
        <v>12</v>
      </c>
      <c r="D116" s="17">
        <v>6737.0</v>
      </c>
      <c r="E116" s="38" t="s">
        <v>1790</v>
      </c>
      <c r="F116" s="43" t="s">
        <v>1791</v>
      </c>
      <c r="G116" s="37"/>
      <c r="H116" s="38" t="s">
        <v>1859</v>
      </c>
      <c r="I116" s="38" t="s">
        <v>1409</v>
      </c>
      <c r="J116" s="39" t="s">
        <v>1793</v>
      </c>
    </row>
    <row r="117" ht="26.25" customHeight="1">
      <c r="A117" s="12" t="s">
        <v>1068</v>
      </c>
      <c r="B117" s="17">
        <v>2023.0</v>
      </c>
      <c r="C117" s="17" t="s">
        <v>12</v>
      </c>
      <c r="D117" s="17">
        <v>6645.0</v>
      </c>
      <c r="E117" s="89" t="s">
        <v>1860</v>
      </c>
      <c r="F117" s="43" t="s">
        <v>1800</v>
      </c>
      <c r="G117" s="39" t="s">
        <v>1801</v>
      </c>
      <c r="H117" s="90" t="s">
        <v>1861</v>
      </c>
      <c r="I117" s="38" t="s">
        <v>1447</v>
      </c>
      <c r="J117" s="90" t="s">
        <v>1803</v>
      </c>
    </row>
    <row r="118" ht="26.25" customHeight="1">
      <c r="A118" s="12" t="s">
        <v>1074</v>
      </c>
      <c r="B118" s="17">
        <v>2023.0</v>
      </c>
      <c r="C118" s="17" t="s">
        <v>12</v>
      </c>
      <c r="D118" s="17">
        <v>8082.0</v>
      </c>
      <c r="E118" s="38" t="s">
        <v>1862</v>
      </c>
      <c r="F118" s="43" t="s">
        <v>1863</v>
      </c>
      <c r="G118" s="39" t="s">
        <v>1864</v>
      </c>
      <c r="H118" s="38" t="s">
        <v>1865</v>
      </c>
      <c r="I118" s="38" t="s">
        <v>1403</v>
      </c>
      <c r="J118" s="38" t="s">
        <v>1866</v>
      </c>
    </row>
    <row r="119" ht="26.25" customHeight="1">
      <c r="A119" s="12" t="s">
        <v>1080</v>
      </c>
      <c r="B119" s="17">
        <v>2023.0</v>
      </c>
      <c r="C119" s="42" t="s">
        <v>13</v>
      </c>
      <c r="D119" s="42">
        <v>8344.0</v>
      </c>
      <c r="E119" s="38" t="s">
        <v>1867</v>
      </c>
      <c r="F119" s="43" t="s">
        <v>1868</v>
      </c>
      <c r="G119" s="36"/>
      <c r="H119" s="38" t="s">
        <v>1869</v>
      </c>
      <c r="I119" s="38" t="s">
        <v>1447</v>
      </c>
      <c r="J119" s="38" t="s">
        <v>1870</v>
      </c>
    </row>
    <row r="120" ht="26.25" customHeight="1">
      <c r="A120" s="12" t="s">
        <v>1086</v>
      </c>
      <c r="B120" s="17">
        <v>2023.0</v>
      </c>
      <c r="C120" s="42" t="s">
        <v>13</v>
      </c>
      <c r="D120" s="42">
        <v>8344.0</v>
      </c>
      <c r="E120" s="38" t="s">
        <v>1867</v>
      </c>
      <c r="F120" s="43" t="s">
        <v>1868</v>
      </c>
      <c r="G120" s="36"/>
      <c r="H120" s="38" t="s">
        <v>1871</v>
      </c>
      <c r="I120" s="38" t="s">
        <v>1447</v>
      </c>
      <c r="J120" s="38" t="s">
        <v>1870</v>
      </c>
    </row>
    <row r="121" ht="26.25" customHeight="1">
      <c r="A121" s="12" t="s">
        <v>1091</v>
      </c>
      <c r="B121" s="17">
        <v>2023.0</v>
      </c>
      <c r="C121" s="42" t="s">
        <v>13</v>
      </c>
      <c r="D121" s="42">
        <v>8421.0</v>
      </c>
      <c r="E121" s="38" t="s">
        <v>1872</v>
      </c>
      <c r="F121" s="43" t="s">
        <v>1873</v>
      </c>
      <c r="G121" s="38" t="s">
        <v>1874</v>
      </c>
      <c r="H121" s="38" t="s">
        <v>1875</v>
      </c>
      <c r="I121" s="38" t="s">
        <v>1409</v>
      </c>
      <c r="J121" s="38" t="s">
        <v>1876</v>
      </c>
    </row>
    <row r="122" ht="26.25" customHeight="1">
      <c r="A122" s="12" t="s">
        <v>1097</v>
      </c>
      <c r="B122" s="17">
        <v>2023.0</v>
      </c>
      <c r="C122" s="40" t="s">
        <v>13</v>
      </c>
      <c r="D122" s="40">
        <v>8565.0</v>
      </c>
      <c r="E122" s="39" t="s">
        <v>1877</v>
      </c>
      <c r="F122" s="41" t="s">
        <v>1878</v>
      </c>
      <c r="G122" s="39" t="s">
        <v>1879</v>
      </c>
      <c r="H122" s="38" t="s">
        <v>1880</v>
      </c>
      <c r="I122" s="39" t="s">
        <v>1447</v>
      </c>
      <c r="J122" s="39" t="s">
        <v>1881</v>
      </c>
    </row>
    <row r="123" ht="26.25" customHeight="1">
      <c r="A123" s="12" t="s">
        <v>1100</v>
      </c>
      <c r="B123" s="17">
        <v>2023.0</v>
      </c>
      <c r="C123" s="40" t="s">
        <v>13</v>
      </c>
      <c r="D123" s="40">
        <v>8572.0</v>
      </c>
      <c r="E123" s="39" t="s">
        <v>1882</v>
      </c>
      <c r="F123" s="41" t="s">
        <v>1883</v>
      </c>
      <c r="G123" s="39" t="s">
        <v>1884</v>
      </c>
      <c r="H123" s="38" t="s">
        <v>1885</v>
      </c>
      <c r="I123" s="39" t="s">
        <v>1415</v>
      </c>
      <c r="J123" s="39" t="s">
        <v>1886</v>
      </c>
    </row>
    <row r="124" ht="26.25" customHeight="1">
      <c r="A124" s="12" t="s">
        <v>1106</v>
      </c>
      <c r="B124" s="17">
        <v>2023.0</v>
      </c>
      <c r="C124" s="40" t="s">
        <v>14</v>
      </c>
      <c r="D124" s="40">
        <v>8762.0</v>
      </c>
      <c r="E124" s="39" t="s">
        <v>1887</v>
      </c>
      <c r="F124" s="41" t="s">
        <v>1888</v>
      </c>
      <c r="G124" s="39" t="s">
        <v>1889</v>
      </c>
      <c r="H124" s="38" t="s">
        <v>1890</v>
      </c>
      <c r="I124" s="39" t="s">
        <v>1447</v>
      </c>
      <c r="J124" s="39" t="s">
        <v>1891</v>
      </c>
    </row>
    <row r="125" ht="26.25" customHeight="1">
      <c r="A125" s="12" t="s">
        <v>1112</v>
      </c>
      <c r="B125" s="17">
        <v>2023.0</v>
      </c>
      <c r="C125" s="42" t="s">
        <v>14</v>
      </c>
      <c r="D125" s="42">
        <v>8783.0</v>
      </c>
      <c r="E125" s="38" t="s">
        <v>1892</v>
      </c>
      <c r="F125" s="43" t="s">
        <v>1893</v>
      </c>
      <c r="G125" s="38" t="s">
        <v>1894</v>
      </c>
      <c r="H125" s="38" t="s">
        <v>1895</v>
      </c>
      <c r="I125" s="38" t="s">
        <v>1409</v>
      </c>
      <c r="J125" s="38" t="s">
        <v>1896</v>
      </c>
    </row>
    <row r="126" ht="26.25" customHeight="1">
      <c r="A126" s="12" t="s">
        <v>1118</v>
      </c>
      <c r="B126" s="17">
        <v>2023.0</v>
      </c>
      <c r="C126" s="40" t="s">
        <v>14</v>
      </c>
      <c r="D126" s="40">
        <v>8620.0</v>
      </c>
      <c r="E126" s="39" t="s">
        <v>1897</v>
      </c>
      <c r="F126" s="41" t="s">
        <v>1898</v>
      </c>
      <c r="G126" s="39" t="s">
        <v>1899</v>
      </c>
      <c r="H126" s="38" t="s">
        <v>1900</v>
      </c>
      <c r="I126" s="39" t="s">
        <v>1409</v>
      </c>
      <c r="J126" s="39" t="s">
        <v>1901</v>
      </c>
    </row>
    <row r="127" ht="26.25" customHeight="1">
      <c r="A127" s="12" t="s">
        <v>1124</v>
      </c>
      <c r="B127" s="17">
        <v>2023.0</v>
      </c>
      <c r="C127" s="17" t="s">
        <v>14</v>
      </c>
      <c r="D127" s="17">
        <v>8074.0</v>
      </c>
      <c r="E127" s="36" t="s">
        <v>1902</v>
      </c>
      <c r="F127" s="43" t="s">
        <v>1903</v>
      </c>
      <c r="G127" s="36"/>
      <c r="H127" s="38" t="s">
        <v>1904</v>
      </c>
      <c r="I127" s="38" t="s">
        <v>1409</v>
      </c>
      <c r="J127" s="38" t="s">
        <v>1905</v>
      </c>
    </row>
    <row r="128" ht="26.25" customHeight="1">
      <c r="A128" s="12" t="s">
        <v>1129</v>
      </c>
      <c r="B128" s="17">
        <v>2023.0</v>
      </c>
      <c r="C128" s="17" t="s">
        <v>14</v>
      </c>
      <c r="D128" s="17">
        <v>8766.0</v>
      </c>
      <c r="E128" s="36" t="s">
        <v>1906</v>
      </c>
      <c r="F128" s="43" t="s">
        <v>1907</v>
      </c>
      <c r="G128" s="38" t="s">
        <v>1908</v>
      </c>
      <c r="H128" s="38" t="s">
        <v>1909</v>
      </c>
      <c r="I128" s="38" t="s">
        <v>1426</v>
      </c>
      <c r="J128" s="38" t="s">
        <v>1910</v>
      </c>
    </row>
    <row r="129" ht="26.25" customHeight="1">
      <c r="A129" s="12" t="s">
        <v>1135</v>
      </c>
      <c r="B129" s="17">
        <v>2023.0</v>
      </c>
      <c r="C129" s="17" t="s">
        <v>14</v>
      </c>
      <c r="D129" s="35">
        <v>8768.0</v>
      </c>
      <c r="E129" s="36" t="s">
        <v>1911</v>
      </c>
      <c r="F129" s="43" t="s">
        <v>1912</v>
      </c>
      <c r="G129" s="38" t="s">
        <v>1913</v>
      </c>
      <c r="H129" s="38" t="s">
        <v>1914</v>
      </c>
      <c r="I129" s="38" t="s">
        <v>1426</v>
      </c>
      <c r="J129" s="38" t="s">
        <v>1915</v>
      </c>
    </row>
    <row r="130" ht="26.25" customHeight="1">
      <c r="A130" s="12" t="s">
        <v>1141</v>
      </c>
      <c r="B130" s="17">
        <v>2023.0</v>
      </c>
      <c r="C130" s="17" t="s">
        <v>15</v>
      </c>
      <c r="D130" s="17">
        <v>8074.0</v>
      </c>
      <c r="E130" s="36" t="s">
        <v>1902</v>
      </c>
      <c r="F130" s="43" t="s">
        <v>1903</v>
      </c>
      <c r="G130" s="36"/>
      <c r="H130" s="38" t="s">
        <v>1916</v>
      </c>
      <c r="I130" s="38" t="s">
        <v>1409</v>
      </c>
      <c r="J130" s="38" t="s">
        <v>1905</v>
      </c>
    </row>
    <row r="131" ht="26.25" customHeight="1">
      <c r="A131" s="12" t="s">
        <v>1147</v>
      </c>
      <c r="B131" s="17">
        <v>2023.0</v>
      </c>
      <c r="C131" s="40" t="s">
        <v>15</v>
      </c>
      <c r="D131" s="40">
        <v>9111.0</v>
      </c>
      <c r="E131" s="39" t="s">
        <v>1917</v>
      </c>
      <c r="F131" s="41" t="s">
        <v>1918</v>
      </c>
      <c r="G131" s="39" t="s">
        <v>1919</v>
      </c>
      <c r="H131" s="38" t="s">
        <v>1920</v>
      </c>
      <c r="I131" s="39" t="s">
        <v>1409</v>
      </c>
      <c r="J131" s="39" t="s">
        <v>1921</v>
      </c>
    </row>
    <row r="132" ht="26.25" customHeight="1">
      <c r="A132" s="12" t="s">
        <v>1153</v>
      </c>
      <c r="B132" s="17">
        <v>2023.0</v>
      </c>
      <c r="C132" s="40" t="s">
        <v>15</v>
      </c>
      <c r="D132" s="40">
        <v>4089.0</v>
      </c>
      <c r="E132" s="39" t="s">
        <v>1648</v>
      </c>
      <c r="F132" s="40" t="s">
        <v>1649</v>
      </c>
      <c r="G132" s="39" t="s">
        <v>1650</v>
      </c>
      <c r="H132" s="38" t="s">
        <v>1922</v>
      </c>
      <c r="I132" s="39" t="s">
        <v>1447</v>
      </c>
      <c r="J132" s="39" t="s">
        <v>1652</v>
      </c>
    </row>
    <row r="133" ht="26.25" customHeight="1">
      <c r="A133" s="12" t="s">
        <v>1156</v>
      </c>
      <c r="B133" s="17">
        <v>2023.0</v>
      </c>
      <c r="C133" s="40" t="s">
        <v>15</v>
      </c>
      <c r="D133" s="40">
        <v>8995.0</v>
      </c>
      <c r="E133" s="39" t="s">
        <v>1923</v>
      </c>
      <c r="F133" s="41" t="s">
        <v>1924</v>
      </c>
      <c r="G133" s="37"/>
      <c r="H133" s="38" t="s">
        <v>1925</v>
      </c>
      <c r="I133" s="39" t="s">
        <v>1447</v>
      </c>
      <c r="J133" s="39" t="s">
        <v>1926</v>
      </c>
    </row>
    <row r="134" ht="26.25" customHeight="1">
      <c r="A134" s="12" t="s">
        <v>1163</v>
      </c>
      <c r="B134" s="17">
        <v>2023.0</v>
      </c>
      <c r="C134" s="40" t="s">
        <v>15</v>
      </c>
      <c r="D134" s="40">
        <v>8955.0</v>
      </c>
      <c r="E134" s="39" t="s">
        <v>1927</v>
      </c>
      <c r="F134" s="41" t="s">
        <v>1928</v>
      </c>
      <c r="G134" s="39" t="s">
        <v>1929</v>
      </c>
      <c r="H134" s="38" t="s">
        <v>1930</v>
      </c>
      <c r="I134" s="39" t="s">
        <v>1447</v>
      </c>
      <c r="J134" s="39" t="s">
        <v>1931</v>
      </c>
    </row>
    <row r="135" ht="26.25" customHeight="1">
      <c r="A135" s="12" t="s">
        <v>1169</v>
      </c>
      <c r="B135" s="17">
        <v>2023.0</v>
      </c>
      <c r="C135" s="42" t="s">
        <v>15</v>
      </c>
      <c r="D135" s="42">
        <v>1389.0</v>
      </c>
      <c r="E135" s="38" t="s">
        <v>1499</v>
      </c>
      <c r="F135" s="42" t="s">
        <v>1500</v>
      </c>
      <c r="G135" s="38" t="s">
        <v>1501</v>
      </c>
      <c r="H135" s="38" t="s">
        <v>1932</v>
      </c>
      <c r="I135" s="38" t="s">
        <v>1447</v>
      </c>
      <c r="J135" s="38" t="s">
        <v>1503</v>
      </c>
    </row>
    <row r="136" ht="26.25" customHeight="1">
      <c r="A136" s="12" t="s">
        <v>1174</v>
      </c>
      <c r="B136" s="17">
        <v>2023.0</v>
      </c>
      <c r="C136" s="42" t="s">
        <v>15</v>
      </c>
      <c r="D136" s="35">
        <v>9045.0</v>
      </c>
      <c r="E136" s="38" t="s">
        <v>1933</v>
      </c>
      <c r="F136" s="43" t="s">
        <v>1934</v>
      </c>
      <c r="G136" s="38" t="s">
        <v>1935</v>
      </c>
      <c r="H136" s="38" t="s">
        <v>1936</v>
      </c>
      <c r="I136" s="38" t="s">
        <v>1403</v>
      </c>
      <c r="J136" s="38" t="s">
        <v>1937</v>
      </c>
    </row>
    <row r="137" ht="26.25" customHeight="1">
      <c r="A137" s="12" t="s">
        <v>1180</v>
      </c>
      <c r="B137" s="17">
        <v>2023.0</v>
      </c>
      <c r="C137" s="42" t="s">
        <v>15</v>
      </c>
      <c r="D137" s="35">
        <v>9093.0</v>
      </c>
      <c r="E137" s="38" t="s">
        <v>1938</v>
      </c>
      <c r="F137" s="43" t="s">
        <v>1939</v>
      </c>
      <c r="G137" s="38" t="s">
        <v>1940</v>
      </c>
      <c r="H137" s="38" t="s">
        <v>1941</v>
      </c>
      <c r="I137" s="38" t="s">
        <v>1415</v>
      </c>
      <c r="J137" s="36"/>
    </row>
    <row r="138" ht="26.25" customHeight="1">
      <c r="A138" s="12" t="s">
        <v>1186</v>
      </c>
      <c r="B138" s="17">
        <v>2023.0</v>
      </c>
      <c r="C138" s="42" t="s">
        <v>15</v>
      </c>
      <c r="D138" s="35">
        <v>9033.0</v>
      </c>
      <c r="E138" s="38" t="s">
        <v>1942</v>
      </c>
      <c r="F138" s="43" t="s">
        <v>1943</v>
      </c>
      <c r="G138" s="38" t="s">
        <v>1944</v>
      </c>
      <c r="H138" s="38" t="s">
        <v>1945</v>
      </c>
      <c r="I138" s="38" t="s">
        <v>1447</v>
      </c>
      <c r="J138" s="38" t="s">
        <v>1946</v>
      </c>
    </row>
    <row r="139" ht="26.25" customHeight="1">
      <c r="A139" s="12" t="s">
        <v>1192</v>
      </c>
      <c r="B139" s="17">
        <v>2023.0</v>
      </c>
      <c r="C139" s="40" t="s">
        <v>16</v>
      </c>
      <c r="D139" s="40">
        <v>9168.0</v>
      </c>
      <c r="E139" s="39" t="s">
        <v>1947</v>
      </c>
      <c r="F139" s="41" t="s">
        <v>1948</v>
      </c>
      <c r="G139" s="39" t="s">
        <v>1949</v>
      </c>
      <c r="H139" s="38" t="s">
        <v>1950</v>
      </c>
      <c r="I139" s="39" t="s">
        <v>1409</v>
      </c>
      <c r="J139" s="39" t="s">
        <v>1951</v>
      </c>
    </row>
    <row r="140" ht="26.25" customHeight="1">
      <c r="A140" s="12" t="s">
        <v>1198</v>
      </c>
      <c r="B140" s="17">
        <v>2023.0</v>
      </c>
      <c r="C140" s="40" t="s">
        <v>16</v>
      </c>
      <c r="D140" s="40">
        <v>9219.0</v>
      </c>
      <c r="E140" s="39" t="s">
        <v>1952</v>
      </c>
      <c r="F140" s="41" t="s">
        <v>1953</v>
      </c>
      <c r="G140" s="39" t="s">
        <v>1954</v>
      </c>
      <c r="H140" s="38" t="s">
        <v>1955</v>
      </c>
      <c r="I140" s="39" t="s">
        <v>1447</v>
      </c>
      <c r="J140" s="39" t="s">
        <v>1956</v>
      </c>
    </row>
    <row r="141" ht="26.25" customHeight="1">
      <c r="A141" s="12" t="s">
        <v>1204</v>
      </c>
      <c r="B141" s="17">
        <v>2023.0</v>
      </c>
      <c r="C141" s="40" t="s">
        <v>16</v>
      </c>
      <c r="D141" s="42">
        <v>9130.0</v>
      </c>
      <c r="E141" s="38" t="s">
        <v>1957</v>
      </c>
      <c r="F141" s="42" t="s">
        <v>1958</v>
      </c>
      <c r="G141" s="39" t="s">
        <v>1959</v>
      </c>
      <c r="H141" s="38" t="s">
        <v>1960</v>
      </c>
      <c r="I141" s="39" t="s">
        <v>1447</v>
      </c>
      <c r="J141" s="39" t="s">
        <v>1961</v>
      </c>
    </row>
    <row r="142" ht="26.25" customHeight="1">
      <c r="A142" s="12" t="s">
        <v>1210</v>
      </c>
      <c r="B142" s="17">
        <v>2023.0</v>
      </c>
      <c r="C142" s="40" t="s">
        <v>16</v>
      </c>
      <c r="D142" s="40">
        <v>8565.0</v>
      </c>
      <c r="E142" s="39" t="s">
        <v>1877</v>
      </c>
      <c r="F142" s="41" t="s">
        <v>1878</v>
      </c>
      <c r="G142" s="39" t="s">
        <v>1879</v>
      </c>
      <c r="H142" s="38" t="s">
        <v>1962</v>
      </c>
      <c r="I142" s="39" t="s">
        <v>1447</v>
      </c>
      <c r="J142" s="39" t="s">
        <v>1881</v>
      </c>
    </row>
    <row r="143" ht="26.25" customHeight="1">
      <c r="A143" s="12" t="s">
        <v>1213</v>
      </c>
      <c r="B143" s="17">
        <v>2023.0</v>
      </c>
      <c r="C143" s="42" t="s">
        <v>16</v>
      </c>
      <c r="D143" s="42">
        <v>9347.0</v>
      </c>
      <c r="E143" s="38" t="s">
        <v>1963</v>
      </c>
      <c r="F143" s="43" t="s">
        <v>1964</v>
      </c>
      <c r="G143" s="38" t="s">
        <v>1965</v>
      </c>
      <c r="H143" s="38" t="s">
        <v>1966</v>
      </c>
      <c r="I143" s="38" t="s">
        <v>1447</v>
      </c>
      <c r="J143" s="38" t="s">
        <v>1967</v>
      </c>
    </row>
    <row r="144" ht="26.25" customHeight="1">
      <c r="A144" s="12" t="s">
        <v>1219</v>
      </c>
      <c r="B144" s="17">
        <v>2023.0</v>
      </c>
      <c r="C144" s="42" t="s">
        <v>16</v>
      </c>
      <c r="D144" s="42">
        <v>9288.0</v>
      </c>
      <c r="E144" s="38" t="s">
        <v>1968</v>
      </c>
      <c r="F144" s="43" t="s">
        <v>1969</v>
      </c>
      <c r="G144" s="38" t="s">
        <v>1970</v>
      </c>
      <c r="H144" s="38" t="s">
        <v>1971</v>
      </c>
      <c r="I144" s="38" t="s">
        <v>1409</v>
      </c>
      <c r="J144" s="38" t="s">
        <v>1972</v>
      </c>
    </row>
    <row r="145" ht="26.25" customHeight="1">
      <c r="A145" s="12" t="s">
        <v>1225</v>
      </c>
      <c r="B145" s="17">
        <v>2023.0</v>
      </c>
      <c r="C145" s="40" t="s">
        <v>16</v>
      </c>
      <c r="D145" s="40">
        <v>9325.0</v>
      </c>
      <c r="E145" s="39" t="s">
        <v>1973</v>
      </c>
      <c r="F145" s="41" t="s">
        <v>1974</v>
      </c>
      <c r="G145" s="39" t="s">
        <v>1975</v>
      </c>
      <c r="H145" s="38" t="s">
        <v>1976</v>
      </c>
      <c r="I145" s="39" t="s">
        <v>1403</v>
      </c>
      <c r="J145" s="39" t="s">
        <v>1977</v>
      </c>
    </row>
    <row r="146" ht="26.25" customHeight="1">
      <c r="A146" s="12" t="s">
        <v>1231</v>
      </c>
      <c r="B146" s="17">
        <v>2023.0</v>
      </c>
      <c r="C146" s="40" t="s">
        <v>17</v>
      </c>
      <c r="D146" s="42">
        <v>9393.0</v>
      </c>
      <c r="E146" s="38" t="s">
        <v>1978</v>
      </c>
      <c r="F146" s="42" t="s">
        <v>1979</v>
      </c>
      <c r="G146" s="39" t="s">
        <v>1980</v>
      </c>
      <c r="H146" s="38" t="s">
        <v>1981</v>
      </c>
      <c r="I146" s="38" t="s">
        <v>1447</v>
      </c>
      <c r="J146" s="39" t="s">
        <v>1982</v>
      </c>
    </row>
    <row r="147" ht="26.25" customHeight="1">
      <c r="A147" s="12" t="s">
        <v>1235</v>
      </c>
      <c r="B147" s="17">
        <v>2023.0</v>
      </c>
      <c r="C147" s="42" t="s">
        <v>17</v>
      </c>
      <c r="D147" s="42">
        <v>8783.0</v>
      </c>
      <c r="E147" s="38" t="s">
        <v>1892</v>
      </c>
      <c r="F147" s="43" t="s">
        <v>1893</v>
      </c>
      <c r="G147" s="38" t="s">
        <v>1894</v>
      </c>
      <c r="H147" s="38" t="s">
        <v>1983</v>
      </c>
      <c r="I147" s="38" t="s">
        <v>1409</v>
      </c>
      <c r="J147" s="38" t="s">
        <v>1896</v>
      </c>
    </row>
    <row r="148" ht="26.25" customHeight="1">
      <c r="A148" s="12" t="s">
        <v>1241</v>
      </c>
      <c r="B148" s="17">
        <v>2023.0</v>
      </c>
      <c r="C148" s="40" t="s">
        <v>17</v>
      </c>
      <c r="D148" s="40">
        <v>8922.0</v>
      </c>
      <c r="E148" s="39" t="s">
        <v>1984</v>
      </c>
      <c r="F148" s="41" t="s">
        <v>1985</v>
      </c>
      <c r="G148" s="39" t="s">
        <v>1986</v>
      </c>
      <c r="H148" s="38" t="s">
        <v>1987</v>
      </c>
      <c r="I148" s="39" t="s">
        <v>1409</v>
      </c>
      <c r="J148" s="39" t="s">
        <v>1988</v>
      </c>
    </row>
    <row r="149" ht="26.25" customHeight="1">
      <c r="A149" s="12" t="s">
        <v>1246</v>
      </c>
      <c r="B149" s="17">
        <v>2023.0</v>
      </c>
      <c r="C149" s="42" t="s">
        <v>17</v>
      </c>
      <c r="D149" s="42">
        <v>9431.0</v>
      </c>
      <c r="E149" s="38" t="s">
        <v>1989</v>
      </c>
      <c r="F149" s="43" t="s">
        <v>1990</v>
      </c>
      <c r="G149" s="38" t="s">
        <v>1991</v>
      </c>
      <c r="H149" s="38" t="s">
        <v>1992</v>
      </c>
      <c r="I149" s="38" t="s">
        <v>1403</v>
      </c>
      <c r="J149" s="38" t="s">
        <v>1993</v>
      </c>
    </row>
    <row r="150" ht="26.25" customHeight="1">
      <c r="A150" s="12" t="s">
        <v>1252</v>
      </c>
      <c r="B150" s="17">
        <v>2023.0</v>
      </c>
      <c r="C150" s="40" t="s">
        <v>17</v>
      </c>
      <c r="D150" s="40">
        <v>9386.0</v>
      </c>
      <c r="E150" s="39" t="s">
        <v>1994</v>
      </c>
      <c r="F150" s="41" t="s">
        <v>1995</v>
      </c>
      <c r="G150" s="39" t="s">
        <v>1996</v>
      </c>
      <c r="H150" s="38" t="s">
        <v>1997</v>
      </c>
      <c r="I150" s="39" t="s">
        <v>1403</v>
      </c>
      <c r="J150" s="39" t="s">
        <v>1998</v>
      </c>
    </row>
    <row r="151" ht="26.25" customHeight="1">
      <c r="A151" s="12" t="s">
        <v>1999</v>
      </c>
      <c r="B151" s="17">
        <v>2023.0</v>
      </c>
      <c r="C151" s="40" t="s">
        <v>17</v>
      </c>
      <c r="D151" s="40">
        <v>1006.0</v>
      </c>
      <c r="E151" s="38" t="s">
        <v>1538</v>
      </c>
      <c r="F151" s="41" t="s">
        <v>2000</v>
      </c>
      <c r="G151" s="39" t="s">
        <v>1540</v>
      </c>
      <c r="H151" s="38" t="s">
        <v>2001</v>
      </c>
      <c r="I151" s="39" t="s">
        <v>1403</v>
      </c>
      <c r="J151" s="39" t="s">
        <v>1542</v>
      </c>
    </row>
    <row r="152" ht="26.25" customHeight="1">
      <c r="A152" s="12" t="s">
        <v>2002</v>
      </c>
      <c r="B152" s="17">
        <v>2023.0</v>
      </c>
      <c r="C152" s="40" t="s">
        <v>17</v>
      </c>
      <c r="D152" s="40">
        <v>9114.0</v>
      </c>
      <c r="E152" s="38" t="s">
        <v>2003</v>
      </c>
      <c r="F152" s="41" t="s">
        <v>2004</v>
      </c>
      <c r="G152" s="39" t="s">
        <v>2005</v>
      </c>
      <c r="H152" s="38" t="s">
        <v>2006</v>
      </c>
      <c r="I152" s="39" t="s">
        <v>1403</v>
      </c>
      <c r="J152" s="39" t="s">
        <v>2007</v>
      </c>
    </row>
    <row r="153" ht="26.25" customHeight="1">
      <c r="A153" s="12" t="s">
        <v>2008</v>
      </c>
      <c r="B153" s="17">
        <v>2023.0</v>
      </c>
      <c r="C153" s="40" t="s">
        <v>18</v>
      </c>
      <c r="D153" s="42">
        <v>7835.0</v>
      </c>
      <c r="E153" s="38" t="s">
        <v>1848</v>
      </c>
      <c r="F153" s="42" t="s">
        <v>1849</v>
      </c>
      <c r="G153" s="39" t="s">
        <v>1850</v>
      </c>
      <c r="H153" s="38" t="s">
        <v>2009</v>
      </c>
      <c r="I153" s="39" t="s">
        <v>1409</v>
      </c>
      <c r="J153" s="39" t="s">
        <v>1852</v>
      </c>
    </row>
    <row r="154" ht="26.25" customHeight="1">
      <c r="A154" s="12" t="s">
        <v>2010</v>
      </c>
      <c r="B154" s="17">
        <v>2023.0</v>
      </c>
      <c r="C154" s="40" t="s">
        <v>18</v>
      </c>
      <c r="D154" s="40">
        <v>9766.0</v>
      </c>
      <c r="E154" s="39" t="s">
        <v>2011</v>
      </c>
      <c r="F154" s="40" t="s">
        <v>2012</v>
      </c>
      <c r="G154" s="39" t="s">
        <v>2013</v>
      </c>
      <c r="H154" s="38" t="s">
        <v>2014</v>
      </c>
      <c r="I154" s="39" t="s">
        <v>1409</v>
      </c>
      <c r="J154" s="39" t="s">
        <v>2015</v>
      </c>
    </row>
    <row r="155" ht="26.25" customHeight="1">
      <c r="A155" s="12" t="s">
        <v>2016</v>
      </c>
      <c r="B155" s="17">
        <v>2023.0</v>
      </c>
      <c r="C155" s="40" t="s">
        <v>18</v>
      </c>
      <c r="D155" s="40">
        <v>8565.0</v>
      </c>
      <c r="E155" s="39" t="s">
        <v>1877</v>
      </c>
      <c r="F155" s="41" t="s">
        <v>1878</v>
      </c>
      <c r="G155" s="39" t="s">
        <v>1879</v>
      </c>
      <c r="H155" s="38" t="s">
        <v>2017</v>
      </c>
      <c r="I155" s="39" t="s">
        <v>1447</v>
      </c>
      <c r="J155" s="39" t="s">
        <v>1881</v>
      </c>
    </row>
    <row r="156" ht="26.25" customHeight="1">
      <c r="A156" s="12" t="s">
        <v>2018</v>
      </c>
      <c r="B156" s="17">
        <v>2023.0</v>
      </c>
      <c r="C156" s="40" t="s">
        <v>18</v>
      </c>
      <c r="D156" s="40">
        <v>9737.0</v>
      </c>
      <c r="E156" s="39" t="s">
        <v>2019</v>
      </c>
      <c r="F156" s="41" t="s">
        <v>2020</v>
      </c>
      <c r="G156" s="39" t="s">
        <v>2021</v>
      </c>
      <c r="H156" s="38" t="s">
        <v>2022</v>
      </c>
      <c r="I156" s="39" t="s">
        <v>1403</v>
      </c>
      <c r="J156" s="39" t="s">
        <v>2023</v>
      </c>
    </row>
    <row r="157" ht="26.25" customHeight="1">
      <c r="A157" s="12" t="s">
        <v>2024</v>
      </c>
      <c r="B157" s="17">
        <v>2023.0</v>
      </c>
      <c r="C157" s="40" t="s">
        <v>19</v>
      </c>
      <c r="D157" s="42">
        <v>10264.0</v>
      </c>
      <c r="E157" s="38" t="s">
        <v>2025</v>
      </c>
      <c r="F157" s="42" t="s">
        <v>2026</v>
      </c>
      <c r="G157" s="39" t="s">
        <v>2027</v>
      </c>
      <c r="H157" s="38" t="s">
        <v>1038</v>
      </c>
      <c r="I157" s="39" t="s">
        <v>1403</v>
      </c>
      <c r="J157" s="39" t="s">
        <v>2028</v>
      </c>
    </row>
    <row r="158" ht="26.25" customHeight="1">
      <c r="A158" s="12" t="s">
        <v>2029</v>
      </c>
      <c r="B158" s="17">
        <v>2023.0</v>
      </c>
      <c r="C158" s="40" t="s">
        <v>19</v>
      </c>
      <c r="D158" s="40">
        <v>8565.0</v>
      </c>
      <c r="E158" s="39" t="s">
        <v>1877</v>
      </c>
      <c r="F158" s="41" t="s">
        <v>1878</v>
      </c>
      <c r="G158" s="39" t="s">
        <v>1879</v>
      </c>
      <c r="H158" s="38" t="s">
        <v>2030</v>
      </c>
      <c r="I158" s="39" t="s">
        <v>1447</v>
      </c>
      <c r="J158" s="39" t="s">
        <v>1881</v>
      </c>
    </row>
    <row r="159" ht="26.25" customHeight="1">
      <c r="A159" s="12" t="s">
        <v>2031</v>
      </c>
      <c r="B159" s="17">
        <v>2023.0</v>
      </c>
      <c r="C159" s="17" t="s">
        <v>19</v>
      </c>
      <c r="D159" s="17">
        <v>10218.0</v>
      </c>
      <c r="E159" s="36" t="s">
        <v>2032</v>
      </c>
      <c r="F159" s="43" t="s">
        <v>2033</v>
      </c>
      <c r="G159" s="39" t="s">
        <v>2034</v>
      </c>
      <c r="H159" s="36" t="s">
        <v>2035</v>
      </c>
      <c r="I159" s="38" t="s">
        <v>1447</v>
      </c>
      <c r="J159" s="38" t="s">
        <v>2036</v>
      </c>
    </row>
    <row r="160" ht="26.25" customHeight="1">
      <c r="A160" s="12" t="s">
        <v>2037</v>
      </c>
      <c r="B160" s="17">
        <v>2023.0</v>
      </c>
      <c r="C160" s="40" t="s">
        <v>19</v>
      </c>
      <c r="D160" s="40">
        <v>10019.0</v>
      </c>
      <c r="E160" s="37" t="s">
        <v>2038</v>
      </c>
      <c r="F160" s="40" t="s">
        <v>2039</v>
      </c>
      <c r="G160" s="39" t="s">
        <v>2040</v>
      </c>
      <c r="H160" s="38" t="s">
        <v>2041</v>
      </c>
      <c r="I160" s="39" t="s">
        <v>1426</v>
      </c>
      <c r="J160" s="39" t="s">
        <v>2042</v>
      </c>
    </row>
    <row r="161" ht="26.25" customHeight="1">
      <c r="A161" s="12" t="s">
        <v>2043</v>
      </c>
      <c r="B161" s="17">
        <v>2023.0</v>
      </c>
      <c r="C161" s="40" t="s">
        <v>19</v>
      </c>
      <c r="D161" s="42">
        <v>7835.0</v>
      </c>
      <c r="E161" s="38" t="s">
        <v>1848</v>
      </c>
      <c r="F161" s="42" t="s">
        <v>1849</v>
      </c>
      <c r="G161" s="39" t="s">
        <v>1850</v>
      </c>
      <c r="H161" s="38" t="s">
        <v>2044</v>
      </c>
      <c r="I161" s="39" t="s">
        <v>1409</v>
      </c>
      <c r="J161" s="39" t="s">
        <v>1852</v>
      </c>
    </row>
    <row r="162" ht="26.25" customHeight="1">
      <c r="A162" s="12" t="s">
        <v>2045</v>
      </c>
      <c r="B162" s="17">
        <v>2023.0</v>
      </c>
      <c r="C162" s="40" t="s">
        <v>19</v>
      </c>
      <c r="D162" s="42">
        <v>5199.0</v>
      </c>
      <c r="E162" s="38" t="s">
        <v>2046</v>
      </c>
      <c r="F162" s="42" t="s">
        <v>2047</v>
      </c>
      <c r="G162" s="39" t="s">
        <v>2048</v>
      </c>
      <c r="H162" s="38" t="s">
        <v>2049</v>
      </c>
      <c r="I162" s="39" t="s">
        <v>2050</v>
      </c>
      <c r="J162" s="39" t="s">
        <v>2051</v>
      </c>
    </row>
    <row r="163" ht="26.25" customHeight="1">
      <c r="A163" s="12" t="s">
        <v>2052</v>
      </c>
      <c r="B163" s="17">
        <v>2023.0</v>
      </c>
      <c r="C163" s="40" t="s">
        <v>19</v>
      </c>
      <c r="D163" s="40">
        <v>9879.0</v>
      </c>
      <c r="E163" s="37" t="s">
        <v>2053</v>
      </c>
      <c r="F163" s="40" t="s">
        <v>2054</v>
      </c>
      <c r="G163" s="37"/>
      <c r="H163" s="36" t="s">
        <v>2055</v>
      </c>
      <c r="I163" s="39" t="s">
        <v>1426</v>
      </c>
      <c r="J163" s="39" t="s">
        <v>2056</v>
      </c>
    </row>
    <row r="164" ht="26.25" customHeight="1">
      <c r="A164" s="12" t="s">
        <v>2057</v>
      </c>
      <c r="B164" s="17">
        <v>2023.0</v>
      </c>
      <c r="C164" s="40" t="s">
        <v>19</v>
      </c>
      <c r="D164" s="40">
        <v>10043.0</v>
      </c>
      <c r="E164" s="37" t="s">
        <v>2058</v>
      </c>
      <c r="F164" s="41" t="s">
        <v>2059</v>
      </c>
      <c r="G164" s="39" t="s">
        <v>2060</v>
      </c>
      <c r="H164" s="36" t="s">
        <v>2061</v>
      </c>
      <c r="I164" s="39" t="s">
        <v>1426</v>
      </c>
      <c r="J164" s="39" t="s">
        <v>2062</v>
      </c>
    </row>
    <row r="165" ht="26.25" customHeight="1">
      <c r="A165" s="12" t="s">
        <v>2063</v>
      </c>
      <c r="B165" s="17">
        <v>2023.0</v>
      </c>
      <c r="C165" s="42" t="s">
        <v>19</v>
      </c>
      <c r="D165" s="42">
        <v>1389.0</v>
      </c>
      <c r="E165" s="38" t="s">
        <v>1499</v>
      </c>
      <c r="F165" s="42" t="s">
        <v>1500</v>
      </c>
      <c r="G165" s="38" t="s">
        <v>1501</v>
      </c>
      <c r="H165" s="38" t="s">
        <v>2064</v>
      </c>
      <c r="I165" s="38" t="s">
        <v>1447</v>
      </c>
      <c r="J165" s="38" t="s">
        <v>1503</v>
      </c>
    </row>
    <row r="166" ht="26.25" customHeight="1">
      <c r="A166" s="12" t="s">
        <v>2065</v>
      </c>
      <c r="B166" s="17">
        <v>2023.0</v>
      </c>
      <c r="C166" s="40" t="s">
        <v>19</v>
      </c>
      <c r="D166" s="40">
        <v>10109.0</v>
      </c>
      <c r="E166" s="37" t="s">
        <v>2066</v>
      </c>
      <c r="F166" s="41" t="s">
        <v>2067</v>
      </c>
      <c r="G166" s="39" t="s">
        <v>2068</v>
      </c>
      <c r="H166" s="36" t="s">
        <v>2069</v>
      </c>
      <c r="I166" s="39" t="s">
        <v>2050</v>
      </c>
      <c r="J166" s="39" t="s">
        <v>2070</v>
      </c>
    </row>
    <row r="167" ht="26.25" customHeight="1">
      <c r="A167" s="12" t="s">
        <v>2071</v>
      </c>
      <c r="B167" s="17">
        <v>2023.0</v>
      </c>
      <c r="C167" s="40" t="s">
        <v>20</v>
      </c>
      <c r="D167" s="40">
        <v>8368.0</v>
      </c>
      <c r="E167" s="37" t="s">
        <v>2072</v>
      </c>
      <c r="F167" s="41" t="s">
        <v>2073</v>
      </c>
      <c r="G167" s="39" t="s">
        <v>2074</v>
      </c>
      <c r="H167" s="36" t="s">
        <v>2075</v>
      </c>
      <c r="I167" s="38" t="s">
        <v>1403</v>
      </c>
      <c r="J167" s="39" t="s">
        <v>2076</v>
      </c>
    </row>
    <row r="168" ht="26.25" customHeight="1">
      <c r="A168" s="12" t="s">
        <v>2077</v>
      </c>
      <c r="B168" s="17">
        <v>2023.0</v>
      </c>
      <c r="C168" s="40" t="s">
        <v>20</v>
      </c>
      <c r="D168" s="40">
        <v>10213.0</v>
      </c>
      <c r="E168" s="37" t="s">
        <v>2078</v>
      </c>
      <c r="F168" s="41" t="s">
        <v>2079</v>
      </c>
      <c r="G168" s="39" t="s">
        <v>2080</v>
      </c>
      <c r="H168" s="36" t="s">
        <v>2081</v>
      </c>
      <c r="I168" s="38" t="s">
        <v>1426</v>
      </c>
      <c r="J168" s="39" t="s">
        <v>2082</v>
      </c>
    </row>
    <row r="169" ht="26.25" customHeight="1">
      <c r="A169" s="12" t="s">
        <v>2083</v>
      </c>
      <c r="B169" s="17">
        <v>2023.0</v>
      </c>
      <c r="C169" s="17" t="s">
        <v>20</v>
      </c>
      <c r="D169" s="17">
        <v>10425.0</v>
      </c>
      <c r="E169" s="36" t="s">
        <v>2084</v>
      </c>
      <c r="F169" s="43" t="s">
        <v>2085</v>
      </c>
      <c r="G169" s="39" t="s">
        <v>2086</v>
      </c>
      <c r="H169" s="36" t="s">
        <v>2084</v>
      </c>
      <c r="I169" s="38" t="s">
        <v>1409</v>
      </c>
      <c r="J169" s="39" t="s">
        <v>2087</v>
      </c>
    </row>
    <row r="170" ht="26.25" customHeight="1">
      <c r="A170" s="12" t="s">
        <v>2088</v>
      </c>
      <c r="B170" s="17">
        <v>2023.0</v>
      </c>
      <c r="C170" s="17" t="s">
        <v>21</v>
      </c>
      <c r="D170" s="17">
        <v>10564.0</v>
      </c>
      <c r="E170" s="38" t="s">
        <v>2089</v>
      </c>
      <c r="F170" s="43" t="s">
        <v>2090</v>
      </c>
      <c r="G170" s="38" t="s">
        <v>2091</v>
      </c>
      <c r="H170" s="38" t="s">
        <v>2092</v>
      </c>
      <c r="I170" s="38" t="s">
        <v>1415</v>
      </c>
      <c r="J170" s="38" t="s">
        <v>2093</v>
      </c>
    </row>
    <row r="171" ht="26.25" customHeight="1">
      <c r="A171" s="12" t="s">
        <v>2094</v>
      </c>
      <c r="B171" s="17">
        <v>2023.0</v>
      </c>
      <c r="C171" s="17" t="s">
        <v>21</v>
      </c>
      <c r="D171" s="17">
        <v>9303.0</v>
      </c>
      <c r="E171" s="36" t="s">
        <v>2095</v>
      </c>
      <c r="F171" s="43" t="s">
        <v>2096</v>
      </c>
      <c r="G171" s="36"/>
      <c r="H171" s="38" t="s">
        <v>2097</v>
      </c>
      <c r="I171" s="38" t="s">
        <v>1447</v>
      </c>
      <c r="J171" s="38" t="s">
        <v>2098</v>
      </c>
    </row>
    <row r="172" ht="26.25" customHeight="1">
      <c r="A172" s="12" t="s">
        <v>2099</v>
      </c>
      <c r="B172" s="17">
        <v>2023.0</v>
      </c>
      <c r="C172" s="17" t="s">
        <v>22</v>
      </c>
      <c r="D172" s="17">
        <v>5319.0</v>
      </c>
      <c r="E172" s="38" t="s">
        <v>1710</v>
      </c>
      <c r="F172" s="41" t="s">
        <v>1711</v>
      </c>
      <c r="G172" s="38" t="s">
        <v>1712</v>
      </c>
      <c r="H172" s="38" t="s">
        <v>2100</v>
      </c>
      <c r="I172" s="38" t="s">
        <v>1409</v>
      </c>
      <c r="J172" s="38" t="s">
        <v>1714</v>
      </c>
    </row>
    <row r="173" ht="26.25" customHeight="1">
      <c r="A173" s="12" t="s">
        <v>2101</v>
      </c>
      <c r="B173" s="17">
        <v>2023.0</v>
      </c>
      <c r="C173" s="17" t="s">
        <v>22</v>
      </c>
      <c r="D173" s="17">
        <v>10774.0</v>
      </c>
      <c r="E173" s="36" t="s">
        <v>2102</v>
      </c>
      <c r="F173" s="43" t="s">
        <v>2103</v>
      </c>
      <c r="G173" s="36" t="s">
        <v>2104</v>
      </c>
      <c r="H173" s="36" t="s">
        <v>2105</v>
      </c>
      <c r="I173" s="38" t="s">
        <v>1415</v>
      </c>
      <c r="J173" s="38" t="s">
        <v>2106</v>
      </c>
    </row>
    <row r="174" ht="26.25" customHeight="1">
      <c r="A174" s="12" t="s">
        <v>2107</v>
      </c>
      <c r="B174" s="17">
        <v>2023.0</v>
      </c>
      <c r="C174" s="17" t="s">
        <v>22</v>
      </c>
      <c r="D174" s="17">
        <v>6737.0</v>
      </c>
      <c r="E174" s="38" t="s">
        <v>1790</v>
      </c>
      <c r="F174" s="43" t="s">
        <v>1791</v>
      </c>
      <c r="G174" s="36"/>
      <c r="H174" s="38" t="s">
        <v>2108</v>
      </c>
      <c r="I174" s="38" t="s">
        <v>1409</v>
      </c>
      <c r="J174" s="38" t="s">
        <v>1793</v>
      </c>
    </row>
    <row r="175" ht="26.25" customHeight="1">
      <c r="A175" s="12" t="s">
        <v>2109</v>
      </c>
      <c r="B175" s="17">
        <v>2023.0</v>
      </c>
      <c r="C175" s="17" t="s">
        <v>22</v>
      </c>
      <c r="D175" s="17">
        <v>10741.0</v>
      </c>
      <c r="E175" s="38" t="s">
        <v>2110</v>
      </c>
      <c r="F175" s="43" t="s">
        <v>2111</v>
      </c>
      <c r="G175" s="38" t="s">
        <v>2112</v>
      </c>
      <c r="H175" s="38" t="s">
        <v>2113</v>
      </c>
      <c r="I175" s="38" t="s">
        <v>1409</v>
      </c>
      <c r="J175" s="38" t="s">
        <v>2114</v>
      </c>
    </row>
    <row r="176" ht="26.25" customHeight="1">
      <c r="A176" s="12" t="s">
        <v>2115</v>
      </c>
      <c r="B176" s="17">
        <v>2024.0</v>
      </c>
      <c r="C176" s="17" t="s">
        <v>11</v>
      </c>
      <c r="D176" s="17">
        <v>8074.0</v>
      </c>
      <c r="E176" s="36" t="s">
        <v>1902</v>
      </c>
      <c r="F176" s="43" t="s">
        <v>1903</v>
      </c>
      <c r="G176" s="47"/>
      <c r="H176" s="38" t="s">
        <v>2116</v>
      </c>
      <c r="I176" s="38" t="s">
        <v>1409</v>
      </c>
      <c r="J176" s="38" t="s">
        <v>1905</v>
      </c>
    </row>
    <row r="177" ht="26.25" customHeight="1">
      <c r="A177" s="12" t="s">
        <v>2117</v>
      </c>
      <c r="B177" s="17">
        <v>2024.0</v>
      </c>
      <c r="C177" s="17" t="s">
        <v>11</v>
      </c>
      <c r="D177" s="17">
        <v>10880.0</v>
      </c>
      <c r="E177" s="36" t="s">
        <v>2118</v>
      </c>
      <c r="F177" s="43" t="s">
        <v>2119</v>
      </c>
      <c r="G177" s="36" t="s">
        <v>2120</v>
      </c>
      <c r="H177" s="36" t="s">
        <v>2121</v>
      </c>
      <c r="I177" s="38" t="s">
        <v>1415</v>
      </c>
      <c r="J177" s="38" t="s">
        <v>2122</v>
      </c>
    </row>
    <row r="178" ht="26.25" customHeight="1">
      <c r="A178" s="12" t="s">
        <v>2123</v>
      </c>
      <c r="B178" s="17">
        <v>2024.0</v>
      </c>
      <c r="C178" s="17" t="s">
        <v>11</v>
      </c>
      <c r="D178" s="17">
        <v>10163.0</v>
      </c>
      <c r="E178" s="36" t="s">
        <v>2124</v>
      </c>
      <c r="F178" s="43" t="s">
        <v>2125</v>
      </c>
      <c r="G178" s="36" t="s">
        <v>2126</v>
      </c>
      <c r="H178" s="36" t="s">
        <v>2127</v>
      </c>
      <c r="I178" s="38" t="s">
        <v>1447</v>
      </c>
      <c r="J178" s="38" t="s">
        <v>2128</v>
      </c>
    </row>
    <row r="179" ht="26.25" customHeight="1">
      <c r="A179" s="12" t="s">
        <v>2129</v>
      </c>
      <c r="B179" s="17">
        <v>2024.0</v>
      </c>
      <c r="C179" s="17" t="s">
        <v>11</v>
      </c>
      <c r="D179" s="17">
        <v>10931.0</v>
      </c>
      <c r="E179" s="36" t="s">
        <v>2130</v>
      </c>
      <c r="F179" s="43" t="s">
        <v>2131</v>
      </c>
      <c r="G179" s="36" t="s">
        <v>2132</v>
      </c>
      <c r="H179" s="36" t="s">
        <v>2133</v>
      </c>
      <c r="I179" s="38" t="s">
        <v>1447</v>
      </c>
      <c r="J179" s="38" t="s">
        <v>2134</v>
      </c>
    </row>
    <row r="180" ht="26.25" customHeight="1">
      <c r="A180" s="12" t="s">
        <v>2135</v>
      </c>
      <c r="B180" s="17">
        <v>2024.0</v>
      </c>
      <c r="C180" s="17" t="s">
        <v>11</v>
      </c>
      <c r="D180" s="17">
        <v>10774.0</v>
      </c>
      <c r="E180" s="36" t="s">
        <v>2136</v>
      </c>
      <c r="F180" s="43" t="s">
        <v>2103</v>
      </c>
      <c r="G180" s="36" t="s">
        <v>2104</v>
      </c>
      <c r="H180" s="36" t="s">
        <v>2137</v>
      </c>
      <c r="I180" s="38" t="s">
        <v>1415</v>
      </c>
      <c r="J180" s="38" t="s">
        <v>2106</v>
      </c>
    </row>
    <row r="181" ht="26.25" customHeight="1">
      <c r="A181" s="12" t="s">
        <v>2138</v>
      </c>
      <c r="B181" s="17">
        <v>2024.0</v>
      </c>
      <c r="C181" s="17" t="s">
        <v>11</v>
      </c>
      <c r="D181" s="17">
        <v>11046.0</v>
      </c>
      <c r="E181" s="36" t="s">
        <v>2139</v>
      </c>
      <c r="F181" s="43" t="s">
        <v>2140</v>
      </c>
      <c r="G181" s="47"/>
      <c r="H181" s="36" t="s">
        <v>2139</v>
      </c>
      <c r="I181" s="38" t="s">
        <v>1415</v>
      </c>
      <c r="J181" s="38" t="s">
        <v>2141</v>
      </c>
    </row>
    <row r="182" ht="26.25" customHeight="1">
      <c r="A182" s="12" t="s">
        <v>2142</v>
      </c>
      <c r="B182" s="17">
        <v>2024.0</v>
      </c>
      <c r="C182" s="17" t="s">
        <v>11</v>
      </c>
      <c r="D182" s="17">
        <v>11117.0</v>
      </c>
      <c r="E182" s="36" t="s">
        <v>2143</v>
      </c>
      <c r="F182" s="43" t="s">
        <v>2144</v>
      </c>
      <c r="G182" s="36" t="s">
        <v>2145</v>
      </c>
      <c r="H182" s="36" t="s">
        <v>2146</v>
      </c>
      <c r="I182" s="38" t="s">
        <v>1447</v>
      </c>
      <c r="J182" s="38" t="s">
        <v>2147</v>
      </c>
    </row>
    <row r="183" ht="26.25" customHeight="1">
      <c r="A183" s="12" t="s">
        <v>2148</v>
      </c>
      <c r="B183" s="17">
        <v>2024.0</v>
      </c>
      <c r="C183" s="17" t="s">
        <v>12</v>
      </c>
      <c r="D183" s="17">
        <v>11117.0</v>
      </c>
      <c r="E183" s="36" t="s">
        <v>2143</v>
      </c>
      <c r="F183" s="43" t="s">
        <v>2144</v>
      </c>
      <c r="G183" s="36" t="s">
        <v>2145</v>
      </c>
      <c r="H183" s="36" t="s">
        <v>2149</v>
      </c>
      <c r="I183" s="38" t="s">
        <v>1447</v>
      </c>
      <c r="J183" s="38" t="s">
        <v>2147</v>
      </c>
    </row>
    <row r="184" ht="26.25" customHeight="1">
      <c r="A184" s="12" t="s">
        <v>2150</v>
      </c>
      <c r="B184" s="17">
        <v>2024.0</v>
      </c>
      <c r="C184" s="17" t="s">
        <v>12</v>
      </c>
      <c r="D184" s="17">
        <v>11183.0</v>
      </c>
      <c r="E184" s="36" t="s">
        <v>2151</v>
      </c>
      <c r="F184" s="43" t="s">
        <v>2152</v>
      </c>
      <c r="G184" s="36" t="s">
        <v>2153</v>
      </c>
      <c r="H184" s="36" t="s">
        <v>2154</v>
      </c>
      <c r="I184" s="38" t="s">
        <v>1409</v>
      </c>
      <c r="J184" s="38" t="s">
        <v>2155</v>
      </c>
    </row>
    <row r="185" ht="26.25" customHeight="1">
      <c r="A185" s="12" t="s">
        <v>2156</v>
      </c>
      <c r="B185" s="17">
        <v>2024.0</v>
      </c>
      <c r="C185" s="17" t="s">
        <v>12</v>
      </c>
      <c r="D185" s="17">
        <v>11266.0</v>
      </c>
      <c r="E185" s="36" t="s">
        <v>2157</v>
      </c>
      <c r="F185" s="43" t="s">
        <v>2158</v>
      </c>
      <c r="G185" s="47"/>
      <c r="H185" s="36" t="s">
        <v>2157</v>
      </c>
      <c r="I185" s="38" t="s">
        <v>1426</v>
      </c>
      <c r="J185" s="38" t="s">
        <v>2159</v>
      </c>
    </row>
    <row r="186" ht="26.25" customHeight="1">
      <c r="A186" s="12" t="s">
        <v>2160</v>
      </c>
      <c r="B186" s="17">
        <v>2024.0</v>
      </c>
      <c r="C186" s="17" t="s">
        <v>12</v>
      </c>
      <c r="D186" s="17">
        <v>11274.0</v>
      </c>
      <c r="E186" s="36" t="s">
        <v>2161</v>
      </c>
      <c r="F186" s="43" t="s">
        <v>2162</v>
      </c>
      <c r="G186" s="36" t="s">
        <v>1466</v>
      </c>
      <c r="H186" s="36" t="s">
        <v>2163</v>
      </c>
      <c r="I186" s="38" t="s">
        <v>1409</v>
      </c>
      <c r="J186" s="38" t="s">
        <v>2164</v>
      </c>
    </row>
    <row r="187" ht="26.25" customHeight="1">
      <c r="A187" s="12" t="s">
        <v>2165</v>
      </c>
      <c r="B187" s="17">
        <v>2024.0</v>
      </c>
      <c r="C187" s="17" t="s">
        <v>12</v>
      </c>
      <c r="D187" s="17">
        <v>6058.0</v>
      </c>
      <c r="E187" s="36" t="s">
        <v>2166</v>
      </c>
      <c r="F187" s="43" t="s">
        <v>2167</v>
      </c>
      <c r="G187" s="36" t="s">
        <v>1763</v>
      </c>
      <c r="H187" s="38" t="s">
        <v>2168</v>
      </c>
      <c r="I187" s="38" t="s">
        <v>1403</v>
      </c>
      <c r="J187" s="38" t="s">
        <v>2169</v>
      </c>
    </row>
    <row r="188" ht="26.25" customHeight="1">
      <c r="A188" s="12" t="s">
        <v>2170</v>
      </c>
      <c r="B188" s="17">
        <v>2024.0</v>
      </c>
      <c r="C188" s="17" t="s">
        <v>13</v>
      </c>
      <c r="D188" s="17">
        <v>11515.0</v>
      </c>
      <c r="E188" s="36" t="s">
        <v>2171</v>
      </c>
      <c r="F188" s="43" t="s">
        <v>2172</v>
      </c>
      <c r="G188" s="36" t="s">
        <v>2173</v>
      </c>
      <c r="H188" s="38" t="s">
        <v>2174</v>
      </c>
      <c r="I188" s="38" t="s">
        <v>1409</v>
      </c>
      <c r="J188" s="38" t="s">
        <v>2175</v>
      </c>
    </row>
    <row r="189" ht="26.25" customHeight="1">
      <c r="A189" s="12" t="s">
        <v>2176</v>
      </c>
      <c r="B189" s="17">
        <v>2024.0</v>
      </c>
      <c r="C189" s="17" t="s">
        <v>13</v>
      </c>
      <c r="D189" s="17">
        <v>11492.0</v>
      </c>
      <c r="E189" s="36" t="s">
        <v>2177</v>
      </c>
      <c r="F189" s="43" t="s">
        <v>2178</v>
      </c>
      <c r="G189" s="36" t="s">
        <v>2179</v>
      </c>
      <c r="H189" s="36" t="s">
        <v>2180</v>
      </c>
      <c r="I189" s="38" t="s">
        <v>1403</v>
      </c>
      <c r="J189" s="38" t="s">
        <v>2181</v>
      </c>
    </row>
    <row r="190" ht="26.25" customHeight="1">
      <c r="A190" s="12" t="s">
        <v>2182</v>
      </c>
      <c r="B190" s="17">
        <v>2024.0</v>
      </c>
      <c r="C190" s="17" t="s">
        <v>13</v>
      </c>
      <c r="D190" s="17">
        <v>11466.0</v>
      </c>
      <c r="E190" s="36" t="s">
        <v>2183</v>
      </c>
      <c r="F190" s="43" t="s">
        <v>2184</v>
      </c>
      <c r="G190" s="47"/>
      <c r="H190" s="36" t="s">
        <v>2185</v>
      </c>
      <c r="I190" s="38" t="s">
        <v>1409</v>
      </c>
      <c r="J190" s="38" t="s">
        <v>2186</v>
      </c>
    </row>
    <row r="191" ht="26.25" customHeight="1">
      <c r="A191" s="12" t="s">
        <v>2187</v>
      </c>
      <c r="B191" s="17">
        <v>2024.0</v>
      </c>
      <c r="C191" s="17" t="s">
        <v>13</v>
      </c>
      <c r="D191" s="17">
        <v>1389.0</v>
      </c>
      <c r="E191" s="36" t="s">
        <v>2188</v>
      </c>
      <c r="F191" s="43" t="s">
        <v>2189</v>
      </c>
      <c r="G191" s="36" t="s">
        <v>1501</v>
      </c>
      <c r="H191" s="36" t="s">
        <v>2190</v>
      </c>
      <c r="I191" s="38" t="s">
        <v>1447</v>
      </c>
      <c r="J191" s="38" t="s">
        <v>2191</v>
      </c>
    </row>
    <row r="192" ht="26.25" customHeight="1">
      <c r="A192" s="12" t="s">
        <v>2192</v>
      </c>
      <c r="B192" s="17">
        <v>2024.0</v>
      </c>
      <c r="C192" s="17" t="s">
        <v>13</v>
      </c>
      <c r="D192" s="17">
        <v>11499.0</v>
      </c>
      <c r="E192" s="36" t="s">
        <v>2193</v>
      </c>
      <c r="F192" s="43" t="s">
        <v>2194</v>
      </c>
      <c r="G192" s="36" t="s">
        <v>2195</v>
      </c>
      <c r="H192" s="36" t="s">
        <v>2196</v>
      </c>
      <c r="I192" s="38" t="s">
        <v>1409</v>
      </c>
      <c r="J192" s="38" t="s">
        <v>2197</v>
      </c>
    </row>
    <row r="193" ht="26.25" customHeight="1">
      <c r="A193" s="12" t="s">
        <v>2198</v>
      </c>
      <c r="B193" s="17">
        <v>2024.0</v>
      </c>
      <c r="C193" s="17" t="s">
        <v>13</v>
      </c>
      <c r="D193" s="17">
        <v>11658.0</v>
      </c>
      <c r="E193" s="36" t="s">
        <v>2199</v>
      </c>
      <c r="F193" s="48" t="s">
        <v>2200</v>
      </c>
      <c r="G193" s="36" t="s">
        <v>2201</v>
      </c>
      <c r="H193" s="36" t="s">
        <v>2202</v>
      </c>
      <c r="I193" s="38" t="s">
        <v>1426</v>
      </c>
      <c r="J193" s="38" t="s">
        <v>2203</v>
      </c>
    </row>
    <row r="194" ht="26.25" customHeight="1">
      <c r="A194" s="12" t="s">
        <v>2204</v>
      </c>
      <c r="B194" s="17">
        <v>2024.0</v>
      </c>
      <c r="C194" s="17" t="s">
        <v>14</v>
      </c>
      <c r="D194" s="17">
        <v>11654.0</v>
      </c>
      <c r="E194" s="36" t="s">
        <v>2205</v>
      </c>
      <c r="F194" s="43" t="s">
        <v>2206</v>
      </c>
      <c r="G194" s="36" t="s">
        <v>2207</v>
      </c>
      <c r="H194" s="36" t="s">
        <v>2208</v>
      </c>
      <c r="I194" s="38" t="s">
        <v>1447</v>
      </c>
      <c r="J194" s="38" t="s">
        <v>2209</v>
      </c>
    </row>
    <row r="195" ht="26.25" customHeight="1">
      <c r="A195" s="12" t="s">
        <v>2210</v>
      </c>
      <c r="B195" s="17">
        <v>2024.0</v>
      </c>
      <c r="C195" s="17" t="s">
        <v>14</v>
      </c>
      <c r="D195" s="17">
        <v>11926.0</v>
      </c>
      <c r="E195" s="36" t="s">
        <v>2211</v>
      </c>
      <c r="F195" s="48" t="s">
        <v>2212</v>
      </c>
      <c r="G195" s="47"/>
      <c r="H195" s="36" t="s">
        <v>2213</v>
      </c>
      <c r="I195" s="38" t="s">
        <v>1409</v>
      </c>
      <c r="J195" s="38" t="s">
        <v>2213</v>
      </c>
    </row>
    <row r="196" ht="26.25" customHeight="1">
      <c r="A196" s="12" t="s">
        <v>2214</v>
      </c>
      <c r="B196" s="17">
        <v>2024.0</v>
      </c>
      <c r="C196" s="17" t="s">
        <v>15</v>
      </c>
      <c r="D196" s="17">
        <v>11903.0</v>
      </c>
      <c r="E196" s="36" t="s">
        <v>2215</v>
      </c>
      <c r="F196" s="48" t="s">
        <v>2216</v>
      </c>
      <c r="G196" s="36" t="s">
        <v>2217</v>
      </c>
      <c r="H196" s="36" t="s">
        <v>2218</v>
      </c>
      <c r="I196" s="36" t="s">
        <v>1403</v>
      </c>
      <c r="J196" s="38" t="s">
        <v>2219</v>
      </c>
    </row>
    <row r="197" ht="26.25" customHeight="1">
      <c r="A197" s="12" t="s">
        <v>2220</v>
      </c>
      <c r="B197" s="17">
        <v>2024.0</v>
      </c>
      <c r="C197" s="17" t="s">
        <v>15</v>
      </c>
      <c r="D197" s="17">
        <v>12017.0</v>
      </c>
      <c r="E197" s="36" t="s">
        <v>2221</v>
      </c>
      <c r="F197" s="48" t="s">
        <v>2222</v>
      </c>
      <c r="G197" s="47"/>
      <c r="H197" s="36" t="s">
        <v>2223</v>
      </c>
      <c r="I197" s="36" t="s">
        <v>1447</v>
      </c>
      <c r="J197" s="38" t="s">
        <v>2224</v>
      </c>
    </row>
    <row r="198" ht="26.25" customHeight="1">
      <c r="A198" s="12" t="s">
        <v>2225</v>
      </c>
      <c r="B198" s="17">
        <v>2024.0</v>
      </c>
      <c r="C198" s="17" t="s">
        <v>15</v>
      </c>
      <c r="D198" s="17">
        <v>11972.0</v>
      </c>
      <c r="E198" s="36" t="s">
        <v>2226</v>
      </c>
      <c r="F198" s="48" t="s">
        <v>2227</v>
      </c>
      <c r="G198" s="36" t="s">
        <v>2228</v>
      </c>
      <c r="H198" s="36" t="s">
        <v>2229</v>
      </c>
      <c r="I198" s="36" t="s">
        <v>1409</v>
      </c>
      <c r="J198" s="38" t="s">
        <v>2230</v>
      </c>
    </row>
    <row r="199" ht="26.25" customHeight="1">
      <c r="A199" s="12" t="s">
        <v>2231</v>
      </c>
      <c r="B199" s="17">
        <v>2024.0</v>
      </c>
      <c r="C199" s="17" t="s">
        <v>15</v>
      </c>
      <c r="D199" s="17">
        <v>11952.0</v>
      </c>
      <c r="E199" s="36" t="s">
        <v>2232</v>
      </c>
      <c r="F199" s="48" t="s">
        <v>2233</v>
      </c>
      <c r="G199" s="36" t="s">
        <v>2234</v>
      </c>
      <c r="H199" s="36" t="s">
        <v>2235</v>
      </c>
      <c r="I199" s="36" t="s">
        <v>1403</v>
      </c>
      <c r="J199" s="38" t="s">
        <v>2236</v>
      </c>
    </row>
    <row r="200" ht="26.25" customHeight="1">
      <c r="A200" s="12" t="s">
        <v>2237</v>
      </c>
      <c r="B200" s="17">
        <v>2024.0</v>
      </c>
      <c r="C200" s="17" t="s">
        <v>15</v>
      </c>
      <c r="D200" s="17">
        <v>12039.0</v>
      </c>
      <c r="E200" s="36" t="s">
        <v>2238</v>
      </c>
      <c r="F200" s="48" t="s">
        <v>2239</v>
      </c>
      <c r="G200" s="36" t="s">
        <v>2240</v>
      </c>
      <c r="H200" s="36" t="s">
        <v>2241</v>
      </c>
      <c r="I200" s="36" t="s">
        <v>1409</v>
      </c>
      <c r="J200" s="38" t="s">
        <v>2242</v>
      </c>
    </row>
    <row r="201" ht="26.25" customHeight="1">
      <c r="A201" s="12" t="s">
        <v>2243</v>
      </c>
      <c r="B201" s="17">
        <v>2024.0</v>
      </c>
      <c r="C201" s="17" t="s">
        <v>15</v>
      </c>
      <c r="D201" s="17">
        <v>1389.0</v>
      </c>
      <c r="E201" s="36" t="s">
        <v>2188</v>
      </c>
      <c r="F201" s="48" t="s">
        <v>2189</v>
      </c>
      <c r="G201" s="36" t="s">
        <v>1501</v>
      </c>
      <c r="H201" s="36" t="s">
        <v>2244</v>
      </c>
      <c r="I201" s="36" t="s">
        <v>1447</v>
      </c>
      <c r="J201" s="38" t="s">
        <v>2245</v>
      </c>
    </row>
    <row r="202" ht="26.25" customHeight="1">
      <c r="A202" s="12" t="s">
        <v>2246</v>
      </c>
      <c r="B202" s="17">
        <v>2024.0</v>
      </c>
      <c r="C202" s="17" t="s">
        <v>15</v>
      </c>
      <c r="D202" s="17">
        <v>12072.0</v>
      </c>
      <c r="E202" s="36" t="s">
        <v>2247</v>
      </c>
      <c r="F202" s="48" t="s">
        <v>2248</v>
      </c>
      <c r="G202" s="36" t="s">
        <v>2249</v>
      </c>
      <c r="H202" s="36" t="s">
        <v>2250</v>
      </c>
      <c r="I202" s="36" t="s">
        <v>1403</v>
      </c>
      <c r="J202" s="38" t="s">
        <v>2251</v>
      </c>
    </row>
    <row r="203" ht="26.25" customHeight="1">
      <c r="A203" s="12" t="s">
        <v>2252</v>
      </c>
      <c r="B203" s="17">
        <v>2024.0</v>
      </c>
      <c r="C203" s="17" t="s">
        <v>15</v>
      </c>
      <c r="D203" s="17">
        <v>7519.0</v>
      </c>
      <c r="E203" s="36" t="s">
        <v>1653</v>
      </c>
      <c r="F203" s="48" t="s">
        <v>2253</v>
      </c>
      <c r="G203" s="47"/>
      <c r="H203" s="36" t="s">
        <v>2254</v>
      </c>
      <c r="I203" s="36" t="s">
        <v>1403</v>
      </c>
      <c r="J203" s="38" t="s">
        <v>2255</v>
      </c>
    </row>
    <row r="204" ht="26.25" customHeight="1">
      <c r="A204" s="12" t="s">
        <v>2256</v>
      </c>
      <c r="B204" s="17">
        <v>2024.0</v>
      </c>
      <c r="C204" s="17" t="s">
        <v>15</v>
      </c>
      <c r="D204" s="17">
        <v>7814.0</v>
      </c>
      <c r="E204" s="36" t="s">
        <v>2257</v>
      </c>
      <c r="F204" s="48" t="s">
        <v>2258</v>
      </c>
      <c r="G204" s="36" t="s">
        <v>2259</v>
      </c>
      <c r="H204" s="36" t="s">
        <v>2260</v>
      </c>
      <c r="I204" s="36" t="s">
        <v>1409</v>
      </c>
      <c r="J204" s="38" t="s">
        <v>2261</v>
      </c>
    </row>
    <row r="205" ht="26.25" customHeight="1">
      <c r="A205" s="12" t="s">
        <v>2262</v>
      </c>
      <c r="B205" s="17">
        <v>2024.0</v>
      </c>
      <c r="C205" s="17" t="s">
        <v>15</v>
      </c>
      <c r="D205" s="17">
        <v>12119.0</v>
      </c>
      <c r="E205" s="36" t="s">
        <v>2263</v>
      </c>
      <c r="F205" s="48" t="s">
        <v>2264</v>
      </c>
      <c r="G205" s="36" t="s">
        <v>2265</v>
      </c>
      <c r="H205" s="36" t="s">
        <v>2263</v>
      </c>
      <c r="I205" s="36" t="s">
        <v>1403</v>
      </c>
      <c r="J205" s="38" t="s">
        <v>2266</v>
      </c>
    </row>
    <row r="206" ht="26.25" customHeight="1">
      <c r="A206" s="12" t="s">
        <v>2267</v>
      </c>
      <c r="B206" s="17">
        <v>2024.0</v>
      </c>
      <c r="C206" s="17" t="s">
        <v>15</v>
      </c>
      <c r="D206" s="17">
        <v>12108.0</v>
      </c>
      <c r="E206" s="36" t="s">
        <v>2268</v>
      </c>
      <c r="F206" s="48" t="s">
        <v>2269</v>
      </c>
      <c r="G206" s="36" t="s">
        <v>2270</v>
      </c>
      <c r="H206" s="36" t="s">
        <v>2271</v>
      </c>
      <c r="I206" s="36" t="s">
        <v>1403</v>
      </c>
      <c r="J206" s="38" t="s">
        <v>2272</v>
      </c>
    </row>
    <row r="207" ht="26.25" customHeight="1">
      <c r="A207" s="12" t="s">
        <v>2273</v>
      </c>
      <c r="B207" s="17">
        <v>2024.0</v>
      </c>
      <c r="C207" s="17" t="s">
        <v>15</v>
      </c>
      <c r="D207" s="17">
        <v>12017.0</v>
      </c>
      <c r="E207" s="36" t="s">
        <v>2221</v>
      </c>
      <c r="F207" s="48" t="s">
        <v>2222</v>
      </c>
      <c r="G207" s="47"/>
      <c r="H207" s="36" t="s">
        <v>2274</v>
      </c>
      <c r="I207" s="36" t="s">
        <v>1447</v>
      </c>
      <c r="J207" s="38" t="s">
        <v>2275</v>
      </c>
    </row>
    <row r="208" ht="26.25" customHeight="1">
      <c r="A208" s="12" t="s">
        <v>2276</v>
      </c>
      <c r="B208" s="17">
        <v>2024.0</v>
      </c>
      <c r="C208" s="17" t="s">
        <v>15</v>
      </c>
      <c r="D208" s="17">
        <v>11930.0</v>
      </c>
      <c r="E208" s="36" t="s">
        <v>2277</v>
      </c>
      <c r="F208" s="48" t="s">
        <v>2278</v>
      </c>
      <c r="G208" s="36" t="s">
        <v>2279</v>
      </c>
      <c r="H208" s="36" t="s">
        <v>2280</v>
      </c>
      <c r="I208" s="36" t="s">
        <v>1403</v>
      </c>
      <c r="J208" s="38" t="s">
        <v>2281</v>
      </c>
    </row>
    <row r="209" ht="26.25" customHeight="1">
      <c r="A209" s="12" t="s">
        <v>2282</v>
      </c>
      <c r="B209" s="17">
        <v>2024.0</v>
      </c>
      <c r="C209" s="17" t="s">
        <v>15</v>
      </c>
      <c r="D209" s="17">
        <v>11862.0</v>
      </c>
      <c r="E209" s="36" t="s">
        <v>2283</v>
      </c>
      <c r="F209" s="48" t="s">
        <v>2284</v>
      </c>
      <c r="G209" s="36" t="s">
        <v>2285</v>
      </c>
      <c r="H209" s="36" t="s">
        <v>2286</v>
      </c>
      <c r="I209" s="36" t="s">
        <v>1403</v>
      </c>
      <c r="J209" s="38" t="s">
        <v>2287</v>
      </c>
    </row>
    <row r="210" ht="26.25" customHeight="1">
      <c r="A210" s="12" t="s">
        <v>2288</v>
      </c>
      <c r="B210" s="17">
        <v>2024.0</v>
      </c>
      <c r="C210" s="17" t="s">
        <v>16</v>
      </c>
      <c r="D210" s="17">
        <v>12329.0</v>
      </c>
      <c r="E210" s="36" t="s">
        <v>2289</v>
      </c>
      <c r="F210" s="48" t="s">
        <v>2290</v>
      </c>
      <c r="G210" s="36" t="s">
        <v>2291</v>
      </c>
      <c r="H210" s="36" t="s">
        <v>2292</v>
      </c>
      <c r="I210" s="36" t="s">
        <v>1447</v>
      </c>
      <c r="J210" s="38" t="s">
        <v>2293</v>
      </c>
    </row>
    <row r="211" ht="26.25" customHeight="1">
      <c r="A211" s="12" t="s">
        <v>2294</v>
      </c>
      <c r="B211" s="17">
        <v>2024.0</v>
      </c>
      <c r="C211" s="17" t="s">
        <v>16</v>
      </c>
      <c r="D211" s="17">
        <v>12037.0</v>
      </c>
      <c r="E211" s="36" t="s">
        <v>2295</v>
      </c>
      <c r="F211" s="48" t="s">
        <v>2296</v>
      </c>
      <c r="G211" s="36" t="s">
        <v>2297</v>
      </c>
      <c r="H211" s="36" t="s">
        <v>2298</v>
      </c>
      <c r="I211" s="36" t="s">
        <v>1447</v>
      </c>
      <c r="J211" s="38" t="s">
        <v>2299</v>
      </c>
    </row>
    <row r="212" ht="26.25" customHeight="1">
      <c r="A212" s="12" t="s">
        <v>2300</v>
      </c>
      <c r="B212" s="17">
        <v>2024.0</v>
      </c>
      <c r="C212" s="17" t="s">
        <v>16</v>
      </c>
      <c r="D212" s="17">
        <v>12239.0</v>
      </c>
      <c r="E212" s="36" t="s">
        <v>2301</v>
      </c>
      <c r="F212" s="48" t="s">
        <v>2302</v>
      </c>
      <c r="G212" s="47"/>
      <c r="H212" s="36" t="s">
        <v>2303</v>
      </c>
      <c r="I212" s="36" t="s">
        <v>1409</v>
      </c>
      <c r="J212" s="38" t="s">
        <v>2304</v>
      </c>
    </row>
    <row r="213" ht="26.25" customHeight="1">
      <c r="A213" s="12" t="s">
        <v>2305</v>
      </c>
      <c r="B213" s="17">
        <v>2024.0</v>
      </c>
      <c r="C213" s="17" t="s">
        <v>16</v>
      </c>
      <c r="D213" s="17">
        <v>12292.0</v>
      </c>
      <c r="E213" s="36" t="s">
        <v>2306</v>
      </c>
      <c r="F213" s="48" t="s">
        <v>2307</v>
      </c>
      <c r="G213" s="36" t="s">
        <v>2308</v>
      </c>
      <c r="H213" s="36" t="s">
        <v>2309</v>
      </c>
      <c r="I213" s="36" t="s">
        <v>1409</v>
      </c>
      <c r="J213" s="38" t="s">
        <v>2310</v>
      </c>
    </row>
    <row r="214" ht="26.25" customHeight="1">
      <c r="A214" s="12" t="s">
        <v>2311</v>
      </c>
      <c r="B214" s="17">
        <v>2024.0</v>
      </c>
      <c r="C214" s="17" t="s">
        <v>16</v>
      </c>
      <c r="D214" s="17">
        <v>12411.0</v>
      </c>
      <c r="E214" s="36" t="s">
        <v>2312</v>
      </c>
      <c r="F214" s="48" t="s">
        <v>2313</v>
      </c>
      <c r="G214" s="36" t="s">
        <v>2314</v>
      </c>
      <c r="H214" s="36" t="s">
        <v>2315</v>
      </c>
      <c r="I214" s="36" t="s">
        <v>2316</v>
      </c>
      <c r="J214" s="38" t="s">
        <v>2317</v>
      </c>
    </row>
    <row r="215" ht="26.25" customHeight="1">
      <c r="A215" s="12" t="s">
        <v>2318</v>
      </c>
      <c r="B215" s="17">
        <v>2024.0</v>
      </c>
      <c r="C215" s="17" t="s">
        <v>16</v>
      </c>
      <c r="D215" s="17">
        <v>12279.0</v>
      </c>
      <c r="E215" s="36" t="s">
        <v>2319</v>
      </c>
      <c r="F215" s="48" t="s">
        <v>2320</v>
      </c>
      <c r="G215" s="36" t="s">
        <v>2321</v>
      </c>
      <c r="H215" s="36" t="s">
        <v>2322</v>
      </c>
      <c r="I215" s="36" t="s">
        <v>1403</v>
      </c>
      <c r="J215" s="38" t="s">
        <v>2323</v>
      </c>
    </row>
    <row r="216" ht="26.25" customHeight="1">
      <c r="A216" s="12" t="s">
        <v>2324</v>
      </c>
      <c r="B216" s="17">
        <v>2024.0</v>
      </c>
      <c r="C216" s="17" t="s">
        <v>16</v>
      </c>
      <c r="D216" s="17">
        <v>12415.0</v>
      </c>
      <c r="E216" s="36" t="s">
        <v>2325</v>
      </c>
      <c r="F216" s="48" t="s">
        <v>2326</v>
      </c>
      <c r="G216" s="36" t="s">
        <v>2327</v>
      </c>
      <c r="H216" s="36" t="s">
        <v>2328</v>
      </c>
      <c r="I216" s="36" t="s">
        <v>1426</v>
      </c>
      <c r="J216" s="38" t="s">
        <v>2329</v>
      </c>
    </row>
    <row r="217" ht="26.25" customHeight="1">
      <c r="A217" s="12" t="s">
        <v>2330</v>
      </c>
      <c r="B217" s="17">
        <v>2024.0</v>
      </c>
      <c r="C217" s="17" t="s">
        <v>17</v>
      </c>
      <c r="D217" s="17">
        <v>12577.0</v>
      </c>
      <c r="E217" s="36" t="s">
        <v>2331</v>
      </c>
      <c r="F217" s="48" t="s">
        <v>2332</v>
      </c>
      <c r="G217" s="36" t="s">
        <v>2333</v>
      </c>
      <c r="H217" s="36" t="s">
        <v>2334</v>
      </c>
      <c r="I217" s="36" t="s">
        <v>1409</v>
      </c>
      <c r="J217" s="38" t="s">
        <v>2335</v>
      </c>
    </row>
    <row r="218" ht="26.25" customHeight="1">
      <c r="A218" s="12" t="s">
        <v>2336</v>
      </c>
      <c r="B218" s="17">
        <v>2024.0</v>
      </c>
      <c r="C218" s="17" t="s">
        <v>17</v>
      </c>
      <c r="D218" s="15">
        <v>12747.0</v>
      </c>
      <c r="E218" s="49" t="s">
        <v>2337</v>
      </c>
      <c r="F218" s="50" t="s">
        <v>2338</v>
      </c>
      <c r="G218" s="36" t="s">
        <v>2339</v>
      </c>
      <c r="H218" s="49" t="s">
        <v>2340</v>
      </c>
      <c r="I218" s="49" t="s">
        <v>1409</v>
      </c>
      <c r="J218" s="38" t="s">
        <v>2341</v>
      </c>
    </row>
    <row r="219" ht="26.25" customHeight="1">
      <c r="A219" s="12" t="s">
        <v>2342</v>
      </c>
      <c r="B219" s="17">
        <v>2024.0</v>
      </c>
      <c r="C219" s="17" t="s">
        <v>2343</v>
      </c>
      <c r="D219" s="57">
        <v>1389.0</v>
      </c>
      <c r="E219" s="58" t="s">
        <v>2188</v>
      </c>
      <c r="F219" s="91" t="s">
        <v>2189</v>
      </c>
      <c r="G219" s="36" t="s">
        <v>1501</v>
      </c>
      <c r="H219" s="58" t="s">
        <v>2344</v>
      </c>
      <c r="I219" s="58" t="s">
        <v>1447</v>
      </c>
      <c r="J219" s="38" t="s">
        <v>2345</v>
      </c>
    </row>
    <row r="220" ht="26.25" customHeight="1">
      <c r="A220" s="12" t="s">
        <v>2346</v>
      </c>
      <c r="B220" s="17">
        <v>2024.0</v>
      </c>
      <c r="C220" s="17" t="s">
        <v>17</v>
      </c>
      <c r="D220" s="57">
        <v>12890.0</v>
      </c>
      <c r="E220" s="58" t="s">
        <v>2347</v>
      </c>
      <c r="F220" s="91" t="s">
        <v>2348</v>
      </c>
      <c r="G220" s="36" t="s">
        <v>2349</v>
      </c>
      <c r="H220" s="49" t="s">
        <v>2350</v>
      </c>
      <c r="I220" s="49" t="s">
        <v>1409</v>
      </c>
      <c r="J220" s="38" t="s">
        <v>2351</v>
      </c>
    </row>
    <row r="221" ht="26.25" customHeight="1">
      <c r="A221" s="12" t="s">
        <v>2352</v>
      </c>
      <c r="B221" s="17">
        <v>2024.0</v>
      </c>
      <c r="C221" s="17" t="s">
        <v>17</v>
      </c>
      <c r="D221" s="57">
        <v>12802.0</v>
      </c>
      <c r="E221" s="58" t="s">
        <v>2353</v>
      </c>
      <c r="F221" s="91" t="s">
        <v>2354</v>
      </c>
      <c r="G221" s="36" t="s">
        <v>2355</v>
      </c>
      <c r="H221" s="49" t="s">
        <v>2356</v>
      </c>
      <c r="I221" s="49" t="s">
        <v>1447</v>
      </c>
      <c r="J221" s="38" t="s">
        <v>2357</v>
      </c>
    </row>
    <row r="222" ht="26.25" customHeight="1">
      <c r="A222" s="12" t="s">
        <v>2358</v>
      </c>
      <c r="B222" s="17">
        <v>2024.0</v>
      </c>
      <c r="C222" s="17" t="s">
        <v>18</v>
      </c>
      <c r="D222" s="57">
        <v>12931.0</v>
      </c>
      <c r="E222" s="58" t="s">
        <v>2359</v>
      </c>
      <c r="F222" s="91" t="s">
        <v>2360</v>
      </c>
      <c r="G222" s="36" t="s">
        <v>2361</v>
      </c>
      <c r="H222" s="49" t="s">
        <v>2362</v>
      </c>
      <c r="I222" s="49" t="s">
        <v>1447</v>
      </c>
      <c r="J222" s="38" t="s">
        <v>2363</v>
      </c>
    </row>
    <row r="223" ht="26.25" customHeight="1">
      <c r="A223" s="12" t="s">
        <v>2364</v>
      </c>
      <c r="B223" s="17">
        <v>2024.0</v>
      </c>
      <c r="C223" s="17" t="s">
        <v>18</v>
      </c>
      <c r="D223" s="57">
        <v>12935.0</v>
      </c>
      <c r="E223" s="58" t="s">
        <v>2365</v>
      </c>
      <c r="F223" s="91" t="s">
        <v>2366</v>
      </c>
      <c r="G223" s="36"/>
      <c r="H223" s="49" t="s">
        <v>2367</v>
      </c>
      <c r="I223" s="49" t="s">
        <v>1426</v>
      </c>
      <c r="J223" s="38" t="s">
        <v>2368</v>
      </c>
    </row>
    <row r="224" ht="26.25" customHeight="1">
      <c r="A224" s="12" t="s">
        <v>2369</v>
      </c>
      <c r="B224" s="17">
        <v>2024.0</v>
      </c>
      <c r="C224" s="17" t="s">
        <v>18</v>
      </c>
      <c r="D224" s="15">
        <v>12938.0</v>
      </c>
      <c r="E224" s="58" t="s">
        <v>2370</v>
      </c>
      <c r="F224" s="91" t="s">
        <v>2371</v>
      </c>
      <c r="G224" s="36" t="s">
        <v>2372</v>
      </c>
      <c r="H224" s="49" t="s">
        <v>2373</v>
      </c>
      <c r="I224" s="49" t="s">
        <v>1447</v>
      </c>
      <c r="J224" s="38" t="s">
        <v>2374</v>
      </c>
    </row>
    <row r="225" ht="26.25" customHeight="1">
      <c r="A225" s="12" t="s">
        <v>2375</v>
      </c>
      <c r="B225" s="17">
        <v>2024.0</v>
      </c>
      <c r="C225" s="17" t="s">
        <v>18</v>
      </c>
      <c r="D225" s="15">
        <v>13138.0</v>
      </c>
      <c r="E225" s="58" t="s">
        <v>2376</v>
      </c>
      <c r="F225" s="91" t="s">
        <v>2377</v>
      </c>
      <c r="G225" s="36"/>
      <c r="H225" s="49" t="s">
        <v>2378</v>
      </c>
      <c r="I225" s="49" t="s">
        <v>1409</v>
      </c>
      <c r="J225" s="38" t="s">
        <v>2379</v>
      </c>
    </row>
    <row r="226" ht="26.25" customHeight="1">
      <c r="A226" s="12" t="s">
        <v>2380</v>
      </c>
      <c r="B226" s="17">
        <v>2024.0</v>
      </c>
      <c r="C226" s="17" t="s">
        <v>19</v>
      </c>
      <c r="D226" s="15">
        <v>13257.0</v>
      </c>
      <c r="E226" s="49" t="s">
        <v>2381</v>
      </c>
      <c r="F226" s="50" t="s">
        <v>2382</v>
      </c>
      <c r="G226" s="36"/>
      <c r="H226" s="49" t="s">
        <v>2383</v>
      </c>
      <c r="I226" s="49" t="s">
        <v>1426</v>
      </c>
      <c r="J226" s="38" t="s">
        <v>2384</v>
      </c>
    </row>
    <row r="227" ht="26.25" customHeight="1">
      <c r="A227" s="12" t="s">
        <v>2385</v>
      </c>
      <c r="B227" s="17">
        <v>2024.0</v>
      </c>
      <c r="C227" s="17" t="s">
        <v>19</v>
      </c>
      <c r="D227" s="15">
        <v>13257.0</v>
      </c>
      <c r="E227" s="49" t="s">
        <v>2381</v>
      </c>
      <c r="F227" s="50" t="s">
        <v>2382</v>
      </c>
      <c r="G227" s="36"/>
      <c r="H227" s="49" t="s">
        <v>2386</v>
      </c>
      <c r="I227" s="49" t="s">
        <v>1426</v>
      </c>
      <c r="J227" s="38" t="s">
        <v>2387</v>
      </c>
    </row>
    <row r="228" ht="26.25" customHeight="1">
      <c r="A228" s="12" t="s">
        <v>2388</v>
      </c>
      <c r="B228" s="17">
        <v>2024.0</v>
      </c>
      <c r="C228" s="17" t="s">
        <v>19</v>
      </c>
      <c r="D228" s="15">
        <v>13345.0</v>
      </c>
      <c r="E228" s="49" t="s">
        <v>2389</v>
      </c>
      <c r="F228" s="50" t="s">
        <v>2390</v>
      </c>
      <c r="G228" s="36" t="s">
        <v>2391</v>
      </c>
      <c r="H228" s="49" t="s">
        <v>2035</v>
      </c>
      <c r="I228" s="49" t="s">
        <v>1415</v>
      </c>
      <c r="J228" s="38" t="s">
        <v>2392</v>
      </c>
    </row>
    <row r="229" ht="26.25" customHeight="1">
      <c r="A229" s="12" t="s">
        <v>2393</v>
      </c>
      <c r="B229" s="17">
        <v>2024.0</v>
      </c>
      <c r="C229" s="17" t="s">
        <v>19</v>
      </c>
      <c r="D229" s="15">
        <v>13369.0</v>
      </c>
      <c r="E229" s="49" t="s">
        <v>2394</v>
      </c>
      <c r="F229" s="50" t="s">
        <v>2395</v>
      </c>
      <c r="G229" s="36" t="s">
        <v>2396</v>
      </c>
      <c r="H229" s="49" t="s">
        <v>2397</v>
      </c>
      <c r="I229" s="49" t="s">
        <v>1403</v>
      </c>
      <c r="J229" s="38" t="s">
        <v>2398</v>
      </c>
    </row>
    <row r="230" ht="26.25" customHeight="1">
      <c r="A230" s="12" t="s">
        <v>2399</v>
      </c>
      <c r="B230" s="17">
        <v>2024.0</v>
      </c>
      <c r="C230" s="17" t="s">
        <v>20</v>
      </c>
      <c r="D230" s="15">
        <v>13501.0</v>
      </c>
      <c r="E230" s="49" t="s">
        <v>2400</v>
      </c>
      <c r="F230" s="50" t="s">
        <v>2401</v>
      </c>
      <c r="G230" s="36"/>
      <c r="H230" s="49" t="s">
        <v>2402</v>
      </c>
      <c r="I230" s="49" t="s">
        <v>1415</v>
      </c>
      <c r="J230" s="38" t="s">
        <v>2403</v>
      </c>
    </row>
    <row r="231" ht="26.25" customHeight="1">
      <c r="A231" s="12" t="s">
        <v>2404</v>
      </c>
      <c r="B231" s="17">
        <v>2024.0</v>
      </c>
      <c r="C231" s="17" t="s">
        <v>20</v>
      </c>
      <c r="D231" s="15">
        <v>13063.0</v>
      </c>
      <c r="E231" s="49" t="s">
        <v>2405</v>
      </c>
      <c r="F231" s="50" t="s">
        <v>2406</v>
      </c>
      <c r="G231" s="36" t="s">
        <v>2407</v>
      </c>
      <c r="H231" s="49" t="s">
        <v>2408</v>
      </c>
      <c r="I231" s="49" t="s">
        <v>1409</v>
      </c>
      <c r="J231" s="38" t="s">
        <v>2409</v>
      </c>
    </row>
    <row r="232" ht="26.25" customHeight="1">
      <c r="A232" s="12" t="s">
        <v>2410</v>
      </c>
      <c r="B232" s="17">
        <v>2024.0</v>
      </c>
      <c r="C232" s="17" t="s">
        <v>20</v>
      </c>
      <c r="D232" s="15">
        <v>13373.0</v>
      </c>
      <c r="E232" s="49" t="s">
        <v>2411</v>
      </c>
      <c r="F232" s="50" t="s">
        <v>2412</v>
      </c>
      <c r="G232" s="36" t="s">
        <v>2413</v>
      </c>
      <c r="H232" s="49" t="s">
        <v>2414</v>
      </c>
      <c r="I232" s="49" t="s">
        <v>1403</v>
      </c>
      <c r="J232" s="38" t="s">
        <v>2415</v>
      </c>
    </row>
    <row r="233" ht="26.25" customHeight="1">
      <c r="A233" s="12" t="s">
        <v>2416</v>
      </c>
      <c r="B233" s="17">
        <v>2024.0</v>
      </c>
      <c r="C233" s="17" t="s">
        <v>21</v>
      </c>
      <c r="D233" s="15">
        <v>13717.0</v>
      </c>
      <c r="E233" s="49" t="s">
        <v>2417</v>
      </c>
      <c r="F233" s="50" t="s">
        <v>2418</v>
      </c>
      <c r="G233" s="36" t="s">
        <v>2419</v>
      </c>
      <c r="H233" s="49" t="s">
        <v>2420</v>
      </c>
      <c r="I233" s="49" t="s">
        <v>1403</v>
      </c>
      <c r="J233" s="38" t="s">
        <v>2421</v>
      </c>
    </row>
    <row r="234" ht="26.25" customHeight="1">
      <c r="A234" s="12" t="s">
        <v>2422</v>
      </c>
      <c r="B234" s="17">
        <v>2024.0</v>
      </c>
      <c r="C234" s="17" t="s">
        <v>22</v>
      </c>
      <c r="D234" s="15">
        <v>11108.0</v>
      </c>
      <c r="E234" s="49" t="s">
        <v>2423</v>
      </c>
      <c r="F234" s="50" t="s">
        <v>2424</v>
      </c>
      <c r="G234" s="36" t="s">
        <v>2425</v>
      </c>
      <c r="H234" s="49" t="s">
        <v>2426</v>
      </c>
      <c r="I234" s="49" t="s">
        <v>1426</v>
      </c>
      <c r="J234" s="38" t="s">
        <v>2427</v>
      </c>
    </row>
    <row r="235" ht="26.25" customHeight="1">
      <c r="A235" s="12" t="s">
        <v>2428</v>
      </c>
      <c r="B235" s="17">
        <v>2024.0</v>
      </c>
      <c r="C235" s="17" t="s">
        <v>22</v>
      </c>
      <c r="D235" s="15">
        <v>9520.0</v>
      </c>
      <c r="E235" s="49" t="s">
        <v>2429</v>
      </c>
      <c r="F235" s="50" t="s">
        <v>2430</v>
      </c>
      <c r="G235" s="36"/>
      <c r="H235" s="49" t="s">
        <v>2431</v>
      </c>
      <c r="I235" s="49" t="s">
        <v>1447</v>
      </c>
      <c r="J235" s="38" t="s">
        <v>2432</v>
      </c>
    </row>
    <row r="236" ht="26.25" customHeight="1">
      <c r="A236" s="12" t="s">
        <v>2433</v>
      </c>
      <c r="B236" s="17">
        <v>2024.0</v>
      </c>
      <c r="C236" s="17" t="s">
        <v>22</v>
      </c>
      <c r="D236" s="15">
        <v>13975.0</v>
      </c>
      <c r="E236" s="49" t="s">
        <v>2434</v>
      </c>
      <c r="F236" s="50" t="s">
        <v>2435</v>
      </c>
      <c r="G236" s="36"/>
      <c r="H236" s="49" t="s">
        <v>2436</v>
      </c>
      <c r="I236" s="49" t="s">
        <v>1426</v>
      </c>
      <c r="J236" s="38" t="s">
        <v>2437</v>
      </c>
    </row>
    <row r="237" ht="26.25" customHeight="1">
      <c r="A237" s="12" t="s">
        <v>2438</v>
      </c>
      <c r="B237" s="17">
        <v>2024.0</v>
      </c>
      <c r="C237" s="17" t="s">
        <v>22</v>
      </c>
      <c r="D237" s="15">
        <v>14198.0</v>
      </c>
      <c r="E237" s="49" t="s">
        <v>2439</v>
      </c>
      <c r="F237" s="50" t="s">
        <v>2440</v>
      </c>
      <c r="G237" s="36" t="s">
        <v>2441</v>
      </c>
      <c r="H237" s="49" t="s">
        <v>2442</v>
      </c>
      <c r="I237" s="49" t="s">
        <v>1447</v>
      </c>
      <c r="J237" s="38" t="s">
        <v>2443</v>
      </c>
    </row>
    <row r="238" ht="26.25" customHeight="1">
      <c r="A238" s="12" t="s">
        <v>2444</v>
      </c>
      <c r="B238" s="17">
        <v>2025.0</v>
      </c>
      <c r="C238" s="17" t="s">
        <v>11</v>
      </c>
      <c r="D238" s="15">
        <v>14471.0</v>
      </c>
      <c r="E238" s="49" t="s">
        <v>2445</v>
      </c>
      <c r="F238" s="50" t="s">
        <v>2446</v>
      </c>
      <c r="G238" s="36" t="s">
        <v>2447</v>
      </c>
      <c r="H238" s="49" t="s">
        <v>2448</v>
      </c>
      <c r="I238" s="49" t="s">
        <v>1403</v>
      </c>
      <c r="J238" s="38" t="s">
        <v>2449</v>
      </c>
    </row>
    <row r="239" ht="26.25" customHeight="1">
      <c r="A239" s="12" t="s">
        <v>2450</v>
      </c>
      <c r="B239" s="17">
        <v>2025.0</v>
      </c>
      <c r="C239" s="17" t="s">
        <v>12</v>
      </c>
      <c r="D239" s="15">
        <v>14450.0</v>
      </c>
      <c r="E239" s="49" t="s">
        <v>2451</v>
      </c>
      <c r="F239" s="50" t="s">
        <v>2452</v>
      </c>
      <c r="G239" s="36" t="s">
        <v>2453</v>
      </c>
      <c r="H239" s="49" t="s">
        <v>2454</v>
      </c>
      <c r="I239" s="49" t="s">
        <v>1447</v>
      </c>
      <c r="J239" s="38" t="s">
        <v>2455</v>
      </c>
    </row>
    <row r="240" ht="26.25" customHeight="1">
      <c r="A240" s="12" t="s">
        <v>2456</v>
      </c>
      <c r="B240" s="17">
        <v>2025.0</v>
      </c>
      <c r="C240" s="17" t="s">
        <v>12</v>
      </c>
      <c r="D240" s="15">
        <v>14269.0</v>
      </c>
      <c r="E240" s="49" t="s">
        <v>2457</v>
      </c>
      <c r="F240" s="50" t="s">
        <v>2458</v>
      </c>
      <c r="G240" s="36" t="s">
        <v>2459</v>
      </c>
      <c r="H240" s="49" t="s">
        <v>2460</v>
      </c>
      <c r="I240" s="49" t="s">
        <v>1447</v>
      </c>
      <c r="J240" s="38" t="s">
        <v>2461</v>
      </c>
    </row>
    <row r="241" ht="26.25" customHeight="1">
      <c r="A241" s="12" t="s">
        <v>2462</v>
      </c>
      <c r="B241" s="17">
        <v>2025.0</v>
      </c>
      <c r="C241" s="17" t="s">
        <v>12</v>
      </c>
      <c r="D241" s="15">
        <v>11972.0</v>
      </c>
      <c r="E241" s="49" t="s">
        <v>2226</v>
      </c>
      <c r="F241" s="50" t="s">
        <v>2227</v>
      </c>
      <c r="G241" s="36" t="s">
        <v>2228</v>
      </c>
      <c r="H241" s="49" t="s">
        <v>2463</v>
      </c>
      <c r="I241" s="49" t="s">
        <v>1409</v>
      </c>
      <c r="J241" s="38" t="s">
        <v>2230</v>
      </c>
    </row>
    <row r="242" ht="26.25" customHeight="1">
      <c r="A242" s="12" t="s">
        <v>2464</v>
      </c>
      <c r="B242" s="17">
        <v>2025.0</v>
      </c>
      <c r="C242" s="17" t="s">
        <v>12</v>
      </c>
      <c r="D242" s="15">
        <v>14664.0</v>
      </c>
      <c r="E242" s="49" t="s">
        <v>2465</v>
      </c>
      <c r="F242" s="50" t="s">
        <v>2466</v>
      </c>
      <c r="G242" s="36" t="s">
        <v>2467</v>
      </c>
      <c r="H242" s="49" t="s">
        <v>2468</v>
      </c>
      <c r="I242" s="49" t="s">
        <v>1426</v>
      </c>
      <c r="J242" s="38" t="s">
        <v>2469</v>
      </c>
    </row>
    <row r="243" ht="26.25" customHeight="1">
      <c r="A243" s="12" t="s">
        <v>2470</v>
      </c>
      <c r="B243" s="17">
        <v>2025.0</v>
      </c>
      <c r="C243" s="17" t="s">
        <v>12</v>
      </c>
      <c r="D243" s="15">
        <v>14638.0</v>
      </c>
      <c r="E243" s="49" t="s">
        <v>2471</v>
      </c>
      <c r="F243" s="50" t="s">
        <v>2472</v>
      </c>
      <c r="G243" s="36"/>
      <c r="H243" s="49" t="s">
        <v>2473</v>
      </c>
      <c r="I243" s="49" t="s">
        <v>1403</v>
      </c>
      <c r="J243" s="38" t="s">
        <v>2474</v>
      </c>
    </row>
    <row r="244" ht="26.25" customHeight="1">
      <c r="A244" s="12" t="s">
        <v>2475</v>
      </c>
      <c r="B244" s="17">
        <v>2025.0</v>
      </c>
      <c r="C244" s="17" t="s">
        <v>12</v>
      </c>
      <c r="D244" s="15">
        <v>14538.0</v>
      </c>
      <c r="E244" s="49" t="s">
        <v>2476</v>
      </c>
      <c r="F244" s="50" t="s">
        <v>2477</v>
      </c>
      <c r="G244" s="36" t="s">
        <v>2478</v>
      </c>
      <c r="H244" s="49" t="s">
        <v>2479</v>
      </c>
      <c r="I244" s="49" t="s">
        <v>1409</v>
      </c>
      <c r="J244" s="38" t="s">
        <v>2480</v>
      </c>
    </row>
    <row r="245" ht="26.25" customHeight="1">
      <c r="A245" s="12" t="s">
        <v>2481</v>
      </c>
      <c r="B245" s="17">
        <v>2025.0</v>
      </c>
      <c r="C245" s="17" t="s">
        <v>12</v>
      </c>
      <c r="D245" s="15">
        <v>14269.0</v>
      </c>
      <c r="E245" s="49" t="s">
        <v>2482</v>
      </c>
      <c r="F245" s="50" t="s">
        <v>2458</v>
      </c>
      <c r="G245" s="36" t="s">
        <v>2459</v>
      </c>
      <c r="H245" s="49" t="s">
        <v>2483</v>
      </c>
      <c r="I245" s="49" t="s">
        <v>1415</v>
      </c>
      <c r="J245" s="38" t="s">
        <v>2484</v>
      </c>
    </row>
    <row r="246" ht="26.25" customHeight="1">
      <c r="A246" s="12" t="s">
        <v>2485</v>
      </c>
      <c r="B246" s="17">
        <v>2025.0</v>
      </c>
      <c r="C246" s="42" t="s">
        <v>12</v>
      </c>
      <c r="D246" s="15">
        <v>6282.0</v>
      </c>
      <c r="E246" s="49" t="s">
        <v>2486</v>
      </c>
      <c r="F246" s="50" t="s">
        <v>2487</v>
      </c>
      <c r="G246" s="36" t="s">
        <v>2488</v>
      </c>
      <c r="H246" s="49" t="s">
        <v>2489</v>
      </c>
      <c r="I246" s="49" t="s">
        <v>1409</v>
      </c>
      <c r="J246" s="36" t="s">
        <v>2490</v>
      </c>
    </row>
    <row r="247" ht="26.25" customHeight="1">
      <c r="A247" s="12" t="s">
        <v>2491</v>
      </c>
      <c r="B247" s="17">
        <v>2025.0</v>
      </c>
      <c r="C247" s="17" t="s">
        <v>2492</v>
      </c>
      <c r="D247" s="15">
        <v>14784.0</v>
      </c>
      <c r="E247" s="49" t="s">
        <v>2493</v>
      </c>
      <c r="F247" s="54" t="s">
        <v>2494</v>
      </c>
      <c r="G247" s="36" t="s">
        <v>2495</v>
      </c>
      <c r="H247" s="49" t="s">
        <v>2496</v>
      </c>
      <c r="I247" s="49" t="s">
        <v>1409</v>
      </c>
      <c r="J247" s="38" t="s">
        <v>2497</v>
      </c>
    </row>
    <row r="248" ht="26.25" customHeight="1">
      <c r="A248" s="12" t="s">
        <v>2498</v>
      </c>
      <c r="B248" s="17">
        <v>2025.0</v>
      </c>
      <c r="C248" s="17" t="s">
        <v>14</v>
      </c>
      <c r="D248" s="15">
        <v>15279.0</v>
      </c>
      <c r="E248" s="49" t="s">
        <v>2499</v>
      </c>
      <c r="F248" s="54" t="s">
        <v>2500</v>
      </c>
      <c r="G248" s="36" t="s">
        <v>2501</v>
      </c>
      <c r="H248" s="49" t="s">
        <v>2502</v>
      </c>
      <c r="I248" s="49" t="s">
        <v>1447</v>
      </c>
      <c r="J248" s="38" t="s">
        <v>2503</v>
      </c>
    </row>
    <row r="249" ht="26.25" customHeight="1">
      <c r="A249" s="12" t="s">
        <v>2504</v>
      </c>
      <c r="B249" s="17">
        <v>2025.0</v>
      </c>
      <c r="C249" s="17" t="s">
        <v>15</v>
      </c>
      <c r="D249" s="15">
        <v>15297.0</v>
      </c>
      <c r="E249" s="49" t="s">
        <v>2505</v>
      </c>
      <c r="F249" s="54" t="s">
        <v>2506</v>
      </c>
      <c r="G249" s="36"/>
      <c r="H249" s="49" t="s">
        <v>2507</v>
      </c>
      <c r="I249" s="49" t="s">
        <v>1426</v>
      </c>
      <c r="J249" s="38" t="s">
        <v>2508</v>
      </c>
    </row>
    <row r="250" ht="26.25" customHeight="1">
      <c r="A250" s="12" t="s">
        <v>2509</v>
      </c>
      <c r="B250" s="17">
        <v>2025.0</v>
      </c>
      <c r="C250" s="17" t="s">
        <v>15</v>
      </c>
      <c r="D250" s="15">
        <v>15441.0</v>
      </c>
      <c r="E250" s="49" t="s">
        <v>2510</v>
      </c>
      <c r="F250" s="54" t="s">
        <v>2511</v>
      </c>
      <c r="G250" s="36" t="s">
        <v>2512</v>
      </c>
      <c r="H250" s="49" t="s">
        <v>2513</v>
      </c>
      <c r="I250" s="49" t="s">
        <v>1409</v>
      </c>
      <c r="J250" s="38" t="s">
        <v>2514</v>
      </c>
    </row>
    <row r="251" ht="26.25" customHeight="1">
      <c r="A251" s="12" t="s">
        <v>2515</v>
      </c>
      <c r="B251" s="17">
        <v>2025.0</v>
      </c>
      <c r="C251" s="17" t="s">
        <v>15</v>
      </c>
      <c r="D251" s="15">
        <v>15097.0</v>
      </c>
      <c r="E251" s="49" t="s">
        <v>2516</v>
      </c>
      <c r="F251" s="54" t="s">
        <v>2517</v>
      </c>
      <c r="G251" s="36" t="s">
        <v>2518</v>
      </c>
      <c r="H251" s="49" t="s">
        <v>2519</v>
      </c>
      <c r="I251" s="49" t="s">
        <v>1447</v>
      </c>
      <c r="J251" s="38" t="s">
        <v>2520</v>
      </c>
    </row>
    <row r="252" ht="26.25" customHeight="1">
      <c r="A252" s="12" t="s">
        <v>2521</v>
      </c>
      <c r="B252" s="17">
        <v>2025.0</v>
      </c>
      <c r="C252" s="17" t="s">
        <v>15</v>
      </c>
      <c r="D252" s="15">
        <v>14900.0</v>
      </c>
      <c r="E252" s="49" t="s">
        <v>2522</v>
      </c>
      <c r="F252" s="54" t="s">
        <v>2523</v>
      </c>
      <c r="G252" s="38" t="s">
        <v>2524</v>
      </c>
      <c r="H252" s="38" t="s">
        <v>2525</v>
      </c>
      <c r="I252" s="49" t="s">
        <v>1426</v>
      </c>
      <c r="J252" s="38" t="s">
        <v>2526</v>
      </c>
    </row>
    <row r="253" ht="26.25" customHeight="1">
      <c r="A253" s="12" t="s">
        <v>2527</v>
      </c>
      <c r="B253" s="17">
        <v>2025.0</v>
      </c>
      <c r="C253" s="17" t="s">
        <v>15</v>
      </c>
      <c r="D253" s="15">
        <v>8995.0</v>
      </c>
      <c r="E253" s="49" t="s">
        <v>2528</v>
      </c>
      <c r="F253" s="54" t="s">
        <v>2529</v>
      </c>
      <c r="G253" s="36"/>
      <c r="H253" s="49" t="s">
        <v>2530</v>
      </c>
      <c r="I253" s="49" t="s">
        <v>1447</v>
      </c>
      <c r="J253" s="38" t="s">
        <v>2531</v>
      </c>
    </row>
    <row r="254" ht="26.25" customHeight="1">
      <c r="A254" s="12" t="s">
        <v>2532</v>
      </c>
      <c r="B254" s="17">
        <v>2025.0</v>
      </c>
      <c r="C254" s="17" t="s">
        <v>15</v>
      </c>
      <c r="D254" s="15">
        <v>15375.0</v>
      </c>
      <c r="E254" s="49" t="s">
        <v>2533</v>
      </c>
      <c r="F254" s="54" t="s">
        <v>2534</v>
      </c>
      <c r="G254" s="38" t="s">
        <v>2535</v>
      </c>
      <c r="H254" s="38" t="s">
        <v>2536</v>
      </c>
      <c r="I254" s="49" t="s">
        <v>1447</v>
      </c>
      <c r="J254" s="38" t="s">
        <v>2537</v>
      </c>
    </row>
    <row r="255" ht="26.25" customHeight="1">
      <c r="A255" s="12" t="s">
        <v>2538</v>
      </c>
      <c r="B255" s="17">
        <v>2025.0</v>
      </c>
      <c r="C255" s="17" t="s">
        <v>15</v>
      </c>
      <c r="D255" s="15">
        <v>15384.0</v>
      </c>
      <c r="E255" s="49" t="s">
        <v>2539</v>
      </c>
      <c r="F255" s="54" t="s">
        <v>2540</v>
      </c>
      <c r="G255" s="38" t="s">
        <v>2541</v>
      </c>
      <c r="H255" s="38" t="s">
        <v>2542</v>
      </c>
      <c r="I255" s="49" t="s">
        <v>1426</v>
      </c>
      <c r="J255" s="38" t="s">
        <v>2543</v>
      </c>
    </row>
    <row r="256" ht="26.25" customHeight="1">
      <c r="A256" s="12" t="s">
        <v>2544</v>
      </c>
      <c r="B256" s="17">
        <v>2025.0</v>
      </c>
      <c r="C256" s="17" t="s">
        <v>15</v>
      </c>
      <c r="D256" s="15">
        <v>15515.0</v>
      </c>
      <c r="E256" s="49" t="s">
        <v>2545</v>
      </c>
      <c r="F256" s="54" t="s">
        <v>2546</v>
      </c>
      <c r="G256" s="38" t="s">
        <v>2547</v>
      </c>
      <c r="H256" s="49" t="s">
        <v>2548</v>
      </c>
      <c r="I256" s="49" t="s">
        <v>1403</v>
      </c>
      <c r="J256" s="38" t="s">
        <v>2549</v>
      </c>
    </row>
    <row r="257" ht="26.25" customHeight="1">
      <c r="A257" s="12" t="s">
        <v>2550</v>
      </c>
      <c r="B257" s="17">
        <v>2025.0</v>
      </c>
      <c r="C257" s="17" t="s">
        <v>15</v>
      </c>
      <c r="D257" s="17">
        <v>15266.0</v>
      </c>
      <c r="E257" s="36" t="s">
        <v>2551</v>
      </c>
      <c r="F257" s="92" t="s">
        <v>2552</v>
      </c>
      <c r="G257" s="36" t="s">
        <v>2553</v>
      </c>
      <c r="H257" s="38" t="s">
        <v>2554</v>
      </c>
      <c r="I257" s="36" t="s">
        <v>1415</v>
      </c>
      <c r="J257" s="36" t="s">
        <v>2555</v>
      </c>
    </row>
    <row r="258" ht="26.25" customHeight="1">
      <c r="A258" s="12" t="s">
        <v>2556</v>
      </c>
      <c r="B258" s="17">
        <v>2025.0</v>
      </c>
      <c r="C258" s="17" t="s">
        <v>16</v>
      </c>
      <c r="D258" s="15">
        <v>15696.0</v>
      </c>
      <c r="E258" s="49" t="s">
        <v>2557</v>
      </c>
      <c r="F258" s="54" t="s">
        <v>2558</v>
      </c>
      <c r="G258" s="38" t="s">
        <v>2559</v>
      </c>
      <c r="H258" s="49" t="s">
        <v>2560</v>
      </c>
      <c r="I258" s="49" t="s">
        <v>1447</v>
      </c>
      <c r="J258" s="38" t="s">
        <v>2561</v>
      </c>
    </row>
    <row r="259" ht="26.25" customHeight="1">
      <c r="A259" s="12" t="s">
        <v>2562</v>
      </c>
      <c r="B259" s="17">
        <v>2025.0</v>
      </c>
      <c r="C259" s="17" t="s">
        <v>16</v>
      </c>
      <c r="D259" s="15">
        <v>15525.0</v>
      </c>
      <c r="E259" s="49" t="s">
        <v>2563</v>
      </c>
      <c r="F259" s="54" t="s">
        <v>2564</v>
      </c>
      <c r="G259" s="38" t="s">
        <v>2565</v>
      </c>
      <c r="H259" s="49" t="s">
        <v>2566</v>
      </c>
      <c r="I259" s="49" t="s">
        <v>1409</v>
      </c>
      <c r="J259" s="38" t="s">
        <v>2567</v>
      </c>
    </row>
    <row r="260" ht="26.25" customHeight="1">
      <c r="A260" s="12" t="s">
        <v>2568</v>
      </c>
      <c r="B260" s="17">
        <v>2025.0</v>
      </c>
      <c r="C260" s="17" t="s">
        <v>16</v>
      </c>
      <c r="D260" s="15">
        <v>15493.0</v>
      </c>
      <c r="E260" s="49" t="s">
        <v>2569</v>
      </c>
      <c r="F260" s="54" t="s">
        <v>2570</v>
      </c>
      <c r="G260" s="38" t="s">
        <v>2571</v>
      </c>
      <c r="H260" s="49" t="s">
        <v>2572</v>
      </c>
      <c r="I260" s="49" t="s">
        <v>1426</v>
      </c>
      <c r="J260" s="38" t="s">
        <v>2573</v>
      </c>
    </row>
    <row r="261" ht="26.25" customHeight="1">
      <c r="A261" s="12" t="s">
        <v>2574</v>
      </c>
      <c r="B261" s="17">
        <v>2025.0</v>
      </c>
      <c r="C261" s="17" t="s">
        <v>16</v>
      </c>
      <c r="D261" s="15">
        <v>15628.0</v>
      </c>
      <c r="E261" s="93" t="s">
        <v>2575</v>
      </c>
      <c r="F261" s="54" t="s">
        <v>2576</v>
      </c>
      <c r="G261" s="38"/>
      <c r="H261" s="49" t="s">
        <v>2577</v>
      </c>
      <c r="I261" s="49" t="s">
        <v>1415</v>
      </c>
      <c r="J261" s="38" t="s">
        <v>2578</v>
      </c>
    </row>
    <row r="262" ht="26.25" customHeight="1">
      <c r="A262" s="12" t="s">
        <v>2579</v>
      </c>
      <c r="B262" s="17">
        <v>2025.0</v>
      </c>
      <c r="C262" s="17" t="s">
        <v>16</v>
      </c>
      <c r="D262" s="15">
        <v>15533.0</v>
      </c>
      <c r="E262" s="49" t="s">
        <v>2471</v>
      </c>
      <c r="F262" s="54" t="s">
        <v>2580</v>
      </c>
      <c r="G262" s="49" t="s">
        <v>2581</v>
      </c>
      <c r="H262" s="94" t="s">
        <v>2582</v>
      </c>
      <c r="I262" s="49" t="s">
        <v>1426</v>
      </c>
      <c r="J262" s="38" t="s">
        <v>2583</v>
      </c>
    </row>
    <row r="263" ht="26.25" customHeight="1">
      <c r="A263" s="12" t="s">
        <v>2584</v>
      </c>
      <c r="B263" s="17">
        <v>2025.0</v>
      </c>
      <c r="C263" s="17" t="s">
        <v>17</v>
      </c>
      <c r="D263" s="15">
        <v>15710.0</v>
      </c>
      <c r="E263" s="93" t="s">
        <v>2585</v>
      </c>
      <c r="F263" s="54" t="s">
        <v>2586</v>
      </c>
      <c r="G263" s="38"/>
      <c r="H263" s="49" t="s">
        <v>2587</v>
      </c>
      <c r="I263" s="49" t="s">
        <v>1403</v>
      </c>
      <c r="J263" s="38" t="s">
        <v>2588</v>
      </c>
    </row>
    <row r="264" ht="26.25" customHeight="1">
      <c r="A264" s="12" t="s">
        <v>2589</v>
      </c>
      <c r="B264" s="17">
        <v>2025.0</v>
      </c>
      <c r="C264" s="17" t="s">
        <v>17</v>
      </c>
      <c r="D264" s="15">
        <v>15845.0</v>
      </c>
      <c r="E264" s="49" t="s">
        <v>2590</v>
      </c>
      <c r="F264" s="54" t="s">
        <v>2591</v>
      </c>
      <c r="G264" s="38"/>
      <c r="H264" s="49" t="s">
        <v>2592</v>
      </c>
      <c r="I264" s="49" t="s">
        <v>1447</v>
      </c>
      <c r="J264" s="38" t="s">
        <v>2593</v>
      </c>
    </row>
    <row r="265" ht="26.25" customHeight="1">
      <c r="A265" s="12" t="s">
        <v>2594</v>
      </c>
      <c r="B265" s="17">
        <v>2025.0</v>
      </c>
      <c r="C265" s="17" t="s">
        <v>18</v>
      </c>
      <c r="D265" s="15">
        <v>16174.0</v>
      </c>
      <c r="E265" s="49" t="s">
        <v>2595</v>
      </c>
      <c r="F265" s="54" t="s">
        <v>2596</v>
      </c>
      <c r="G265" s="38" t="s">
        <v>2597</v>
      </c>
      <c r="H265" s="49" t="s">
        <v>2598</v>
      </c>
      <c r="I265" s="55" t="s">
        <v>1426</v>
      </c>
      <c r="J265" s="38" t="s">
        <v>2599</v>
      </c>
    </row>
    <row r="266" ht="26.25" customHeight="1">
      <c r="A266" s="12" t="s">
        <v>2600</v>
      </c>
      <c r="B266" s="17">
        <v>2025.0</v>
      </c>
      <c r="C266" s="17" t="s">
        <v>18</v>
      </c>
      <c r="D266" s="15">
        <v>16147.0</v>
      </c>
      <c r="E266" s="49" t="s">
        <v>2601</v>
      </c>
      <c r="F266" s="54" t="s">
        <v>2602</v>
      </c>
      <c r="G266" s="49" t="s">
        <v>2603</v>
      </c>
      <c r="H266" s="49" t="s">
        <v>2604</v>
      </c>
      <c r="I266" s="55" t="s">
        <v>1415</v>
      </c>
      <c r="J266" s="38" t="s">
        <v>2605</v>
      </c>
    </row>
    <row r="267" ht="26.25" customHeight="1">
      <c r="A267" s="12" t="s">
        <v>2606</v>
      </c>
      <c r="B267" s="17">
        <v>2025.0</v>
      </c>
      <c r="C267" s="17" t="s">
        <v>19</v>
      </c>
      <c r="D267" s="15">
        <v>16274.0</v>
      </c>
      <c r="E267" s="49" t="s">
        <v>2607</v>
      </c>
      <c r="F267" s="54" t="s">
        <v>2608</v>
      </c>
      <c r="G267" s="49"/>
      <c r="H267" s="49" t="s">
        <v>2609</v>
      </c>
      <c r="I267" s="49" t="s">
        <v>1409</v>
      </c>
      <c r="J267" s="38" t="s">
        <v>2610</v>
      </c>
    </row>
    <row r="268" ht="26.25" customHeight="1">
      <c r="A268" s="12" t="s">
        <v>2611</v>
      </c>
      <c r="B268" s="17">
        <v>2025.0</v>
      </c>
      <c r="C268" s="17" t="s">
        <v>19</v>
      </c>
      <c r="D268" s="15">
        <v>16183.0</v>
      </c>
      <c r="E268" s="49" t="s">
        <v>2612</v>
      </c>
      <c r="F268" s="54" t="s">
        <v>2613</v>
      </c>
      <c r="G268" s="49" t="s">
        <v>2614</v>
      </c>
      <c r="H268" s="49" t="s">
        <v>2615</v>
      </c>
      <c r="I268" s="49" t="s">
        <v>1415</v>
      </c>
      <c r="J268" s="38" t="s">
        <v>2616</v>
      </c>
    </row>
    <row r="269" ht="26.25" customHeight="1">
      <c r="A269" s="12" t="s">
        <v>2617</v>
      </c>
      <c r="B269" s="17">
        <v>2025.0</v>
      </c>
      <c r="C269" s="17" t="s">
        <v>19</v>
      </c>
      <c r="D269" s="15">
        <v>12796.0</v>
      </c>
      <c r="E269" s="49" t="s">
        <v>2618</v>
      </c>
      <c r="F269" s="54" t="s">
        <v>2619</v>
      </c>
      <c r="G269" s="49" t="s">
        <v>2620</v>
      </c>
      <c r="H269" s="49" t="s">
        <v>2621</v>
      </c>
      <c r="I269" s="49" t="s">
        <v>1409</v>
      </c>
      <c r="J269" s="38" t="s">
        <v>2622</v>
      </c>
    </row>
    <row r="270" ht="26.25" customHeight="1">
      <c r="A270" s="12" t="s">
        <v>2623</v>
      </c>
      <c r="B270" s="17">
        <v>2025.0</v>
      </c>
      <c r="C270" s="17" t="s">
        <v>19</v>
      </c>
      <c r="D270" s="15">
        <v>16406.0</v>
      </c>
      <c r="E270" s="49" t="s">
        <v>2624</v>
      </c>
      <c r="F270" s="54" t="s">
        <v>2625</v>
      </c>
      <c r="G270" s="49" t="s">
        <v>2626</v>
      </c>
      <c r="H270" s="49" t="s">
        <v>2627</v>
      </c>
      <c r="I270" s="55" t="s">
        <v>1426</v>
      </c>
      <c r="J270" s="38" t="s">
        <v>2628</v>
      </c>
    </row>
    <row r="271" ht="26.25" customHeight="1">
      <c r="A271" s="12" t="s">
        <v>2629</v>
      </c>
      <c r="B271" s="17">
        <v>2025.0</v>
      </c>
      <c r="C271" s="17" t="s">
        <v>19</v>
      </c>
      <c r="D271" s="15">
        <v>16334.0</v>
      </c>
      <c r="E271" s="49" t="s">
        <v>2630</v>
      </c>
      <c r="F271" s="54" t="s">
        <v>2631</v>
      </c>
      <c r="G271" s="49" t="s">
        <v>2632</v>
      </c>
      <c r="H271" s="49" t="s">
        <v>2633</v>
      </c>
      <c r="I271" s="55" t="s">
        <v>1409</v>
      </c>
      <c r="J271" s="38" t="s">
        <v>2634</v>
      </c>
    </row>
    <row r="272" ht="26.25" customHeight="1">
      <c r="A272" s="12" t="s">
        <v>2635</v>
      </c>
      <c r="B272" s="17">
        <v>2025.0</v>
      </c>
      <c r="C272" s="17" t="s">
        <v>19</v>
      </c>
      <c r="D272" s="15">
        <v>16248.0</v>
      </c>
      <c r="E272" s="49" t="s">
        <v>2636</v>
      </c>
      <c r="F272" s="54" t="s">
        <v>2637</v>
      </c>
      <c r="G272" s="49" t="s">
        <v>2638</v>
      </c>
      <c r="H272" s="78" t="s">
        <v>2639</v>
      </c>
      <c r="I272" s="55" t="s">
        <v>1415</v>
      </c>
      <c r="J272" s="38" t="s">
        <v>2640</v>
      </c>
    </row>
    <row r="273" ht="26.25" customHeight="1">
      <c r="A273" s="12" t="s">
        <v>2641</v>
      </c>
      <c r="B273" s="17">
        <v>2025.0</v>
      </c>
      <c r="C273" s="17" t="s">
        <v>20</v>
      </c>
      <c r="D273" s="15">
        <v>16424.0</v>
      </c>
      <c r="E273" s="49" t="s">
        <v>2095</v>
      </c>
      <c r="F273" s="54" t="s">
        <v>2642</v>
      </c>
      <c r="G273" s="49" t="s">
        <v>2643</v>
      </c>
      <c r="H273" s="49" t="s">
        <v>2644</v>
      </c>
      <c r="I273" s="55" t="s">
        <v>1447</v>
      </c>
      <c r="J273" s="38" t="s">
        <v>2645</v>
      </c>
    </row>
    <row r="274" ht="26.25" customHeight="1">
      <c r="A274" s="12" t="s">
        <v>2646</v>
      </c>
      <c r="B274" s="17">
        <v>2025.0</v>
      </c>
      <c r="C274" s="17" t="s">
        <v>20</v>
      </c>
      <c r="D274" s="15">
        <v>16519.0</v>
      </c>
      <c r="E274" s="49" t="s">
        <v>2647</v>
      </c>
      <c r="F274" s="54" t="s">
        <v>2648</v>
      </c>
      <c r="G274" s="49" t="s">
        <v>2649</v>
      </c>
      <c r="H274" s="49" t="s">
        <v>2650</v>
      </c>
      <c r="I274" s="49" t="s">
        <v>1409</v>
      </c>
      <c r="J274" s="38" t="s">
        <v>2651</v>
      </c>
    </row>
    <row r="275" ht="26.25" customHeight="1">
      <c r="A275" s="12" t="s">
        <v>2652</v>
      </c>
      <c r="B275" s="17">
        <v>2025.0</v>
      </c>
      <c r="C275" s="17" t="s">
        <v>21</v>
      </c>
      <c r="D275" s="15">
        <v>16720.0</v>
      </c>
      <c r="E275" s="49" t="s">
        <v>2653</v>
      </c>
      <c r="F275" s="54" t="s">
        <v>2654</v>
      </c>
      <c r="G275" s="49" t="s">
        <v>2655</v>
      </c>
      <c r="H275" s="49" t="s">
        <v>2656</v>
      </c>
      <c r="I275" s="49" t="s">
        <v>1426</v>
      </c>
      <c r="J275" s="38" t="s">
        <v>2657</v>
      </c>
    </row>
    <row r="276" ht="26.25" customHeight="1">
      <c r="A276" s="12" t="s">
        <v>2658</v>
      </c>
      <c r="B276" s="17">
        <v>2025.0</v>
      </c>
      <c r="C276" s="17" t="s">
        <v>21</v>
      </c>
      <c r="D276" s="15">
        <v>16937.0</v>
      </c>
      <c r="E276" s="49" t="s">
        <v>2659</v>
      </c>
      <c r="F276" s="54" t="s">
        <v>2660</v>
      </c>
      <c r="G276" s="49" t="s">
        <v>2661</v>
      </c>
      <c r="H276" s="49" t="s">
        <v>2662</v>
      </c>
      <c r="I276" s="49" t="s">
        <v>1447</v>
      </c>
      <c r="J276" s="38" t="s">
        <v>2663</v>
      </c>
    </row>
    <row r="277" ht="26.25" customHeight="1">
      <c r="A277" s="12" t="s">
        <v>2664</v>
      </c>
      <c r="B277" s="17">
        <v>2025.0</v>
      </c>
      <c r="C277" s="17" t="s">
        <v>21</v>
      </c>
      <c r="D277" s="54" t="s">
        <v>2665</v>
      </c>
      <c r="E277" s="49" t="s">
        <v>2666</v>
      </c>
      <c r="F277" s="54" t="s">
        <v>2667</v>
      </c>
      <c r="G277" s="49" t="s">
        <v>2668</v>
      </c>
      <c r="H277" s="78" t="s">
        <v>2669</v>
      </c>
      <c r="I277" s="49" t="s">
        <v>1403</v>
      </c>
      <c r="J277" s="38" t="s">
        <v>2670</v>
      </c>
    </row>
    <row r="278" ht="26.25" customHeight="1">
      <c r="A278" s="12" t="s">
        <v>2671</v>
      </c>
      <c r="B278" s="17">
        <v>2025.0</v>
      </c>
      <c r="C278" s="17" t="s">
        <v>22</v>
      </c>
      <c r="D278" s="54">
        <v>16946.0</v>
      </c>
      <c r="E278" s="49" t="s">
        <v>2672</v>
      </c>
      <c r="F278" s="54" t="s">
        <v>2673</v>
      </c>
      <c r="G278" s="49"/>
      <c r="H278" s="95" t="s">
        <v>2674</v>
      </c>
      <c r="I278" s="49" t="s">
        <v>1447</v>
      </c>
      <c r="J278" s="38" t="s">
        <v>2675</v>
      </c>
    </row>
    <row r="279" ht="26.25" customHeight="1">
      <c r="A279" s="12" t="s">
        <v>2676</v>
      </c>
      <c r="B279" s="20">
        <v>2026.0</v>
      </c>
      <c r="C279" s="17" t="s">
        <v>11</v>
      </c>
      <c r="D279" s="59">
        <v>17543.0</v>
      </c>
      <c r="E279" s="49" t="s">
        <v>2677</v>
      </c>
      <c r="F279" s="59" t="s">
        <v>2678</v>
      </c>
      <c r="G279" s="61" t="s">
        <v>2679</v>
      </c>
      <c r="H279" s="49" t="s">
        <v>2680</v>
      </c>
      <c r="I279" s="58" t="s">
        <v>1403</v>
      </c>
      <c r="J279" s="96" t="s">
        <v>2681</v>
      </c>
    </row>
    <row r="280" ht="26.25" customHeight="1">
      <c r="A280" s="12" t="s">
        <v>2682</v>
      </c>
      <c r="B280" s="20">
        <v>2026.0</v>
      </c>
      <c r="C280" s="17" t="s">
        <v>12</v>
      </c>
      <c r="D280" s="54">
        <v>17724.0</v>
      </c>
      <c r="E280" s="49" t="s">
        <v>2683</v>
      </c>
      <c r="F280" s="59" t="s">
        <v>2684</v>
      </c>
      <c r="G280" s="61" t="s">
        <v>2685</v>
      </c>
      <c r="H280" s="58" t="s">
        <v>2686</v>
      </c>
      <c r="I280" s="58" t="s">
        <v>1426</v>
      </c>
      <c r="J280" s="96" t="s">
        <v>2687</v>
      </c>
    </row>
    <row r="281" ht="26.25" customHeight="1">
      <c r="A281" s="12" t="s">
        <v>2688</v>
      </c>
      <c r="B281" s="20">
        <v>2026.0</v>
      </c>
      <c r="C281" s="17" t="s">
        <v>12</v>
      </c>
      <c r="D281" s="54">
        <v>17823.0</v>
      </c>
      <c r="E281" s="49" t="s">
        <v>2689</v>
      </c>
      <c r="F281" s="59" t="s">
        <v>2690</v>
      </c>
      <c r="G281" s="61" t="s">
        <v>2691</v>
      </c>
      <c r="H281" s="58" t="s">
        <v>2692</v>
      </c>
      <c r="I281" s="58" t="s">
        <v>1403</v>
      </c>
      <c r="J281" s="96" t="s">
        <v>2693</v>
      </c>
    </row>
    <row r="282" ht="26.25" customHeight="1">
      <c r="A282" s="12" t="s">
        <v>2694</v>
      </c>
      <c r="B282" s="20">
        <v>2026.0</v>
      </c>
      <c r="C282" s="17" t="s">
        <v>12</v>
      </c>
      <c r="D282" s="54">
        <v>3569.0</v>
      </c>
      <c r="E282" s="49" t="s">
        <v>2695</v>
      </c>
      <c r="F282" s="59" t="s">
        <v>2696</v>
      </c>
      <c r="G282" s="61" t="s">
        <v>1645</v>
      </c>
      <c r="H282" s="58" t="s">
        <v>2697</v>
      </c>
      <c r="I282" s="58" t="s">
        <v>1426</v>
      </c>
      <c r="J282" s="80" t="s">
        <v>1647</v>
      </c>
    </row>
    <row r="283" ht="26.25" customHeight="1">
      <c r="A283" s="12" t="s">
        <v>2698</v>
      </c>
      <c r="B283" s="20">
        <v>2026.0</v>
      </c>
      <c r="C283" s="17" t="s">
        <v>12</v>
      </c>
      <c r="D283" s="54">
        <v>6058.0</v>
      </c>
      <c r="E283" s="49" t="s">
        <v>1761</v>
      </c>
      <c r="F283" s="59" t="s">
        <v>2167</v>
      </c>
      <c r="G283" s="61" t="s">
        <v>1763</v>
      </c>
      <c r="H283" s="58" t="s">
        <v>2699</v>
      </c>
      <c r="I283" s="58" t="s">
        <v>1403</v>
      </c>
      <c r="J283" s="80" t="s">
        <v>1765</v>
      </c>
    </row>
    <row r="284" ht="26.25" customHeight="1">
      <c r="A284" s="12" t="s">
        <v>2700</v>
      </c>
      <c r="B284" s="20">
        <v>2026.0</v>
      </c>
      <c r="C284" s="20" t="s">
        <v>13</v>
      </c>
      <c r="D284" s="54">
        <v>17442.0</v>
      </c>
      <c r="E284" s="49" t="s">
        <v>2701</v>
      </c>
      <c r="F284" s="59" t="s">
        <v>2702</v>
      </c>
      <c r="G284" s="61" t="s">
        <v>2703</v>
      </c>
      <c r="H284" s="58" t="s">
        <v>2704</v>
      </c>
      <c r="I284" s="58" t="s">
        <v>1426</v>
      </c>
      <c r="J284" s="80" t="s">
        <v>2705</v>
      </c>
    </row>
    <row r="285" ht="26.25" customHeight="1">
      <c r="A285" s="12" t="s">
        <v>2706</v>
      </c>
      <c r="B285" s="20">
        <v>2026.0</v>
      </c>
      <c r="C285" s="20" t="s">
        <v>13</v>
      </c>
      <c r="D285" s="54">
        <v>17949.0</v>
      </c>
      <c r="E285" s="49" t="s">
        <v>2707</v>
      </c>
      <c r="F285" s="59" t="s">
        <v>2708</v>
      </c>
      <c r="G285" s="61" t="s">
        <v>2709</v>
      </c>
      <c r="H285" s="58" t="s">
        <v>2710</v>
      </c>
      <c r="I285" s="58" t="s">
        <v>1409</v>
      </c>
      <c r="J285" s="80" t="s">
        <v>2711</v>
      </c>
    </row>
    <row r="286" ht="26.25" customHeight="1">
      <c r="A286" s="12" t="s">
        <v>2712</v>
      </c>
      <c r="B286" s="20">
        <v>2026.0</v>
      </c>
      <c r="C286" s="17" t="s">
        <v>13</v>
      </c>
      <c r="D286" s="59">
        <v>6645.0</v>
      </c>
      <c r="E286" s="49" t="s">
        <v>1860</v>
      </c>
      <c r="F286" s="59" t="s">
        <v>1800</v>
      </c>
      <c r="G286" s="61" t="s">
        <v>1801</v>
      </c>
      <c r="H286" s="58" t="s">
        <v>2713</v>
      </c>
      <c r="I286" s="58" t="s">
        <v>1447</v>
      </c>
      <c r="J286" s="80" t="s">
        <v>1803</v>
      </c>
    </row>
    <row r="287" ht="26.25" customHeight="1">
      <c r="A287" s="12" t="s">
        <v>2714</v>
      </c>
      <c r="B287" s="20">
        <v>2026.0</v>
      </c>
      <c r="C287" s="17" t="s">
        <v>13</v>
      </c>
      <c r="D287" s="54">
        <v>17838.0</v>
      </c>
      <c r="E287" s="49" t="s">
        <v>2715</v>
      </c>
      <c r="F287" s="59" t="s">
        <v>2716</v>
      </c>
      <c r="G287" s="61" t="s">
        <v>2717</v>
      </c>
      <c r="H287" s="58" t="s">
        <v>2718</v>
      </c>
      <c r="I287" s="58" t="s">
        <v>1426</v>
      </c>
      <c r="J287" s="80" t="s">
        <v>2719</v>
      </c>
    </row>
    <row r="288" ht="26.25" customHeight="1">
      <c r="A288" s="12" t="s">
        <v>2720</v>
      </c>
      <c r="B288" s="20">
        <v>2026.0</v>
      </c>
      <c r="C288" s="17" t="s">
        <v>13</v>
      </c>
      <c r="D288" s="64">
        <v>18116.0</v>
      </c>
      <c r="E288" s="63" t="s">
        <v>2721</v>
      </c>
      <c r="F288" s="64" t="s">
        <v>2722</v>
      </c>
      <c r="G288" s="97" t="s">
        <v>2723</v>
      </c>
      <c r="H288" s="63" t="s">
        <v>2724</v>
      </c>
      <c r="I288" s="63" t="s">
        <v>1426</v>
      </c>
      <c r="J288" s="98" t="s">
        <v>2725</v>
      </c>
    </row>
    <row r="289" ht="26.25" customHeight="1">
      <c r="A289" s="12" t="s">
        <v>2726</v>
      </c>
      <c r="B289" s="20">
        <v>2026.0</v>
      </c>
      <c r="C289" s="20" t="s">
        <v>14</v>
      </c>
      <c r="D289" s="54">
        <v>15710.0</v>
      </c>
      <c r="E289" s="49" t="s">
        <v>2727</v>
      </c>
      <c r="F289" s="54" t="s">
        <v>2586</v>
      </c>
      <c r="G289" s="85"/>
      <c r="H289" s="49" t="s">
        <v>2728</v>
      </c>
      <c r="I289" s="49" t="s">
        <v>1403</v>
      </c>
      <c r="J289" s="98" t="s">
        <v>2729</v>
      </c>
    </row>
    <row r="290" ht="26.25" customHeight="1">
      <c r="A290" s="12" t="s">
        <v>2730</v>
      </c>
      <c r="B290" s="20">
        <v>2026.0</v>
      </c>
      <c r="C290" s="20" t="s">
        <v>14</v>
      </c>
      <c r="D290" s="54">
        <v>18299.0</v>
      </c>
      <c r="E290" s="49" t="s">
        <v>2731</v>
      </c>
      <c r="F290" s="54" t="s">
        <v>2732</v>
      </c>
      <c r="G290" s="97" t="s">
        <v>2733</v>
      </c>
      <c r="H290" s="49" t="s">
        <v>2734</v>
      </c>
      <c r="I290" s="49" t="s">
        <v>1447</v>
      </c>
      <c r="J290" s="98" t="s">
        <v>2735</v>
      </c>
    </row>
    <row r="291" ht="26.25" customHeight="1">
      <c r="A291" s="12" t="s">
        <v>2736</v>
      </c>
      <c r="B291" s="20">
        <v>2026.0</v>
      </c>
      <c r="C291" s="20" t="s">
        <v>15</v>
      </c>
      <c r="D291" s="64">
        <v>18515.0</v>
      </c>
      <c r="E291" s="63" t="s">
        <v>2737</v>
      </c>
      <c r="F291" s="64" t="s">
        <v>2738</v>
      </c>
      <c r="G291" s="85"/>
      <c r="H291" s="63" t="s">
        <v>2739</v>
      </c>
      <c r="I291" s="63" t="s">
        <v>1409</v>
      </c>
      <c r="J291" s="98" t="s">
        <v>2740</v>
      </c>
    </row>
    <row r="292" ht="26.25" customHeight="1">
      <c r="A292" s="12" t="s">
        <v>2741</v>
      </c>
      <c r="B292" s="20">
        <v>2026.0</v>
      </c>
      <c r="C292" s="20" t="s">
        <v>15</v>
      </c>
      <c r="D292" s="15">
        <v>16147.0</v>
      </c>
      <c r="E292" s="49" t="s">
        <v>2601</v>
      </c>
      <c r="F292" s="54" t="s">
        <v>2602</v>
      </c>
      <c r="G292" s="49" t="s">
        <v>2603</v>
      </c>
      <c r="H292" s="61" t="s">
        <v>2742</v>
      </c>
      <c r="I292" s="55" t="s">
        <v>1415</v>
      </c>
      <c r="J292" s="96" t="s">
        <v>2743</v>
      </c>
    </row>
    <row r="293" ht="26.25" customHeight="1">
      <c r="A293" s="12" t="s">
        <v>2744</v>
      </c>
      <c r="B293" s="20">
        <v>2026.0</v>
      </c>
      <c r="C293" s="20" t="s">
        <v>15</v>
      </c>
      <c r="D293" s="62">
        <v>18411.0</v>
      </c>
      <c r="E293" s="63" t="s">
        <v>2745</v>
      </c>
      <c r="F293" s="64" t="s">
        <v>2746</v>
      </c>
      <c r="G293" s="61" t="s">
        <v>2747</v>
      </c>
      <c r="H293" s="99" t="s">
        <v>2748</v>
      </c>
      <c r="I293" s="63" t="s">
        <v>1403</v>
      </c>
      <c r="J293" s="96" t="s">
        <v>2749</v>
      </c>
    </row>
    <row r="294" ht="26.25" customHeight="1">
      <c r="A294" s="12" t="s">
        <v>2750</v>
      </c>
      <c r="B294" s="20">
        <v>2026.0</v>
      </c>
      <c r="C294" s="20" t="s">
        <v>15</v>
      </c>
      <c r="D294" s="62">
        <v>13063.0</v>
      </c>
      <c r="E294" s="63" t="s">
        <v>2751</v>
      </c>
      <c r="F294" s="64" t="s">
        <v>2406</v>
      </c>
      <c r="G294" s="61" t="s">
        <v>2407</v>
      </c>
      <c r="H294" s="99" t="s">
        <v>2752</v>
      </c>
      <c r="I294" s="63" t="s">
        <v>1409</v>
      </c>
      <c r="J294" s="96" t="s">
        <v>2409</v>
      </c>
    </row>
    <row r="295" ht="26.25" customHeight="1">
      <c r="A295" s="12" t="s">
        <v>2753</v>
      </c>
      <c r="B295" s="20">
        <v>2026.0</v>
      </c>
      <c r="C295" s="20" t="s">
        <v>15</v>
      </c>
      <c r="D295" s="65">
        <v>18620.0</v>
      </c>
      <c r="E295" s="66" t="s">
        <v>2754</v>
      </c>
      <c r="F295" s="67" t="s">
        <v>2755</v>
      </c>
      <c r="G295" s="61" t="s">
        <v>2756</v>
      </c>
      <c r="H295" s="99" t="s">
        <v>2757</v>
      </c>
      <c r="I295" s="66" t="s">
        <v>1415</v>
      </c>
      <c r="J295" s="96" t="s">
        <v>2758</v>
      </c>
    </row>
    <row r="296" ht="26.25" customHeight="1">
      <c r="A296" s="100" t="s">
        <v>2759</v>
      </c>
      <c r="B296" s="101">
        <v>2026.0</v>
      </c>
      <c r="C296" s="101" t="s">
        <v>16</v>
      </c>
      <c r="D296" s="102">
        <v>18739.0</v>
      </c>
      <c r="E296" s="103" t="s">
        <v>2760</v>
      </c>
      <c r="F296" s="104" t="s">
        <v>2761</v>
      </c>
      <c r="G296" s="105" t="s">
        <v>2762</v>
      </c>
      <c r="H296" s="106" t="s">
        <v>2763</v>
      </c>
      <c r="I296" s="103" t="s">
        <v>1409</v>
      </c>
      <c r="J296" s="107" t="s">
        <v>2764</v>
      </c>
    </row>
    <row r="297" ht="26.25" customHeight="1">
      <c r="A297" s="100" t="s">
        <v>2765</v>
      </c>
      <c r="B297" s="101">
        <v>2026.0</v>
      </c>
      <c r="C297" s="101" t="s">
        <v>16</v>
      </c>
      <c r="D297" s="102">
        <v>18839.0</v>
      </c>
      <c r="E297" s="103" t="s">
        <v>2766</v>
      </c>
      <c r="F297" s="104" t="s">
        <v>2767</v>
      </c>
      <c r="G297" s="105" t="s">
        <v>2768</v>
      </c>
      <c r="H297" s="106" t="s">
        <v>2769</v>
      </c>
      <c r="I297" s="103" t="s">
        <v>1409</v>
      </c>
      <c r="J297" s="107" t="s">
        <v>2770</v>
      </c>
    </row>
    <row r="298" ht="26.25" customHeight="1">
      <c r="A298" s="100" t="s">
        <v>2771</v>
      </c>
      <c r="B298" s="101">
        <v>2026.0</v>
      </c>
      <c r="C298" s="101" t="s">
        <v>16</v>
      </c>
      <c r="D298" s="102">
        <v>18843.0</v>
      </c>
      <c r="E298" s="103" t="s">
        <v>2772</v>
      </c>
      <c r="F298" s="104" t="s">
        <v>2773</v>
      </c>
      <c r="G298" s="105" t="s">
        <v>2774</v>
      </c>
      <c r="H298" s="106" t="s">
        <v>2775</v>
      </c>
      <c r="I298" s="103" t="s">
        <v>1403</v>
      </c>
      <c r="J298" s="107" t="s">
        <v>2776</v>
      </c>
    </row>
    <row r="299" ht="26.25" customHeight="1">
      <c r="A299" s="100" t="s">
        <v>2777</v>
      </c>
      <c r="B299" s="101">
        <v>2026.0</v>
      </c>
      <c r="C299" s="101" t="s">
        <v>16</v>
      </c>
      <c r="D299" s="102">
        <v>3536.0</v>
      </c>
      <c r="E299" s="103" t="s">
        <v>2778</v>
      </c>
      <c r="F299" s="104" t="s">
        <v>2779</v>
      </c>
      <c r="G299" s="105" t="s">
        <v>2780</v>
      </c>
      <c r="H299" s="106" t="s">
        <v>2781</v>
      </c>
      <c r="I299" s="103" t="s">
        <v>1403</v>
      </c>
      <c r="J299" s="107" t="s">
        <v>2782</v>
      </c>
    </row>
    <row r="300" ht="26.25" customHeight="1">
      <c r="A300" s="12" t="s">
        <v>2783</v>
      </c>
      <c r="B300" s="20">
        <v>2026.0</v>
      </c>
      <c r="C300" s="20" t="s">
        <v>17</v>
      </c>
      <c r="D300" s="108">
        <v>19100.0</v>
      </c>
      <c r="E300" s="109" t="s">
        <v>2784</v>
      </c>
      <c r="F300" s="110" t="s">
        <v>2785</v>
      </c>
      <c r="G300" s="61" t="s">
        <v>2786</v>
      </c>
      <c r="H300" s="111" t="s">
        <v>2787</v>
      </c>
      <c r="I300" s="109" t="s">
        <v>1409</v>
      </c>
      <c r="J300" s="96" t="s">
        <v>2788</v>
      </c>
    </row>
    <row r="301" ht="26.25" customHeight="1">
      <c r="A301" s="51" t="s">
        <v>222</v>
      </c>
      <c r="C301" s="52"/>
      <c r="D301" s="52"/>
      <c r="E301" s="53">
        <f t="array" ref="E301">sum(1/countif(E279:E300,E279:E300))</f>
        <v>22</v>
      </c>
      <c r="F301" s="52"/>
      <c r="G301" s="52"/>
      <c r="H301" s="53">
        <f t="array" ref="H301">sum(1/countif(H279:H300,H279:H300))</f>
        <v>22</v>
      </c>
      <c r="I301" s="53">
        <f t="array" ref="I301">sum(1/countif(I238:I274,I238:I274))</f>
        <v>5</v>
      </c>
      <c r="J301" s="53"/>
    </row>
    <row r="302" ht="26.25" customHeight="1">
      <c r="A302" s="51" t="s">
        <v>223</v>
      </c>
      <c r="C302" s="52"/>
      <c r="E302" s="53">
        <f t="array" ref="E302">sum(1/countif(E5:E300,E5:E300))</f>
        <v>243</v>
      </c>
      <c r="F302" s="52"/>
      <c r="G302" s="52"/>
      <c r="H302" s="53">
        <f t="array" ref="H302">sum(1/countif(H5:H300,H5:H300))</f>
        <v>294</v>
      </c>
      <c r="I302" s="53">
        <f t="array" ref="I302">sum(1/countif(I5:I274,I5:I274))</f>
        <v>5</v>
      </c>
      <c r="J302" s="53"/>
    </row>
  </sheetData>
  <mergeCells count="6">
    <mergeCell ref="A1:J1"/>
    <mergeCell ref="A2:J2"/>
    <mergeCell ref="A3:J3"/>
    <mergeCell ref="A301:B301"/>
    <mergeCell ref="A302:B302"/>
    <mergeCell ref="C302:D302"/>
  </mergeCells>
  <hyperlinks>
    <hyperlink r:id="rId2" ref="G99"/>
    <hyperlink r:id="rId3" ref="G100"/>
    <hyperlink r:id="rId4" ref="H278"/>
  </hyperlinks>
  <drawing r:id="rId5"/>
  <legacyDrawing r:id="rId6"/>
  <tableParts count="4">
    <tablePart r:id="rId11"/>
    <tablePart r:id="rId12"/>
    <tablePart r:id="rId13"/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40" t="s">
        <v>18</v>
      </c>
      <c r="D5" s="40">
        <v>2253.0</v>
      </c>
      <c r="E5" s="39" t="s">
        <v>2789</v>
      </c>
      <c r="F5" s="40" t="s">
        <v>2790</v>
      </c>
      <c r="G5" s="39" t="s">
        <v>2791</v>
      </c>
      <c r="H5" s="39" t="s">
        <v>2792</v>
      </c>
      <c r="I5" s="39" t="s">
        <v>2793</v>
      </c>
      <c r="J5" s="39" t="s">
        <v>2794</v>
      </c>
    </row>
    <row r="6" ht="26.25" customHeight="1">
      <c r="A6" s="12" t="s">
        <v>80</v>
      </c>
      <c r="B6" s="17">
        <v>2021.0</v>
      </c>
      <c r="C6" s="40" t="s">
        <v>18</v>
      </c>
      <c r="D6" s="40">
        <v>670.0</v>
      </c>
      <c r="E6" s="39" t="s">
        <v>2795</v>
      </c>
      <c r="F6" s="40" t="s">
        <v>2796</v>
      </c>
      <c r="G6" s="39" t="s">
        <v>2797</v>
      </c>
      <c r="H6" s="39" t="s">
        <v>2798</v>
      </c>
      <c r="I6" s="39" t="s">
        <v>2793</v>
      </c>
      <c r="J6" s="39" t="s">
        <v>2799</v>
      </c>
    </row>
    <row r="7" ht="26.25" customHeight="1">
      <c r="A7" s="12" t="s">
        <v>87</v>
      </c>
      <c r="B7" s="17">
        <v>2022.0</v>
      </c>
      <c r="C7" s="40" t="s">
        <v>15</v>
      </c>
      <c r="D7" s="17">
        <v>5562.0</v>
      </c>
      <c r="E7" s="36" t="s">
        <v>2800</v>
      </c>
      <c r="F7" s="42" t="s">
        <v>2801</v>
      </c>
      <c r="G7" s="39" t="s">
        <v>2802</v>
      </c>
      <c r="H7" s="39" t="s">
        <v>2803</v>
      </c>
      <c r="I7" s="39" t="s">
        <v>2793</v>
      </c>
      <c r="J7" s="39" t="s">
        <v>2804</v>
      </c>
    </row>
    <row r="8" ht="26.25" customHeight="1">
      <c r="A8" s="12" t="s">
        <v>94</v>
      </c>
      <c r="B8" s="17">
        <v>2025.0</v>
      </c>
      <c r="C8" s="40" t="s">
        <v>17</v>
      </c>
      <c r="D8" s="17">
        <v>15873.0</v>
      </c>
      <c r="E8" s="36" t="s">
        <v>2805</v>
      </c>
      <c r="F8" s="43" t="s">
        <v>2806</v>
      </c>
      <c r="G8" s="39"/>
      <c r="H8" s="39" t="s">
        <v>2807</v>
      </c>
      <c r="I8" s="39" t="s">
        <v>2808</v>
      </c>
      <c r="J8" s="39" t="s">
        <v>2809</v>
      </c>
    </row>
    <row r="9" ht="26.25" customHeight="1">
      <c r="A9" s="51" t="s">
        <v>222</v>
      </c>
      <c r="C9" s="52"/>
      <c r="D9" s="52"/>
      <c r="E9" s="53" t="str">
        <f t="array" ref="E9">sum(1/countif(E9,E9))</f>
        <v>#REF!</v>
      </c>
      <c r="F9" s="52"/>
      <c r="G9" s="52"/>
      <c r="H9" s="53" t="str">
        <f t="array" ref="H9">sum(1/countif(H9,H9))</f>
        <v>#REF!</v>
      </c>
      <c r="I9" s="53">
        <v>0.0</v>
      </c>
      <c r="J9" s="53"/>
    </row>
    <row r="10" ht="26.25" customHeight="1">
      <c r="A10" s="51" t="s">
        <v>223</v>
      </c>
      <c r="C10" s="52"/>
      <c r="E10" s="53">
        <f t="array" ref="E10">sum(1/countif(E5:E8,E5:E8))</f>
        <v>4</v>
      </c>
      <c r="F10" s="52"/>
      <c r="G10" s="52"/>
      <c r="H10" s="53">
        <f>counta(H5:H8)</f>
        <v>4</v>
      </c>
      <c r="I10" s="53">
        <f t="array" ref="I10">sum(1/countif(I5,I5))</f>
        <v>1</v>
      </c>
      <c r="J10" s="53"/>
    </row>
  </sheetData>
  <mergeCells count="6">
    <mergeCell ref="A1:J1"/>
    <mergeCell ref="A2:J2"/>
    <mergeCell ref="A3:J3"/>
    <mergeCell ref="A9:B9"/>
    <mergeCell ref="A10:B10"/>
    <mergeCell ref="C10:D1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8.57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22</v>
      </c>
      <c r="D5" s="35">
        <v>3862.0</v>
      </c>
      <c r="E5" s="37" t="s">
        <v>2810</v>
      </c>
      <c r="F5" s="40" t="s">
        <v>2811</v>
      </c>
      <c r="G5" s="39" t="s">
        <v>2812</v>
      </c>
      <c r="H5" s="39" t="s">
        <v>2813</v>
      </c>
      <c r="I5" s="39" t="s">
        <v>2814</v>
      </c>
      <c r="J5" s="39" t="s">
        <v>2815</v>
      </c>
    </row>
    <row r="6" ht="26.25" customHeight="1">
      <c r="A6" s="12" t="s">
        <v>80</v>
      </c>
      <c r="B6" s="17">
        <v>2022.0</v>
      </c>
      <c r="C6" s="40" t="s">
        <v>14</v>
      </c>
      <c r="D6" s="40">
        <v>4155.0</v>
      </c>
      <c r="E6" s="39" t="s">
        <v>2816</v>
      </c>
      <c r="F6" s="40" t="s">
        <v>2817</v>
      </c>
      <c r="G6" s="39" t="s">
        <v>2818</v>
      </c>
      <c r="H6" s="39" t="s">
        <v>2819</v>
      </c>
      <c r="I6" s="39" t="s">
        <v>2820</v>
      </c>
      <c r="J6" s="39" t="s">
        <v>2821</v>
      </c>
    </row>
    <row r="7" ht="26.25" customHeight="1">
      <c r="A7" s="12" t="s">
        <v>87</v>
      </c>
      <c r="B7" s="17">
        <v>2023.0</v>
      </c>
      <c r="C7" s="40" t="s">
        <v>17</v>
      </c>
      <c r="D7" s="40">
        <v>3252.0</v>
      </c>
      <c r="E7" s="39" t="s">
        <v>2822</v>
      </c>
      <c r="F7" s="41" t="s">
        <v>2823</v>
      </c>
      <c r="G7" s="37"/>
      <c r="H7" s="39" t="s">
        <v>2824</v>
      </c>
      <c r="I7" s="39" t="s">
        <v>2820</v>
      </c>
      <c r="J7" s="39" t="s">
        <v>2825</v>
      </c>
    </row>
    <row r="8" ht="26.25" customHeight="1">
      <c r="A8" s="12" t="s">
        <v>94</v>
      </c>
      <c r="B8" s="17">
        <v>2023.0</v>
      </c>
      <c r="C8" s="42" t="s">
        <v>22</v>
      </c>
      <c r="D8" s="17">
        <v>10683.0</v>
      </c>
      <c r="E8" s="36" t="s">
        <v>2826</v>
      </c>
      <c r="F8" s="43" t="s">
        <v>2827</v>
      </c>
      <c r="G8" s="36" t="s">
        <v>2828</v>
      </c>
      <c r="H8" s="36" t="s">
        <v>2829</v>
      </c>
      <c r="I8" s="38" t="s">
        <v>2820</v>
      </c>
      <c r="J8" s="38" t="s">
        <v>2830</v>
      </c>
    </row>
    <row r="9" ht="26.25" customHeight="1">
      <c r="A9" s="12" t="s">
        <v>101</v>
      </c>
      <c r="B9" s="17">
        <v>2024.0</v>
      </c>
      <c r="C9" s="42" t="s">
        <v>20</v>
      </c>
      <c r="D9" s="15">
        <v>13512.0</v>
      </c>
      <c r="E9" s="49" t="s">
        <v>2831</v>
      </c>
      <c r="F9" s="50" t="s">
        <v>2832</v>
      </c>
      <c r="G9" s="36" t="s">
        <v>2833</v>
      </c>
      <c r="H9" s="49" t="s">
        <v>2834</v>
      </c>
      <c r="I9" s="49" t="s">
        <v>2820</v>
      </c>
      <c r="J9" s="38" t="s">
        <v>2835</v>
      </c>
    </row>
    <row r="10" ht="26.25" customHeight="1">
      <c r="A10" s="12" t="s">
        <v>108</v>
      </c>
      <c r="B10" s="17">
        <v>2024.0</v>
      </c>
      <c r="C10" s="42" t="s">
        <v>20</v>
      </c>
      <c r="D10" s="15">
        <v>13478.0</v>
      </c>
      <c r="E10" s="49" t="s">
        <v>2836</v>
      </c>
      <c r="F10" s="50" t="s">
        <v>2837</v>
      </c>
      <c r="G10" s="36" t="s">
        <v>2838</v>
      </c>
      <c r="H10" s="49" t="s">
        <v>2839</v>
      </c>
      <c r="I10" s="49" t="s">
        <v>2840</v>
      </c>
      <c r="J10" s="38" t="s">
        <v>2841</v>
      </c>
    </row>
    <row r="11" ht="26.25" customHeight="1">
      <c r="A11" s="12" t="s">
        <v>113</v>
      </c>
      <c r="B11" s="17">
        <v>2025.0</v>
      </c>
      <c r="C11" s="42" t="s">
        <v>11</v>
      </c>
      <c r="D11" s="15">
        <v>14327.0</v>
      </c>
      <c r="E11" s="49" t="s">
        <v>2842</v>
      </c>
      <c r="F11" s="50" t="s">
        <v>2843</v>
      </c>
      <c r="G11" s="36" t="s">
        <v>2844</v>
      </c>
      <c r="H11" s="49" t="s">
        <v>2845</v>
      </c>
      <c r="I11" s="49" t="s">
        <v>2814</v>
      </c>
      <c r="J11" s="38" t="s">
        <v>2846</v>
      </c>
    </row>
    <row r="12" ht="26.25" customHeight="1">
      <c r="A12" s="12" t="s">
        <v>120</v>
      </c>
      <c r="B12" s="17">
        <v>2025.0</v>
      </c>
      <c r="C12" s="42" t="s">
        <v>11</v>
      </c>
      <c r="D12" s="15">
        <v>14369.0</v>
      </c>
      <c r="E12" s="49" t="s">
        <v>2847</v>
      </c>
      <c r="F12" s="50" t="s">
        <v>2848</v>
      </c>
      <c r="G12" s="36" t="s">
        <v>2849</v>
      </c>
      <c r="H12" s="49" t="s">
        <v>2850</v>
      </c>
      <c r="I12" s="49" t="s">
        <v>2840</v>
      </c>
      <c r="J12" s="38" t="s">
        <v>2851</v>
      </c>
    </row>
    <row r="13" ht="26.25" customHeight="1">
      <c r="A13" s="12" t="s">
        <v>126</v>
      </c>
      <c r="B13" s="17">
        <v>2025.0</v>
      </c>
      <c r="C13" s="42" t="s">
        <v>12</v>
      </c>
      <c r="D13" s="15">
        <v>14813.0</v>
      </c>
      <c r="E13" s="49" t="s">
        <v>2852</v>
      </c>
      <c r="F13" s="50" t="s">
        <v>2853</v>
      </c>
      <c r="G13" s="36" t="s">
        <v>2854</v>
      </c>
      <c r="H13" s="49" t="s">
        <v>2855</v>
      </c>
      <c r="I13" s="49" t="s">
        <v>2820</v>
      </c>
      <c r="J13" s="38" t="s">
        <v>2856</v>
      </c>
    </row>
    <row r="14" ht="26.25" customHeight="1">
      <c r="A14" s="12" t="s">
        <v>132</v>
      </c>
      <c r="B14" s="17">
        <v>2025.0</v>
      </c>
      <c r="C14" s="42" t="s">
        <v>14</v>
      </c>
      <c r="D14" s="15">
        <v>15080.0</v>
      </c>
      <c r="E14" s="49" t="s">
        <v>2857</v>
      </c>
      <c r="F14" s="50" t="s">
        <v>2858</v>
      </c>
      <c r="G14" s="36" t="s">
        <v>2859</v>
      </c>
      <c r="H14" s="49" t="s">
        <v>2860</v>
      </c>
      <c r="I14" s="49" t="s">
        <v>2820</v>
      </c>
      <c r="J14" s="38" t="s">
        <v>2861</v>
      </c>
    </row>
    <row r="15" ht="26.25" customHeight="1">
      <c r="A15" s="12" t="s">
        <v>138</v>
      </c>
      <c r="B15" s="17">
        <v>2025.0</v>
      </c>
      <c r="C15" s="42" t="s">
        <v>15</v>
      </c>
      <c r="D15" s="15">
        <v>15323.0</v>
      </c>
      <c r="E15" s="49" t="s">
        <v>2862</v>
      </c>
      <c r="F15" s="50" t="s">
        <v>2863</v>
      </c>
      <c r="G15" s="36" t="s">
        <v>2864</v>
      </c>
      <c r="H15" s="49" t="s">
        <v>2865</v>
      </c>
      <c r="I15" s="36" t="s">
        <v>2866</v>
      </c>
      <c r="J15" s="38" t="s">
        <v>2867</v>
      </c>
    </row>
    <row r="16" ht="26.25" customHeight="1">
      <c r="A16" s="12" t="s">
        <v>144</v>
      </c>
      <c r="B16" s="17">
        <v>2025.0</v>
      </c>
      <c r="C16" s="42" t="s">
        <v>17</v>
      </c>
      <c r="D16" s="15">
        <v>15676.0</v>
      </c>
      <c r="E16" s="49" t="s">
        <v>2868</v>
      </c>
      <c r="F16" s="50" t="s">
        <v>2869</v>
      </c>
      <c r="G16" s="36" t="s">
        <v>2870</v>
      </c>
      <c r="H16" s="49" t="s">
        <v>2871</v>
      </c>
      <c r="I16" s="36" t="s">
        <v>2820</v>
      </c>
      <c r="J16" s="38" t="s">
        <v>2872</v>
      </c>
    </row>
    <row r="17" ht="26.25" customHeight="1">
      <c r="A17" s="12" t="s">
        <v>146</v>
      </c>
      <c r="B17" s="17">
        <v>2025.0</v>
      </c>
      <c r="C17" s="42" t="s">
        <v>18</v>
      </c>
      <c r="D17" s="15">
        <v>16021.0</v>
      </c>
      <c r="E17" s="49" t="s">
        <v>2873</v>
      </c>
      <c r="F17" s="54" t="s">
        <v>2874</v>
      </c>
      <c r="G17" s="36" t="s">
        <v>2875</v>
      </c>
      <c r="H17" s="49" t="s">
        <v>2876</v>
      </c>
      <c r="I17" s="36" t="s">
        <v>2820</v>
      </c>
      <c r="J17" s="38" t="s">
        <v>2877</v>
      </c>
    </row>
    <row r="18" ht="26.25" customHeight="1">
      <c r="A18" s="12" t="s">
        <v>151</v>
      </c>
      <c r="B18" s="17">
        <v>2025.0</v>
      </c>
      <c r="C18" s="42" t="s">
        <v>18</v>
      </c>
      <c r="D18" s="15">
        <v>16109.0</v>
      </c>
      <c r="E18" s="49" t="s">
        <v>2878</v>
      </c>
      <c r="F18" s="54" t="s">
        <v>2879</v>
      </c>
      <c r="G18" s="36" t="s">
        <v>2880</v>
      </c>
      <c r="H18" s="49" t="s">
        <v>2881</v>
      </c>
      <c r="I18" s="36" t="s">
        <v>2820</v>
      </c>
      <c r="J18" s="38" t="s">
        <v>2882</v>
      </c>
    </row>
    <row r="19" ht="26.25" customHeight="1">
      <c r="A19" s="12" t="s">
        <v>153</v>
      </c>
      <c r="B19" s="17">
        <v>2025.0</v>
      </c>
      <c r="C19" s="42" t="s">
        <v>18</v>
      </c>
      <c r="D19" s="15">
        <v>16105.0</v>
      </c>
      <c r="E19" s="49" t="s">
        <v>2883</v>
      </c>
      <c r="F19" s="54" t="s">
        <v>2884</v>
      </c>
      <c r="G19" s="36" t="s">
        <v>2885</v>
      </c>
      <c r="H19" s="49" t="s">
        <v>2886</v>
      </c>
      <c r="I19" s="36" t="s">
        <v>2820</v>
      </c>
      <c r="J19" s="38" t="s">
        <v>2887</v>
      </c>
    </row>
    <row r="20" ht="26.25" customHeight="1">
      <c r="A20" s="12" t="s">
        <v>159</v>
      </c>
      <c r="B20" s="17">
        <v>2025.0</v>
      </c>
      <c r="C20" s="42" t="s">
        <v>18</v>
      </c>
      <c r="D20" s="15">
        <v>15958.0</v>
      </c>
      <c r="E20" s="49" t="s">
        <v>2888</v>
      </c>
      <c r="F20" s="54" t="s">
        <v>2889</v>
      </c>
      <c r="G20" s="36" t="s">
        <v>2890</v>
      </c>
      <c r="H20" s="49" t="s">
        <v>2891</v>
      </c>
      <c r="I20" s="36" t="s">
        <v>2820</v>
      </c>
      <c r="J20" s="38" t="s">
        <v>2892</v>
      </c>
    </row>
    <row r="21" ht="26.25" customHeight="1">
      <c r="A21" s="12" t="s">
        <v>165</v>
      </c>
      <c r="B21" s="17">
        <v>2025.0</v>
      </c>
      <c r="C21" s="42" t="s">
        <v>18</v>
      </c>
      <c r="D21" s="15">
        <v>16231.0</v>
      </c>
      <c r="E21" s="49" t="s">
        <v>2893</v>
      </c>
      <c r="F21" s="54" t="s">
        <v>2894</v>
      </c>
      <c r="G21" s="36" t="s">
        <v>2895</v>
      </c>
      <c r="H21" s="49" t="s">
        <v>2896</v>
      </c>
      <c r="I21" s="36" t="s">
        <v>2820</v>
      </c>
      <c r="J21" s="38" t="s">
        <v>2897</v>
      </c>
    </row>
    <row r="22" ht="26.25" customHeight="1">
      <c r="A22" s="12" t="s">
        <v>171</v>
      </c>
      <c r="B22" s="17">
        <v>2025.0</v>
      </c>
      <c r="C22" s="42" t="s">
        <v>19</v>
      </c>
      <c r="D22" s="15">
        <v>16366.0</v>
      </c>
      <c r="E22" s="49" t="s">
        <v>2898</v>
      </c>
      <c r="F22" s="54" t="s">
        <v>2899</v>
      </c>
      <c r="G22" s="36" t="s">
        <v>2900</v>
      </c>
      <c r="H22" s="49" t="s">
        <v>2901</v>
      </c>
      <c r="I22" s="49" t="s">
        <v>2814</v>
      </c>
      <c r="J22" s="38" t="s">
        <v>2902</v>
      </c>
    </row>
    <row r="23" ht="26.25" customHeight="1">
      <c r="A23" s="12" t="s">
        <v>173</v>
      </c>
      <c r="B23" s="17">
        <v>2025.0</v>
      </c>
      <c r="C23" s="42" t="s">
        <v>20</v>
      </c>
      <c r="D23" s="15">
        <v>16572.0</v>
      </c>
      <c r="E23" s="49" t="s">
        <v>2903</v>
      </c>
      <c r="F23" s="54" t="s">
        <v>2904</v>
      </c>
      <c r="G23" s="36" t="s">
        <v>2905</v>
      </c>
      <c r="H23" s="49" t="s">
        <v>2906</v>
      </c>
      <c r="I23" s="55" t="s">
        <v>2820</v>
      </c>
      <c r="J23" s="38" t="s">
        <v>2907</v>
      </c>
    </row>
    <row r="24" ht="26.25" customHeight="1">
      <c r="A24" s="12" t="s">
        <v>178</v>
      </c>
      <c r="B24" s="20">
        <v>2026.0</v>
      </c>
      <c r="C24" s="79" t="s">
        <v>15</v>
      </c>
      <c r="D24" s="62">
        <v>18720.0</v>
      </c>
      <c r="E24" s="63" t="s">
        <v>2908</v>
      </c>
      <c r="F24" s="64" t="s">
        <v>2909</v>
      </c>
      <c r="G24" s="97" t="s">
        <v>2910</v>
      </c>
      <c r="H24" s="69" t="s">
        <v>2911</v>
      </c>
      <c r="I24" s="63" t="s">
        <v>2814</v>
      </c>
      <c r="J24" s="87" t="s">
        <v>2912</v>
      </c>
    </row>
    <row r="25" ht="26.25" customHeight="1">
      <c r="A25" s="12" t="s">
        <v>184</v>
      </c>
      <c r="B25" s="20">
        <v>2026.0</v>
      </c>
      <c r="C25" s="79" t="s">
        <v>15</v>
      </c>
      <c r="D25" s="62">
        <v>18807.0</v>
      </c>
      <c r="E25" s="63" t="s">
        <v>2913</v>
      </c>
      <c r="F25" s="64" t="s">
        <v>2914</v>
      </c>
      <c r="G25" s="97" t="s">
        <v>2915</v>
      </c>
      <c r="H25" s="69" t="s">
        <v>2916</v>
      </c>
      <c r="I25" s="63" t="s">
        <v>2820</v>
      </c>
      <c r="J25" s="87" t="s">
        <v>2917</v>
      </c>
    </row>
    <row r="26" ht="26.25" customHeight="1">
      <c r="A26" s="12" t="s">
        <v>190</v>
      </c>
      <c r="B26" s="20">
        <v>2026.0</v>
      </c>
      <c r="C26" s="79" t="s">
        <v>16</v>
      </c>
      <c r="D26" s="62">
        <v>18785.0</v>
      </c>
      <c r="E26" s="63" t="s">
        <v>2918</v>
      </c>
      <c r="F26" s="64" t="s">
        <v>2919</v>
      </c>
      <c r="G26" s="97" t="s">
        <v>2920</v>
      </c>
      <c r="H26" s="63" t="s">
        <v>2921</v>
      </c>
      <c r="I26" s="63" t="s">
        <v>2820</v>
      </c>
      <c r="J26" s="87" t="s">
        <v>2920</v>
      </c>
    </row>
    <row r="27" ht="26.25" customHeight="1">
      <c r="A27" s="51" t="s">
        <v>222</v>
      </c>
      <c r="C27" s="52"/>
      <c r="D27" s="52"/>
      <c r="E27" s="53" t="str">
        <f t="array" ref="E27">sum(1/countif(E27,E27))</f>
        <v>#REF!</v>
      </c>
      <c r="F27" s="52"/>
      <c r="G27" s="52"/>
      <c r="H27" s="53" t="str">
        <f t="array" ref="H27">sum(1/countif(H27,H27))</f>
        <v>#REF!</v>
      </c>
      <c r="I27" s="53">
        <f t="array" ref="I27">sum(1/countif(I11:I26,I11:I26))</f>
        <v>4</v>
      </c>
      <c r="J27" s="53"/>
    </row>
    <row r="28" ht="26.25" customHeight="1">
      <c r="A28" s="51" t="s">
        <v>223</v>
      </c>
      <c r="C28" s="52"/>
      <c r="E28" s="53">
        <f t="array" ref="E28">sum(1/countif(E5:E26,E5:E26))</f>
        <v>22</v>
      </c>
      <c r="F28" s="52"/>
      <c r="G28" s="52"/>
      <c r="H28" s="53">
        <f t="array" ref="H28">sum(1/countif(H5:H26,H5:H26))</f>
        <v>22</v>
      </c>
      <c r="I28" s="53">
        <f t="array" ref="I28">sum(1/countif(I5:I26,I5:I26))</f>
        <v>4</v>
      </c>
      <c r="J28" s="53"/>
    </row>
  </sheetData>
  <mergeCells count="6">
    <mergeCell ref="A1:J1"/>
    <mergeCell ref="A2:J2"/>
    <mergeCell ref="A3:J3"/>
    <mergeCell ref="A27:B27"/>
    <mergeCell ref="A28:B28"/>
    <mergeCell ref="C28:D28"/>
  </mergeCell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30.71"/>
    <col customWidth="1" min="8" max="8" width="44.71"/>
    <col customWidth="1" min="9" max="9" width="17.29"/>
    <col customWidth="1" min="10" max="10" width="79.71"/>
  </cols>
  <sheetData>
    <row r="1" ht="25.5" customHeight="1">
      <c r="A1" s="112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13" t="s">
        <v>24</v>
      </c>
      <c r="B5" s="35">
        <v>2021.0</v>
      </c>
      <c r="C5" s="113" t="s">
        <v>15</v>
      </c>
      <c r="D5" s="35">
        <v>329.0</v>
      </c>
      <c r="E5" s="37" t="s">
        <v>2922</v>
      </c>
      <c r="F5" s="35" t="s">
        <v>2923</v>
      </c>
      <c r="G5" s="37" t="s">
        <v>2924</v>
      </c>
      <c r="H5" s="36" t="s">
        <v>2925</v>
      </c>
      <c r="I5" s="39" t="s">
        <v>2926</v>
      </c>
      <c r="J5" s="39" t="s">
        <v>2927</v>
      </c>
    </row>
    <row r="6" ht="26.25" customHeight="1">
      <c r="A6" s="113" t="s">
        <v>80</v>
      </c>
      <c r="B6" s="35">
        <v>2021.0</v>
      </c>
      <c r="C6" s="113" t="s">
        <v>15</v>
      </c>
      <c r="D6" s="35">
        <v>440.0</v>
      </c>
      <c r="E6" s="37" t="s">
        <v>2928</v>
      </c>
      <c r="F6" s="35" t="s">
        <v>2929</v>
      </c>
      <c r="G6" s="37" t="s">
        <v>2930</v>
      </c>
      <c r="H6" s="36" t="s">
        <v>2931</v>
      </c>
      <c r="I6" s="39" t="s">
        <v>2932</v>
      </c>
      <c r="J6" s="39" t="s">
        <v>2933</v>
      </c>
    </row>
    <row r="7" ht="26.25" customHeight="1">
      <c r="A7" s="113" t="s">
        <v>87</v>
      </c>
      <c r="B7" s="35">
        <v>2021.0</v>
      </c>
      <c r="C7" s="113" t="s">
        <v>15</v>
      </c>
      <c r="D7" s="35">
        <v>832.0</v>
      </c>
      <c r="E7" s="37" t="s">
        <v>2934</v>
      </c>
      <c r="F7" s="35" t="s">
        <v>2935</v>
      </c>
      <c r="G7" s="37" t="s">
        <v>2936</v>
      </c>
      <c r="H7" s="37" t="s">
        <v>2937</v>
      </c>
      <c r="I7" s="39" t="s">
        <v>2938</v>
      </c>
      <c r="J7" s="39" t="s">
        <v>2939</v>
      </c>
    </row>
    <row r="8" ht="26.25" customHeight="1">
      <c r="A8" s="113" t="s">
        <v>94</v>
      </c>
      <c r="B8" s="35">
        <v>2021.0</v>
      </c>
      <c r="C8" s="113" t="s">
        <v>15</v>
      </c>
      <c r="D8" s="35">
        <v>631.0</v>
      </c>
      <c r="E8" s="37" t="s">
        <v>2940</v>
      </c>
      <c r="F8" s="35" t="s">
        <v>2941</v>
      </c>
      <c r="G8" s="37" t="s">
        <v>2942</v>
      </c>
      <c r="H8" s="37" t="s">
        <v>2943</v>
      </c>
      <c r="I8" s="39" t="s">
        <v>2944</v>
      </c>
      <c r="J8" s="39" t="s">
        <v>2945</v>
      </c>
    </row>
    <row r="9" ht="26.25" customHeight="1">
      <c r="A9" s="113" t="s">
        <v>101</v>
      </c>
      <c r="B9" s="35">
        <v>2021.0</v>
      </c>
      <c r="C9" s="113" t="s">
        <v>15</v>
      </c>
      <c r="D9" s="35">
        <v>474.0</v>
      </c>
      <c r="E9" s="37" t="s">
        <v>2946</v>
      </c>
      <c r="F9" s="35" t="s">
        <v>2947</v>
      </c>
      <c r="G9" s="37" t="s">
        <v>2948</v>
      </c>
      <c r="H9" s="37" t="s">
        <v>2949</v>
      </c>
      <c r="I9" s="39" t="s">
        <v>2950</v>
      </c>
      <c r="J9" s="39" t="s">
        <v>2951</v>
      </c>
    </row>
    <row r="10" ht="26.25" customHeight="1">
      <c r="A10" s="113" t="s">
        <v>108</v>
      </c>
      <c r="B10" s="35">
        <v>2021.0</v>
      </c>
      <c r="C10" s="113" t="s">
        <v>15</v>
      </c>
      <c r="D10" s="35">
        <v>754.0</v>
      </c>
      <c r="E10" s="37" t="s">
        <v>2952</v>
      </c>
      <c r="F10" s="35" t="s">
        <v>2953</v>
      </c>
      <c r="G10" s="37" t="s">
        <v>2954</v>
      </c>
      <c r="H10" s="37" t="s">
        <v>2955</v>
      </c>
      <c r="I10" s="39" t="s">
        <v>2956</v>
      </c>
      <c r="J10" s="39" t="s">
        <v>2957</v>
      </c>
    </row>
    <row r="11" ht="26.25" customHeight="1">
      <c r="A11" s="113" t="s">
        <v>113</v>
      </c>
      <c r="B11" s="35">
        <v>2021.0</v>
      </c>
      <c r="C11" s="113" t="s">
        <v>15</v>
      </c>
      <c r="D11" s="35">
        <v>277.0</v>
      </c>
      <c r="E11" s="37" t="s">
        <v>2958</v>
      </c>
      <c r="F11" s="35" t="s">
        <v>2959</v>
      </c>
      <c r="G11" s="37" t="s">
        <v>2960</v>
      </c>
      <c r="H11" s="37" t="s">
        <v>2961</v>
      </c>
      <c r="I11" s="39" t="s">
        <v>2938</v>
      </c>
      <c r="J11" s="39" t="s">
        <v>2962</v>
      </c>
    </row>
    <row r="12" ht="26.25" customHeight="1">
      <c r="A12" s="113" t="s">
        <v>120</v>
      </c>
      <c r="B12" s="35">
        <v>2021.0</v>
      </c>
      <c r="C12" s="113" t="s">
        <v>15</v>
      </c>
      <c r="D12" s="35">
        <v>661.0</v>
      </c>
      <c r="E12" s="37" t="s">
        <v>2963</v>
      </c>
      <c r="F12" s="35" t="s">
        <v>2964</v>
      </c>
      <c r="G12" s="37" t="s">
        <v>2965</v>
      </c>
      <c r="H12" s="37" t="s">
        <v>2966</v>
      </c>
      <c r="I12" s="39" t="s">
        <v>2932</v>
      </c>
      <c r="J12" s="39" t="s">
        <v>2967</v>
      </c>
    </row>
    <row r="13" ht="26.25" customHeight="1">
      <c r="A13" s="113" t="s">
        <v>126</v>
      </c>
      <c r="B13" s="35">
        <v>2021.0</v>
      </c>
      <c r="C13" s="113" t="s">
        <v>16</v>
      </c>
      <c r="D13" s="35">
        <v>889.0</v>
      </c>
      <c r="E13" s="37" t="s">
        <v>2968</v>
      </c>
      <c r="F13" s="35" t="s">
        <v>2969</v>
      </c>
      <c r="G13" s="37" t="s">
        <v>2970</v>
      </c>
      <c r="H13" s="37" t="s">
        <v>2971</v>
      </c>
      <c r="I13" s="39" t="s">
        <v>633</v>
      </c>
      <c r="J13" s="39" t="s">
        <v>2972</v>
      </c>
    </row>
    <row r="14" ht="26.25" customHeight="1">
      <c r="A14" s="113" t="s">
        <v>132</v>
      </c>
      <c r="B14" s="35">
        <v>2021.0</v>
      </c>
      <c r="C14" s="113" t="s">
        <v>16</v>
      </c>
      <c r="D14" s="35">
        <v>1317.0</v>
      </c>
      <c r="E14" s="37" t="s">
        <v>2973</v>
      </c>
      <c r="F14" s="35" t="s">
        <v>2974</v>
      </c>
      <c r="G14" s="37" t="s">
        <v>2975</v>
      </c>
      <c r="H14" s="37" t="s">
        <v>2976</v>
      </c>
      <c r="I14" s="39" t="s">
        <v>2977</v>
      </c>
      <c r="J14" s="39" t="s">
        <v>2978</v>
      </c>
    </row>
    <row r="15" ht="26.25" customHeight="1">
      <c r="A15" s="113" t="s">
        <v>138</v>
      </c>
      <c r="B15" s="35">
        <v>2021.0</v>
      </c>
      <c r="C15" s="113" t="s">
        <v>16</v>
      </c>
      <c r="D15" s="35">
        <v>1220.0</v>
      </c>
      <c r="E15" s="37" t="s">
        <v>2979</v>
      </c>
      <c r="F15" s="35" t="s">
        <v>2980</v>
      </c>
      <c r="G15" s="37" t="s">
        <v>2981</v>
      </c>
      <c r="H15" s="37" t="s">
        <v>2982</v>
      </c>
      <c r="I15" s="39" t="s">
        <v>2983</v>
      </c>
      <c r="J15" s="39" t="s">
        <v>2984</v>
      </c>
    </row>
    <row r="16" ht="26.25" customHeight="1">
      <c r="A16" s="113" t="s">
        <v>144</v>
      </c>
      <c r="B16" s="35">
        <v>2021.0</v>
      </c>
      <c r="C16" s="113" t="s">
        <v>16</v>
      </c>
      <c r="D16" s="35">
        <v>1008.0</v>
      </c>
      <c r="E16" s="37" t="s">
        <v>2985</v>
      </c>
      <c r="F16" s="35" t="s">
        <v>2986</v>
      </c>
      <c r="G16" s="37" t="s">
        <v>2987</v>
      </c>
      <c r="H16" s="37" t="s">
        <v>2988</v>
      </c>
      <c r="I16" s="39" t="s">
        <v>2983</v>
      </c>
      <c r="J16" s="39" t="s">
        <v>2989</v>
      </c>
    </row>
    <row r="17" ht="26.25" customHeight="1">
      <c r="A17" s="113" t="s">
        <v>146</v>
      </c>
      <c r="B17" s="35">
        <v>2021.0</v>
      </c>
      <c r="C17" s="113" t="s">
        <v>16</v>
      </c>
      <c r="D17" s="35">
        <v>1125.0</v>
      </c>
      <c r="E17" s="37" t="s">
        <v>2990</v>
      </c>
      <c r="F17" s="35" t="s">
        <v>2991</v>
      </c>
      <c r="G17" s="37" t="s">
        <v>2992</v>
      </c>
      <c r="H17" s="37" t="s">
        <v>2993</v>
      </c>
      <c r="I17" s="39" t="s">
        <v>2938</v>
      </c>
      <c r="J17" s="39" t="s">
        <v>2994</v>
      </c>
    </row>
    <row r="18" ht="26.25" customHeight="1">
      <c r="A18" s="113" t="s">
        <v>151</v>
      </c>
      <c r="B18" s="35">
        <v>2021.0</v>
      </c>
      <c r="C18" s="113" t="s">
        <v>16</v>
      </c>
      <c r="D18" s="35">
        <v>846.0</v>
      </c>
      <c r="E18" s="37" t="s">
        <v>2995</v>
      </c>
      <c r="F18" s="35" t="s">
        <v>2996</v>
      </c>
      <c r="G18" s="37" t="s">
        <v>2997</v>
      </c>
      <c r="H18" s="37" t="s">
        <v>2998</v>
      </c>
      <c r="I18" s="39" t="s">
        <v>2983</v>
      </c>
      <c r="J18" s="39" t="s">
        <v>2999</v>
      </c>
    </row>
    <row r="19" ht="26.25" customHeight="1">
      <c r="A19" s="113" t="s">
        <v>153</v>
      </c>
      <c r="B19" s="35">
        <v>2021.0</v>
      </c>
      <c r="C19" s="113" t="s">
        <v>16</v>
      </c>
      <c r="D19" s="35">
        <v>1308.0</v>
      </c>
      <c r="E19" s="37" t="s">
        <v>3000</v>
      </c>
      <c r="F19" s="40" t="s">
        <v>3001</v>
      </c>
      <c r="G19" s="37" t="s">
        <v>3002</v>
      </c>
      <c r="H19" s="38" t="s">
        <v>3003</v>
      </c>
      <c r="I19" s="39" t="s">
        <v>2983</v>
      </c>
      <c r="J19" s="39" t="s">
        <v>3004</v>
      </c>
    </row>
    <row r="20" ht="26.25" customHeight="1">
      <c r="A20" s="113" t="s">
        <v>159</v>
      </c>
      <c r="B20" s="35">
        <v>2021.0</v>
      </c>
      <c r="C20" s="113" t="s">
        <v>16</v>
      </c>
      <c r="D20" s="40">
        <v>581.0</v>
      </c>
      <c r="E20" s="37" t="s">
        <v>3005</v>
      </c>
      <c r="F20" s="35" t="s">
        <v>3006</v>
      </c>
      <c r="G20" s="37" t="s">
        <v>3007</v>
      </c>
      <c r="H20" s="37" t="s">
        <v>1871</v>
      </c>
      <c r="I20" s="39" t="s">
        <v>2983</v>
      </c>
      <c r="J20" s="39" t="s">
        <v>3008</v>
      </c>
    </row>
    <row r="21" ht="26.25" customHeight="1">
      <c r="A21" s="113" t="s">
        <v>165</v>
      </c>
      <c r="B21" s="35">
        <v>2021.0</v>
      </c>
      <c r="C21" s="113" t="s">
        <v>16</v>
      </c>
      <c r="D21" s="35">
        <v>1339.0</v>
      </c>
      <c r="E21" s="37" t="s">
        <v>3009</v>
      </c>
      <c r="F21" s="35" t="s">
        <v>3010</v>
      </c>
      <c r="G21" s="37" t="s">
        <v>3011</v>
      </c>
      <c r="H21" s="39" t="s">
        <v>3012</v>
      </c>
      <c r="I21" s="39" t="s">
        <v>633</v>
      </c>
      <c r="J21" s="39" t="s">
        <v>3013</v>
      </c>
    </row>
    <row r="22" ht="26.25" customHeight="1">
      <c r="A22" s="113" t="s">
        <v>171</v>
      </c>
      <c r="B22" s="35">
        <v>2021.0</v>
      </c>
      <c r="C22" s="113" t="s">
        <v>17</v>
      </c>
      <c r="D22" s="35">
        <v>1552.0</v>
      </c>
      <c r="E22" s="37" t="s">
        <v>3014</v>
      </c>
      <c r="F22" s="35" t="s">
        <v>3015</v>
      </c>
      <c r="G22" s="37" t="s">
        <v>3016</v>
      </c>
      <c r="H22" s="37" t="s">
        <v>3017</v>
      </c>
      <c r="I22" s="39" t="s">
        <v>633</v>
      </c>
      <c r="J22" s="39" t="s">
        <v>3018</v>
      </c>
    </row>
    <row r="23" ht="26.25" customHeight="1">
      <c r="A23" s="113" t="s">
        <v>173</v>
      </c>
      <c r="B23" s="35">
        <v>2021.0</v>
      </c>
      <c r="C23" s="113" t="s">
        <v>17</v>
      </c>
      <c r="D23" s="35">
        <v>1474.0</v>
      </c>
      <c r="E23" s="37" t="s">
        <v>3019</v>
      </c>
      <c r="F23" s="35" t="s">
        <v>3020</v>
      </c>
      <c r="G23" s="37" t="s">
        <v>3021</v>
      </c>
      <c r="H23" s="37" t="s">
        <v>3022</v>
      </c>
      <c r="I23" s="39" t="s">
        <v>633</v>
      </c>
      <c r="J23" s="39" t="s">
        <v>3023</v>
      </c>
    </row>
    <row r="24" ht="26.25" customHeight="1">
      <c r="A24" s="113" t="s">
        <v>178</v>
      </c>
      <c r="B24" s="35">
        <v>2021.0</v>
      </c>
      <c r="C24" s="113" t="s">
        <v>17</v>
      </c>
      <c r="D24" s="35">
        <v>1789.0</v>
      </c>
      <c r="E24" s="37" t="s">
        <v>3024</v>
      </c>
      <c r="F24" s="35" t="s">
        <v>3025</v>
      </c>
      <c r="G24" s="37" t="s">
        <v>3026</v>
      </c>
      <c r="H24" s="38" t="s">
        <v>3027</v>
      </c>
      <c r="I24" s="39" t="s">
        <v>3028</v>
      </c>
      <c r="J24" s="39" t="s">
        <v>3029</v>
      </c>
    </row>
    <row r="25" ht="26.25" customHeight="1">
      <c r="A25" s="113" t="s">
        <v>184</v>
      </c>
      <c r="B25" s="35">
        <v>2021.0</v>
      </c>
      <c r="C25" s="113" t="s">
        <v>17</v>
      </c>
      <c r="D25" s="35">
        <v>784.0</v>
      </c>
      <c r="E25" s="37" t="s">
        <v>3030</v>
      </c>
      <c r="F25" s="35" t="s">
        <v>3031</v>
      </c>
      <c r="G25" s="37" t="s">
        <v>3032</v>
      </c>
      <c r="H25" s="37" t="s">
        <v>2362</v>
      </c>
      <c r="I25" s="39" t="s">
        <v>2938</v>
      </c>
      <c r="J25" s="39" t="s">
        <v>3033</v>
      </c>
    </row>
    <row r="26" ht="26.25" customHeight="1">
      <c r="A26" s="113" t="s">
        <v>190</v>
      </c>
      <c r="B26" s="35">
        <v>2021.0</v>
      </c>
      <c r="C26" s="113" t="s">
        <v>17</v>
      </c>
      <c r="D26" s="35">
        <v>1082.0</v>
      </c>
      <c r="E26" s="37" t="s">
        <v>3034</v>
      </c>
      <c r="F26" s="35" t="s">
        <v>3035</v>
      </c>
      <c r="G26" s="37" t="s">
        <v>3036</v>
      </c>
      <c r="H26" s="39" t="s">
        <v>3037</v>
      </c>
      <c r="I26" s="39" t="s">
        <v>633</v>
      </c>
      <c r="J26" s="39" t="s">
        <v>3038</v>
      </c>
    </row>
    <row r="27" ht="26.25" customHeight="1">
      <c r="A27" s="113" t="s">
        <v>196</v>
      </c>
      <c r="B27" s="35">
        <v>2021.0</v>
      </c>
      <c r="C27" s="113" t="s">
        <v>18</v>
      </c>
      <c r="D27" s="35">
        <v>1022.0</v>
      </c>
      <c r="E27" s="37" t="s">
        <v>3039</v>
      </c>
      <c r="F27" s="40" t="s">
        <v>3040</v>
      </c>
      <c r="G27" s="39" t="s">
        <v>3041</v>
      </c>
      <c r="H27" s="39" t="s">
        <v>3042</v>
      </c>
      <c r="I27" s="39" t="s">
        <v>2926</v>
      </c>
      <c r="J27" s="39" t="s">
        <v>3043</v>
      </c>
    </row>
    <row r="28" ht="26.25" customHeight="1">
      <c r="A28" s="113" t="s">
        <v>202</v>
      </c>
      <c r="B28" s="35">
        <v>2021.0</v>
      </c>
      <c r="C28" s="114" t="s">
        <v>18</v>
      </c>
      <c r="D28" s="40">
        <v>2110.0</v>
      </c>
      <c r="E28" s="39" t="s">
        <v>3044</v>
      </c>
      <c r="F28" s="40" t="s">
        <v>3045</v>
      </c>
      <c r="G28" s="39" t="s">
        <v>3046</v>
      </c>
      <c r="H28" s="39" t="s">
        <v>3047</v>
      </c>
      <c r="I28" s="39" t="s">
        <v>2938</v>
      </c>
      <c r="J28" s="39" t="s">
        <v>3048</v>
      </c>
    </row>
    <row r="29" ht="26.25" customHeight="1">
      <c r="A29" s="113" t="s">
        <v>208</v>
      </c>
      <c r="B29" s="35">
        <v>2021.0</v>
      </c>
      <c r="C29" s="114" t="s">
        <v>18</v>
      </c>
      <c r="D29" s="40">
        <v>1966.0</v>
      </c>
      <c r="E29" s="39" t="s">
        <v>3049</v>
      </c>
      <c r="F29" s="40" t="s">
        <v>3050</v>
      </c>
      <c r="G29" s="39" t="s">
        <v>3051</v>
      </c>
      <c r="H29" s="39" t="s">
        <v>3052</v>
      </c>
      <c r="I29" s="39" t="s">
        <v>2932</v>
      </c>
      <c r="J29" s="39" t="s">
        <v>3053</v>
      </c>
    </row>
    <row r="30" ht="26.25" customHeight="1">
      <c r="A30" s="113" t="s">
        <v>213</v>
      </c>
      <c r="B30" s="35">
        <v>2021.0</v>
      </c>
      <c r="C30" s="114" t="s">
        <v>18</v>
      </c>
      <c r="D30" s="40">
        <v>2279.0</v>
      </c>
      <c r="E30" s="39" t="s">
        <v>3054</v>
      </c>
      <c r="F30" s="40" t="s">
        <v>3055</v>
      </c>
      <c r="G30" s="39" t="s">
        <v>3056</v>
      </c>
      <c r="H30" s="39" t="s">
        <v>3057</v>
      </c>
      <c r="I30" s="39" t="s">
        <v>2944</v>
      </c>
      <c r="J30" s="39" t="s">
        <v>3058</v>
      </c>
    </row>
    <row r="31" ht="26.25" customHeight="1">
      <c r="A31" s="113" t="s">
        <v>215</v>
      </c>
      <c r="B31" s="35">
        <v>2021.0</v>
      </c>
      <c r="C31" s="113" t="s">
        <v>18</v>
      </c>
      <c r="D31" s="35">
        <v>1043.0</v>
      </c>
      <c r="E31" s="37" t="s">
        <v>3059</v>
      </c>
      <c r="F31" s="35" t="s">
        <v>3060</v>
      </c>
      <c r="G31" s="37" t="s">
        <v>3061</v>
      </c>
      <c r="H31" s="39" t="s">
        <v>3062</v>
      </c>
      <c r="I31" s="39" t="s">
        <v>3063</v>
      </c>
      <c r="J31" s="39" t="s">
        <v>3064</v>
      </c>
    </row>
    <row r="32" ht="26.25" customHeight="1">
      <c r="A32" s="113" t="s">
        <v>354</v>
      </c>
      <c r="B32" s="35">
        <v>2021.0</v>
      </c>
      <c r="C32" s="114" t="s">
        <v>18</v>
      </c>
      <c r="D32" s="40">
        <v>1993.0</v>
      </c>
      <c r="E32" s="39" t="s">
        <v>185</v>
      </c>
      <c r="F32" s="35" t="s">
        <v>3065</v>
      </c>
      <c r="G32" s="39" t="s">
        <v>3066</v>
      </c>
      <c r="H32" s="39" t="s">
        <v>3067</v>
      </c>
      <c r="I32" s="39" t="s">
        <v>2938</v>
      </c>
      <c r="J32" s="39" t="s">
        <v>3068</v>
      </c>
    </row>
    <row r="33" ht="26.25" customHeight="1">
      <c r="A33" s="113" t="s">
        <v>358</v>
      </c>
      <c r="B33" s="35">
        <v>2021.0</v>
      </c>
      <c r="C33" s="114" t="s">
        <v>19</v>
      </c>
      <c r="D33" s="40">
        <v>2719.0</v>
      </c>
      <c r="E33" s="39" t="s">
        <v>3069</v>
      </c>
      <c r="F33" s="40" t="s">
        <v>3070</v>
      </c>
      <c r="G33" s="39" t="s">
        <v>3071</v>
      </c>
      <c r="H33" s="39" t="s">
        <v>3072</v>
      </c>
      <c r="I33" s="39" t="s">
        <v>633</v>
      </c>
      <c r="J33" s="39" t="s">
        <v>3073</v>
      </c>
    </row>
    <row r="34" ht="26.25" customHeight="1">
      <c r="A34" s="113" t="s">
        <v>360</v>
      </c>
      <c r="B34" s="35">
        <v>2021.0</v>
      </c>
      <c r="C34" s="115" t="s">
        <v>19</v>
      </c>
      <c r="D34" s="42">
        <v>2054.0</v>
      </c>
      <c r="E34" s="38" t="s">
        <v>3074</v>
      </c>
      <c r="F34" s="42" t="s">
        <v>3075</v>
      </c>
      <c r="G34" s="38" t="s">
        <v>3076</v>
      </c>
      <c r="H34" s="38" t="s">
        <v>3077</v>
      </c>
      <c r="I34" s="38" t="s">
        <v>2950</v>
      </c>
      <c r="J34" s="38" t="s">
        <v>3078</v>
      </c>
    </row>
    <row r="35" ht="26.25" customHeight="1">
      <c r="A35" s="113" t="s">
        <v>366</v>
      </c>
      <c r="B35" s="35">
        <v>2021.0</v>
      </c>
      <c r="C35" s="114" t="s">
        <v>19</v>
      </c>
      <c r="D35" s="40">
        <v>2103.0</v>
      </c>
      <c r="E35" s="39" t="s">
        <v>3079</v>
      </c>
      <c r="F35" s="40" t="s">
        <v>3080</v>
      </c>
      <c r="G35" s="39" t="s">
        <v>3081</v>
      </c>
      <c r="H35" s="39" t="s">
        <v>3082</v>
      </c>
      <c r="I35" s="39" t="s">
        <v>2983</v>
      </c>
      <c r="J35" s="39" t="s">
        <v>3083</v>
      </c>
    </row>
    <row r="36" ht="26.25" customHeight="1">
      <c r="A36" s="113" t="s">
        <v>372</v>
      </c>
      <c r="B36" s="35">
        <v>2021.0</v>
      </c>
      <c r="C36" s="114" t="s">
        <v>19</v>
      </c>
      <c r="D36" s="40">
        <v>2323.0</v>
      </c>
      <c r="E36" s="39" t="s">
        <v>3084</v>
      </c>
      <c r="F36" s="40" t="s">
        <v>3085</v>
      </c>
      <c r="G36" s="39" t="s">
        <v>3086</v>
      </c>
      <c r="H36" s="39" t="s">
        <v>3087</v>
      </c>
      <c r="I36" s="39" t="s">
        <v>3088</v>
      </c>
      <c r="J36" s="39" t="s">
        <v>3089</v>
      </c>
    </row>
    <row r="37" ht="26.25" customHeight="1">
      <c r="A37" s="113" t="s">
        <v>377</v>
      </c>
      <c r="B37" s="35">
        <v>2021.0</v>
      </c>
      <c r="C37" s="114" t="s">
        <v>19</v>
      </c>
      <c r="D37" s="40">
        <v>2456.0</v>
      </c>
      <c r="E37" s="39" t="s">
        <v>3090</v>
      </c>
      <c r="F37" s="40" t="s">
        <v>3091</v>
      </c>
      <c r="G37" s="39" t="s">
        <v>3092</v>
      </c>
      <c r="H37" s="39" t="s">
        <v>3093</v>
      </c>
      <c r="I37" s="39" t="s">
        <v>2977</v>
      </c>
      <c r="J37" s="39" t="s">
        <v>3094</v>
      </c>
    </row>
    <row r="38" ht="26.25" customHeight="1">
      <c r="A38" s="113" t="s">
        <v>383</v>
      </c>
      <c r="B38" s="35">
        <v>2021.0</v>
      </c>
      <c r="C38" s="114" t="s">
        <v>19</v>
      </c>
      <c r="D38" s="40">
        <v>2460.0</v>
      </c>
      <c r="E38" s="39" t="s">
        <v>3095</v>
      </c>
      <c r="F38" s="40" t="s">
        <v>3096</v>
      </c>
      <c r="G38" s="39" t="s">
        <v>3097</v>
      </c>
      <c r="H38" s="39" t="s">
        <v>3098</v>
      </c>
      <c r="I38" s="39" t="s">
        <v>633</v>
      </c>
      <c r="J38" s="39" t="s">
        <v>3099</v>
      </c>
    </row>
    <row r="39" ht="26.25" customHeight="1">
      <c r="A39" s="113" t="s">
        <v>390</v>
      </c>
      <c r="B39" s="35">
        <v>2021.0</v>
      </c>
      <c r="C39" s="114" t="s">
        <v>19</v>
      </c>
      <c r="D39" s="40">
        <v>2510.0</v>
      </c>
      <c r="E39" s="39" t="s">
        <v>3100</v>
      </c>
      <c r="F39" s="40" t="s">
        <v>3101</v>
      </c>
      <c r="G39" s="39" t="s">
        <v>3102</v>
      </c>
      <c r="H39" s="39" t="s">
        <v>3103</v>
      </c>
      <c r="I39" s="39" t="s">
        <v>3104</v>
      </c>
      <c r="J39" s="39" t="s">
        <v>3105</v>
      </c>
    </row>
    <row r="40" ht="26.25" customHeight="1">
      <c r="A40" s="113" t="s">
        <v>393</v>
      </c>
      <c r="B40" s="35">
        <v>2021.0</v>
      </c>
      <c r="C40" s="115" t="s">
        <v>19</v>
      </c>
      <c r="D40" s="42">
        <v>2054.0</v>
      </c>
      <c r="E40" s="38" t="s">
        <v>3074</v>
      </c>
      <c r="F40" s="42" t="s">
        <v>3075</v>
      </c>
      <c r="G40" s="38" t="s">
        <v>3076</v>
      </c>
      <c r="H40" s="38" t="s">
        <v>3106</v>
      </c>
      <c r="I40" s="38" t="s">
        <v>2950</v>
      </c>
      <c r="J40" s="38" t="s">
        <v>3078</v>
      </c>
    </row>
    <row r="41" ht="26.25" customHeight="1">
      <c r="A41" s="113" t="s">
        <v>399</v>
      </c>
      <c r="B41" s="35">
        <v>2021.0</v>
      </c>
      <c r="C41" s="114" t="s">
        <v>19</v>
      </c>
      <c r="D41" s="40">
        <v>2321.0</v>
      </c>
      <c r="E41" s="39" t="s">
        <v>3107</v>
      </c>
      <c r="F41" s="40" t="s">
        <v>3108</v>
      </c>
      <c r="G41" s="39" t="s">
        <v>3109</v>
      </c>
      <c r="H41" s="39" t="s">
        <v>3107</v>
      </c>
      <c r="I41" s="39" t="s">
        <v>2938</v>
      </c>
      <c r="J41" s="39" t="s">
        <v>3110</v>
      </c>
    </row>
    <row r="42" ht="26.25" customHeight="1">
      <c r="A42" s="113" t="s">
        <v>404</v>
      </c>
      <c r="B42" s="35">
        <v>2021.0</v>
      </c>
      <c r="C42" s="114" t="s">
        <v>19</v>
      </c>
      <c r="D42" s="40">
        <v>2533.0</v>
      </c>
      <c r="E42" s="39" t="s">
        <v>3111</v>
      </c>
      <c r="F42" s="40" t="s">
        <v>3112</v>
      </c>
      <c r="G42" s="39" t="s">
        <v>3113</v>
      </c>
      <c r="H42" s="39" t="s">
        <v>3114</v>
      </c>
      <c r="I42" s="39" t="s">
        <v>2938</v>
      </c>
      <c r="J42" s="39" t="s">
        <v>3115</v>
      </c>
    </row>
    <row r="43" ht="26.25" customHeight="1">
      <c r="A43" s="113" t="s">
        <v>409</v>
      </c>
      <c r="B43" s="35">
        <v>2021.0</v>
      </c>
      <c r="C43" s="115" t="s">
        <v>20</v>
      </c>
      <c r="D43" s="42">
        <v>2054.0</v>
      </c>
      <c r="E43" s="38" t="s">
        <v>3074</v>
      </c>
      <c r="F43" s="42" t="s">
        <v>3075</v>
      </c>
      <c r="G43" s="38" t="s">
        <v>3076</v>
      </c>
      <c r="H43" s="38" t="s">
        <v>3116</v>
      </c>
      <c r="I43" s="38" t="s">
        <v>2950</v>
      </c>
      <c r="J43" s="38" t="s">
        <v>3078</v>
      </c>
    </row>
    <row r="44" ht="26.25" customHeight="1">
      <c r="A44" s="113" t="s">
        <v>415</v>
      </c>
      <c r="B44" s="35">
        <v>2021.0</v>
      </c>
      <c r="C44" s="115" t="s">
        <v>20</v>
      </c>
      <c r="D44" s="40">
        <v>1344.0</v>
      </c>
      <c r="E44" s="39" t="s">
        <v>3117</v>
      </c>
      <c r="F44" s="40" t="s">
        <v>3118</v>
      </c>
      <c r="G44" s="39" t="s">
        <v>3119</v>
      </c>
      <c r="H44" s="39" t="s">
        <v>3120</v>
      </c>
      <c r="I44" s="39" t="s">
        <v>2926</v>
      </c>
      <c r="J44" s="39" t="s">
        <v>3121</v>
      </c>
    </row>
    <row r="45" ht="26.25" customHeight="1">
      <c r="A45" s="113" t="s">
        <v>421</v>
      </c>
      <c r="B45" s="35">
        <v>2021.0</v>
      </c>
      <c r="C45" s="115" t="s">
        <v>20</v>
      </c>
      <c r="D45" s="42">
        <v>2054.0</v>
      </c>
      <c r="E45" s="38" t="s">
        <v>3074</v>
      </c>
      <c r="F45" s="42" t="s">
        <v>3075</v>
      </c>
      <c r="G45" s="38" t="s">
        <v>3076</v>
      </c>
      <c r="H45" s="38" t="s">
        <v>3122</v>
      </c>
      <c r="I45" s="38" t="s">
        <v>2950</v>
      </c>
      <c r="J45" s="38" t="s">
        <v>3078</v>
      </c>
    </row>
    <row r="46" ht="26.25" customHeight="1">
      <c r="A46" s="113" t="s">
        <v>426</v>
      </c>
      <c r="B46" s="35">
        <v>2021.0</v>
      </c>
      <c r="C46" s="115" t="s">
        <v>20</v>
      </c>
      <c r="D46" s="40">
        <v>581.0</v>
      </c>
      <c r="E46" s="37" t="s">
        <v>3005</v>
      </c>
      <c r="F46" s="35" t="s">
        <v>3006</v>
      </c>
      <c r="G46" s="37" t="s">
        <v>3007</v>
      </c>
      <c r="H46" s="37" t="s">
        <v>3123</v>
      </c>
      <c r="I46" s="39" t="s">
        <v>2983</v>
      </c>
      <c r="J46" s="39" t="s">
        <v>3124</v>
      </c>
    </row>
    <row r="47" ht="26.25" customHeight="1">
      <c r="A47" s="113" t="s">
        <v>432</v>
      </c>
      <c r="B47" s="35">
        <v>2021.0</v>
      </c>
      <c r="C47" s="115" t="s">
        <v>20</v>
      </c>
      <c r="D47" s="42">
        <v>2054.0</v>
      </c>
      <c r="E47" s="38" t="s">
        <v>3074</v>
      </c>
      <c r="F47" s="42" t="s">
        <v>3075</v>
      </c>
      <c r="G47" s="38" t="s">
        <v>3076</v>
      </c>
      <c r="H47" s="38" t="s">
        <v>3125</v>
      </c>
      <c r="I47" s="38" t="s">
        <v>2950</v>
      </c>
      <c r="J47" s="38" t="s">
        <v>3078</v>
      </c>
    </row>
    <row r="48" ht="26.25" customHeight="1">
      <c r="A48" s="113" t="s">
        <v>437</v>
      </c>
      <c r="B48" s="35">
        <v>2021.0</v>
      </c>
      <c r="C48" s="115" t="s">
        <v>20</v>
      </c>
      <c r="D48" s="42">
        <v>2054.0</v>
      </c>
      <c r="E48" s="38" t="s">
        <v>3074</v>
      </c>
      <c r="F48" s="42" t="s">
        <v>3075</v>
      </c>
      <c r="G48" s="38" t="s">
        <v>3076</v>
      </c>
      <c r="H48" s="38" t="s">
        <v>3126</v>
      </c>
      <c r="I48" s="38" t="s">
        <v>2950</v>
      </c>
      <c r="J48" s="38" t="s">
        <v>3078</v>
      </c>
    </row>
    <row r="49" ht="26.25" customHeight="1">
      <c r="A49" s="113" t="s">
        <v>441</v>
      </c>
      <c r="B49" s="35">
        <v>2021.0</v>
      </c>
      <c r="C49" s="115" t="s">
        <v>20</v>
      </c>
      <c r="D49" s="42">
        <v>2054.0</v>
      </c>
      <c r="E49" s="38" t="s">
        <v>3074</v>
      </c>
      <c r="F49" s="42" t="s">
        <v>3075</v>
      </c>
      <c r="G49" s="38" t="s">
        <v>3076</v>
      </c>
      <c r="H49" s="38" t="s">
        <v>3127</v>
      </c>
      <c r="I49" s="38" t="s">
        <v>2950</v>
      </c>
      <c r="J49" s="38" t="s">
        <v>3078</v>
      </c>
    </row>
    <row r="50" ht="26.25" customHeight="1">
      <c r="A50" s="113" t="s">
        <v>445</v>
      </c>
      <c r="B50" s="35">
        <v>2021.0</v>
      </c>
      <c r="C50" s="115" t="s">
        <v>20</v>
      </c>
      <c r="D50" s="42">
        <v>2054.0</v>
      </c>
      <c r="E50" s="38" t="s">
        <v>3074</v>
      </c>
      <c r="F50" s="42" t="s">
        <v>3075</v>
      </c>
      <c r="G50" s="38" t="s">
        <v>3076</v>
      </c>
      <c r="H50" s="38" t="s">
        <v>3128</v>
      </c>
      <c r="I50" s="38" t="s">
        <v>2950</v>
      </c>
      <c r="J50" s="38" t="s">
        <v>3078</v>
      </c>
    </row>
    <row r="51" ht="26.25" customHeight="1">
      <c r="A51" s="113" t="s">
        <v>451</v>
      </c>
      <c r="B51" s="35">
        <v>2021.0</v>
      </c>
      <c r="C51" s="115" t="s">
        <v>20</v>
      </c>
      <c r="D51" s="35">
        <v>2938.0</v>
      </c>
      <c r="E51" s="37" t="s">
        <v>3129</v>
      </c>
      <c r="F51" s="40" t="s">
        <v>3130</v>
      </c>
      <c r="G51" s="39" t="s">
        <v>3131</v>
      </c>
      <c r="H51" s="39" t="s">
        <v>3132</v>
      </c>
      <c r="I51" s="39" t="s">
        <v>3133</v>
      </c>
      <c r="J51" s="39" t="s">
        <v>3134</v>
      </c>
    </row>
    <row r="52" ht="26.25" customHeight="1">
      <c r="A52" s="113" t="s">
        <v>457</v>
      </c>
      <c r="B52" s="35">
        <v>2021.0</v>
      </c>
      <c r="C52" s="115" t="s">
        <v>20</v>
      </c>
      <c r="D52" s="40">
        <v>2316.0</v>
      </c>
      <c r="E52" s="39" t="s">
        <v>3135</v>
      </c>
      <c r="F52" s="40" t="s">
        <v>3136</v>
      </c>
      <c r="G52" s="39" t="s">
        <v>3137</v>
      </c>
      <c r="H52" s="39" t="s">
        <v>3138</v>
      </c>
      <c r="I52" s="39" t="s">
        <v>3139</v>
      </c>
      <c r="J52" s="39" t="s">
        <v>3140</v>
      </c>
    </row>
    <row r="53" ht="26.25" customHeight="1">
      <c r="A53" s="113" t="s">
        <v>463</v>
      </c>
      <c r="B53" s="35">
        <v>2021.0</v>
      </c>
      <c r="C53" s="115" t="s">
        <v>20</v>
      </c>
      <c r="D53" s="40">
        <v>2719.0</v>
      </c>
      <c r="E53" s="39" t="s">
        <v>3069</v>
      </c>
      <c r="F53" s="40" t="s">
        <v>3070</v>
      </c>
      <c r="G53" s="39" t="s">
        <v>3071</v>
      </c>
      <c r="H53" s="39" t="s">
        <v>3141</v>
      </c>
      <c r="I53" s="39" t="s">
        <v>633</v>
      </c>
      <c r="J53" s="39" t="s">
        <v>3142</v>
      </c>
    </row>
    <row r="54" ht="26.25" customHeight="1">
      <c r="A54" s="113" t="s">
        <v>468</v>
      </c>
      <c r="B54" s="35">
        <v>2021.0</v>
      </c>
      <c r="C54" s="115" t="s">
        <v>20</v>
      </c>
      <c r="D54" s="40">
        <v>581.0</v>
      </c>
      <c r="E54" s="37" t="s">
        <v>3005</v>
      </c>
      <c r="F54" s="35" t="s">
        <v>3006</v>
      </c>
      <c r="G54" s="37" t="s">
        <v>3007</v>
      </c>
      <c r="H54" s="37" t="s">
        <v>3143</v>
      </c>
      <c r="I54" s="39" t="s">
        <v>2983</v>
      </c>
      <c r="J54" s="39" t="s">
        <v>3124</v>
      </c>
    </row>
    <row r="55" ht="26.25" customHeight="1">
      <c r="A55" s="113" t="s">
        <v>473</v>
      </c>
      <c r="B55" s="35">
        <v>2021.0</v>
      </c>
      <c r="C55" s="115" t="s">
        <v>20</v>
      </c>
      <c r="D55" s="40">
        <v>2888.0</v>
      </c>
      <c r="E55" s="39" t="s">
        <v>3144</v>
      </c>
      <c r="F55" s="40" t="s">
        <v>3145</v>
      </c>
      <c r="G55" s="39" t="s">
        <v>3146</v>
      </c>
      <c r="H55" s="39" t="s">
        <v>3147</v>
      </c>
      <c r="I55" s="39" t="s">
        <v>2983</v>
      </c>
      <c r="J55" s="39" t="s">
        <v>3148</v>
      </c>
    </row>
    <row r="56" ht="26.25" customHeight="1">
      <c r="A56" s="113" t="s">
        <v>479</v>
      </c>
      <c r="B56" s="35">
        <v>2021.0</v>
      </c>
      <c r="C56" s="115" t="s">
        <v>20</v>
      </c>
      <c r="D56" s="40">
        <v>2640.0</v>
      </c>
      <c r="E56" s="39" t="s">
        <v>3149</v>
      </c>
      <c r="F56" s="41" t="s">
        <v>3150</v>
      </c>
      <c r="G56" s="39" t="s">
        <v>3151</v>
      </c>
      <c r="H56" s="39" t="s">
        <v>3152</v>
      </c>
      <c r="I56" s="39" t="s">
        <v>633</v>
      </c>
      <c r="J56" s="39" t="s">
        <v>3153</v>
      </c>
    </row>
    <row r="57" ht="26.25" customHeight="1">
      <c r="A57" s="113" t="s">
        <v>485</v>
      </c>
      <c r="B57" s="35">
        <v>2021.0</v>
      </c>
      <c r="C57" s="115" t="s">
        <v>20</v>
      </c>
      <c r="D57" s="40">
        <v>2410.0</v>
      </c>
      <c r="E57" s="39" t="s">
        <v>3154</v>
      </c>
      <c r="F57" s="40" t="s">
        <v>3155</v>
      </c>
      <c r="G57" s="39" t="s">
        <v>3156</v>
      </c>
      <c r="H57" s="39" t="s">
        <v>3157</v>
      </c>
      <c r="I57" s="39" t="s">
        <v>2944</v>
      </c>
      <c r="J57" s="39" t="s">
        <v>3158</v>
      </c>
    </row>
    <row r="58" ht="26.25" customHeight="1">
      <c r="A58" s="113" t="s">
        <v>487</v>
      </c>
      <c r="B58" s="35">
        <v>2021.0</v>
      </c>
      <c r="C58" s="115" t="s">
        <v>20</v>
      </c>
      <c r="D58" s="40">
        <v>2672.0</v>
      </c>
      <c r="E58" s="39" t="s">
        <v>3159</v>
      </c>
      <c r="F58" s="40" t="s">
        <v>3160</v>
      </c>
      <c r="G58" s="39" t="s">
        <v>3161</v>
      </c>
      <c r="H58" s="39" t="s">
        <v>3159</v>
      </c>
      <c r="I58" s="39" t="s">
        <v>2944</v>
      </c>
      <c r="J58" s="39" t="s">
        <v>3162</v>
      </c>
    </row>
    <row r="59" ht="26.25" customHeight="1">
      <c r="A59" s="113" t="s">
        <v>493</v>
      </c>
      <c r="B59" s="35">
        <v>2021.0</v>
      </c>
      <c r="C59" s="115" t="s">
        <v>20</v>
      </c>
      <c r="D59" s="40">
        <v>2743.0</v>
      </c>
      <c r="E59" s="39" t="s">
        <v>3163</v>
      </c>
      <c r="F59" s="41" t="s">
        <v>3164</v>
      </c>
      <c r="G59" s="39" t="s">
        <v>3165</v>
      </c>
      <c r="H59" s="39" t="s">
        <v>3166</v>
      </c>
      <c r="I59" s="39" t="s">
        <v>2983</v>
      </c>
      <c r="J59" s="39" t="s">
        <v>3167</v>
      </c>
    </row>
    <row r="60" ht="26.25" customHeight="1">
      <c r="A60" s="113" t="s">
        <v>498</v>
      </c>
      <c r="B60" s="35">
        <v>2021.0</v>
      </c>
      <c r="C60" s="115" t="s">
        <v>20</v>
      </c>
      <c r="D60" s="40">
        <v>2927.0</v>
      </c>
      <c r="E60" s="39" t="s">
        <v>3168</v>
      </c>
      <c r="F60" s="40" t="s">
        <v>3169</v>
      </c>
      <c r="G60" s="39" t="s">
        <v>3170</v>
      </c>
      <c r="H60" s="39" t="s">
        <v>3171</v>
      </c>
      <c r="I60" s="39" t="s">
        <v>2938</v>
      </c>
      <c r="J60" s="39" t="s">
        <v>3172</v>
      </c>
    </row>
    <row r="61" ht="26.25" customHeight="1">
      <c r="A61" s="113" t="s">
        <v>504</v>
      </c>
      <c r="B61" s="35">
        <v>2021.0</v>
      </c>
      <c r="C61" s="113" t="s">
        <v>21</v>
      </c>
      <c r="D61" s="35">
        <v>3002.0</v>
      </c>
      <c r="E61" s="37" t="s">
        <v>3173</v>
      </c>
      <c r="F61" s="40" t="s">
        <v>3174</v>
      </c>
      <c r="G61" s="39" t="s">
        <v>3175</v>
      </c>
      <c r="H61" s="38" t="s">
        <v>3176</v>
      </c>
      <c r="I61" s="39" t="s">
        <v>2983</v>
      </c>
      <c r="J61" s="39" t="s">
        <v>3177</v>
      </c>
    </row>
    <row r="62" ht="26.25" customHeight="1">
      <c r="A62" s="113" t="s">
        <v>797</v>
      </c>
      <c r="B62" s="35">
        <v>2021.0</v>
      </c>
      <c r="C62" s="113" t="s">
        <v>21</v>
      </c>
      <c r="D62" s="35">
        <v>2942.0</v>
      </c>
      <c r="E62" s="37" t="s">
        <v>3178</v>
      </c>
      <c r="F62" s="40" t="s">
        <v>3179</v>
      </c>
      <c r="G62" s="39" t="s">
        <v>3180</v>
      </c>
      <c r="H62" s="38" t="s">
        <v>3181</v>
      </c>
      <c r="I62" s="39" t="s">
        <v>2950</v>
      </c>
      <c r="J62" s="39" t="s">
        <v>3182</v>
      </c>
    </row>
    <row r="63" ht="26.25" customHeight="1">
      <c r="A63" s="113" t="s">
        <v>803</v>
      </c>
      <c r="B63" s="35">
        <v>2021.0</v>
      </c>
      <c r="C63" s="113" t="s">
        <v>21</v>
      </c>
      <c r="D63" s="35">
        <v>1866.0</v>
      </c>
      <c r="E63" s="37" t="s">
        <v>3183</v>
      </c>
      <c r="F63" s="40" t="s">
        <v>3184</v>
      </c>
      <c r="G63" s="39" t="s">
        <v>3185</v>
      </c>
      <c r="H63" s="38" t="s">
        <v>3186</v>
      </c>
      <c r="I63" s="39" t="s">
        <v>3187</v>
      </c>
      <c r="J63" s="39" t="s">
        <v>3188</v>
      </c>
    </row>
    <row r="64" ht="26.25" customHeight="1">
      <c r="A64" s="113" t="s">
        <v>807</v>
      </c>
      <c r="B64" s="35">
        <v>2021.0</v>
      </c>
      <c r="C64" s="113" t="s">
        <v>21</v>
      </c>
      <c r="D64" s="35">
        <v>2216.0</v>
      </c>
      <c r="E64" s="37" t="s">
        <v>3189</v>
      </c>
      <c r="F64" s="41" t="s">
        <v>3190</v>
      </c>
      <c r="G64" s="37" t="s">
        <v>3191</v>
      </c>
      <c r="H64" s="36" t="s">
        <v>3192</v>
      </c>
      <c r="I64" s="39" t="s">
        <v>2938</v>
      </c>
      <c r="J64" s="39" t="s">
        <v>3193</v>
      </c>
    </row>
    <row r="65" ht="26.25" customHeight="1">
      <c r="A65" s="113" t="s">
        <v>811</v>
      </c>
      <c r="B65" s="35">
        <v>2021.0</v>
      </c>
      <c r="C65" s="113" t="s">
        <v>21</v>
      </c>
      <c r="D65" s="35">
        <v>2634.0</v>
      </c>
      <c r="E65" s="37" t="s">
        <v>3194</v>
      </c>
      <c r="F65" s="40" t="s">
        <v>3195</v>
      </c>
      <c r="G65" s="39" t="s">
        <v>3196</v>
      </c>
      <c r="H65" s="38" t="s">
        <v>3197</v>
      </c>
      <c r="I65" s="39" t="s">
        <v>2977</v>
      </c>
      <c r="J65" s="39" t="s">
        <v>3198</v>
      </c>
    </row>
    <row r="66" ht="26.25" customHeight="1">
      <c r="A66" s="113" t="s">
        <v>817</v>
      </c>
      <c r="B66" s="35">
        <v>2021.0</v>
      </c>
      <c r="C66" s="113" t="s">
        <v>21</v>
      </c>
      <c r="D66" s="35">
        <v>2950.0</v>
      </c>
      <c r="E66" s="37" t="s">
        <v>3199</v>
      </c>
      <c r="F66" s="35" t="s">
        <v>3200</v>
      </c>
      <c r="G66" s="37" t="s">
        <v>3201</v>
      </c>
      <c r="H66" s="36" t="s">
        <v>3202</v>
      </c>
      <c r="I66" s="39" t="s">
        <v>2938</v>
      </c>
      <c r="J66" s="39" t="s">
        <v>3203</v>
      </c>
    </row>
    <row r="67" ht="26.25" customHeight="1">
      <c r="A67" s="113" t="s">
        <v>823</v>
      </c>
      <c r="B67" s="35">
        <v>2021.0</v>
      </c>
      <c r="C67" s="114" t="s">
        <v>21</v>
      </c>
      <c r="D67" s="40">
        <v>2816.0</v>
      </c>
      <c r="E67" s="39" t="s">
        <v>3204</v>
      </c>
      <c r="F67" s="40" t="s">
        <v>3205</v>
      </c>
      <c r="G67" s="39" t="s">
        <v>3206</v>
      </c>
      <c r="H67" s="38" t="s">
        <v>3207</v>
      </c>
      <c r="I67" s="39" t="s">
        <v>2932</v>
      </c>
      <c r="J67" s="39" t="s">
        <v>3208</v>
      </c>
    </row>
    <row r="68" ht="26.25" customHeight="1">
      <c r="A68" s="113" t="s">
        <v>829</v>
      </c>
      <c r="B68" s="35">
        <v>2021.0</v>
      </c>
      <c r="C68" s="114" t="s">
        <v>21</v>
      </c>
      <c r="D68" s="40">
        <v>621.0</v>
      </c>
      <c r="E68" s="39" t="s">
        <v>3209</v>
      </c>
      <c r="F68" s="40" t="s">
        <v>3210</v>
      </c>
      <c r="G68" s="39" t="s">
        <v>3211</v>
      </c>
      <c r="H68" s="38" t="s">
        <v>3212</v>
      </c>
      <c r="I68" s="39" t="s">
        <v>3104</v>
      </c>
      <c r="J68" s="39" t="s">
        <v>3213</v>
      </c>
    </row>
    <row r="69" ht="26.25" customHeight="1">
      <c r="A69" s="113" t="s">
        <v>831</v>
      </c>
      <c r="B69" s="35">
        <v>2021.0</v>
      </c>
      <c r="C69" s="115" t="s">
        <v>21</v>
      </c>
      <c r="D69" s="42">
        <v>2054.0</v>
      </c>
      <c r="E69" s="38" t="s">
        <v>3074</v>
      </c>
      <c r="F69" s="42" t="s">
        <v>3075</v>
      </c>
      <c r="G69" s="38" t="s">
        <v>3076</v>
      </c>
      <c r="H69" s="38" t="s">
        <v>3214</v>
      </c>
      <c r="I69" s="38" t="s">
        <v>2950</v>
      </c>
      <c r="J69" s="38" t="s">
        <v>3078</v>
      </c>
    </row>
    <row r="70" ht="26.25" customHeight="1">
      <c r="A70" s="113" t="s">
        <v>833</v>
      </c>
      <c r="B70" s="35">
        <v>2021.0</v>
      </c>
      <c r="C70" s="113" t="s">
        <v>21</v>
      </c>
      <c r="D70" s="35">
        <v>2918.0</v>
      </c>
      <c r="E70" s="116" t="s">
        <v>3215</v>
      </c>
      <c r="F70" s="40" t="s">
        <v>3216</v>
      </c>
      <c r="G70" s="39" t="s">
        <v>3217</v>
      </c>
      <c r="H70" s="38" t="s">
        <v>3218</v>
      </c>
      <c r="I70" s="39" t="s">
        <v>633</v>
      </c>
      <c r="J70" s="39" t="s">
        <v>3219</v>
      </c>
    </row>
    <row r="71" ht="26.25" customHeight="1">
      <c r="A71" s="113" t="s">
        <v>835</v>
      </c>
      <c r="B71" s="35">
        <v>2021.0</v>
      </c>
      <c r="C71" s="113" t="s">
        <v>22</v>
      </c>
      <c r="D71" s="35">
        <v>2760.0</v>
      </c>
      <c r="E71" s="37" t="s">
        <v>3220</v>
      </c>
      <c r="F71" s="40" t="s">
        <v>3221</v>
      </c>
      <c r="G71" s="37" t="s">
        <v>3222</v>
      </c>
      <c r="H71" s="39" t="s">
        <v>3223</v>
      </c>
      <c r="I71" s="39" t="s">
        <v>2938</v>
      </c>
      <c r="J71" s="39" t="s">
        <v>3224</v>
      </c>
    </row>
    <row r="72" ht="26.25" customHeight="1">
      <c r="A72" s="113" t="s">
        <v>840</v>
      </c>
      <c r="B72" s="35">
        <v>2021.0</v>
      </c>
      <c r="C72" s="113" t="s">
        <v>22</v>
      </c>
      <c r="D72" s="35">
        <v>3420.0</v>
      </c>
      <c r="E72" s="37" t="s">
        <v>3225</v>
      </c>
      <c r="F72" s="35" t="s">
        <v>3226</v>
      </c>
      <c r="G72" s="37" t="s">
        <v>3227</v>
      </c>
      <c r="H72" s="37" t="s">
        <v>3228</v>
      </c>
      <c r="I72" s="39" t="s">
        <v>2932</v>
      </c>
      <c r="J72" s="39" t="s">
        <v>3229</v>
      </c>
    </row>
    <row r="73" ht="26.25" customHeight="1">
      <c r="A73" s="113" t="s">
        <v>846</v>
      </c>
      <c r="B73" s="35">
        <v>2021.0</v>
      </c>
      <c r="C73" s="113" t="s">
        <v>22</v>
      </c>
      <c r="D73" s="35">
        <v>3347.0</v>
      </c>
      <c r="E73" s="37" t="s">
        <v>3230</v>
      </c>
      <c r="F73" s="35" t="s">
        <v>3231</v>
      </c>
      <c r="G73" s="37" t="s">
        <v>3232</v>
      </c>
      <c r="H73" s="37" t="s">
        <v>3233</v>
      </c>
      <c r="I73" s="39" t="s">
        <v>633</v>
      </c>
      <c r="J73" s="39" t="s">
        <v>3234</v>
      </c>
    </row>
    <row r="74" ht="26.25" customHeight="1">
      <c r="A74" s="113" t="s">
        <v>849</v>
      </c>
      <c r="B74" s="35">
        <v>2021.0</v>
      </c>
      <c r="C74" s="113" t="s">
        <v>22</v>
      </c>
      <c r="D74" s="35">
        <v>3714.0</v>
      </c>
      <c r="E74" s="37" t="s">
        <v>3235</v>
      </c>
      <c r="F74" s="41" t="s">
        <v>3236</v>
      </c>
      <c r="G74" s="37" t="s">
        <v>3237</v>
      </c>
      <c r="H74" s="39" t="s">
        <v>3238</v>
      </c>
      <c r="I74" s="39" t="s">
        <v>2983</v>
      </c>
      <c r="J74" s="39" t="s">
        <v>3239</v>
      </c>
    </row>
    <row r="75" ht="26.25" customHeight="1">
      <c r="A75" s="113" t="s">
        <v>854</v>
      </c>
      <c r="B75" s="35">
        <v>2021.0</v>
      </c>
      <c r="C75" s="113" t="s">
        <v>22</v>
      </c>
      <c r="D75" s="35">
        <v>3454.0</v>
      </c>
      <c r="E75" s="37" t="s">
        <v>3240</v>
      </c>
      <c r="F75" s="40" t="s">
        <v>3241</v>
      </c>
      <c r="G75" s="37" t="s">
        <v>3242</v>
      </c>
      <c r="H75" s="39" t="s">
        <v>3243</v>
      </c>
      <c r="I75" s="39" t="s">
        <v>2944</v>
      </c>
      <c r="J75" s="39" t="s">
        <v>3244</v>
      </c>
    </row>
    <row r="76" ht="26.25" customHeight="1">
      <c r="A76" s="113" t="s">
        <v>860</v>
      </c>
      <c r="B76" s="35">
        <v>2021.0</v>
      </c>
      <c r="C76" s="114" t="s">
        <v>22</v>
      </c>
      <c r="D76" s="40">
        <v>1808.0</v>
      </c>
      <c r="E76" s="39" t="s">
        <v>3245</v>
      </c>
      <c r="F76" s="40" t="s">
        <v>3246</v>
      </c>
      <c r="G76" s="39" t="s">
        <v>3247</v>
      </c>
      <c r="H76" s="39" t="s">
        <v>3248</v>
      </c>
      <c r="I76" s="39" t="s">
        <v>633</v>
      </c>
      <c r="J76" s="39" t="s">
        <v>3249</v>
      </c>
    </row>
    <row r="77" ht="26.25" customHeight="1">
      <c r="A77" s="113" t="s">
        <v>866</v>
      </c>
      <c r="B77" s="35">
        <v>2021.0</v>
      </c>
      <c r="C77" s="114" t="s">
        <v>22</v>
      </c>
      <c r="D77" s="40">
        <v>1808.0</v>
      </c>
      <c r="E77" s="39" t="s">
        <v>3245</v>
      </c>
      <c r="F77" s="40" t="s">
        <v>3246</v>
      </c>
      <c r="G77" s="39" t="s">
        <v>3247</v>
      </c>
      <c r="H77" s="39" t="s">
        <v>3250</v>
      </c>
      <c r="I77" s="39" t="s">
        <v>633</v>
      </c>
      <c r="J77" s="39" t="s">
        <v>3249</v>
      </c>
    </row>
    <row r="78" ht="26.25" customHeight="1">
      <c r="A78" s="113" t="s">
        <v>869</v>
      </c>
      <c r="B78" s="35">
        <v>2021.0</v>
      </c>
      <c r="C78" s="113" t="s">
        <v>22</v>
      </c>
      <c r="D78" s="35">
        <v>3453.0</v>
      </c>
      <c r="E78" s="37" t="s">
        <v>3251</v>
      </c>
      <c r="F78" s="72" t="s">
        <v>3252</v>
      </c>
      <c r="G78" s="37" t="s">
        <v>3253</v>
      </c>
      <c r="H78" s="39" t="s">
        <v>3254</v>
      </c>
      <c r="I78" s="39" t="s">
        <v>3139</v>
      </c>
      <c r="J78" s="39" t="s">
        <v>3255</v>
      </c>
    </row>
    <row r="79" ht="26.25" customHeight="1">
      <c r="A79" s="113" t="s">
        <v>875</v>
      </c>
      <c r="B79" s="35">
        <v>2021.0</v>
      </c>
      <c r="C79" s="113" t="s">
        <v>22</v>
      </c>
      <c r="D79" s="35">
        <v>1308.0</v>
      </c>
      <c r="E79" s="37" t="s">
        <v>3000</v>
      </c>
      <c r="F79" s="40" t="s">
        <v>3256</v>
      </c>
      <c r="G79" s="37" t="s">
        <v>3002</v>
      </c>
      <c r="H79" s="38" t="s">
        <v>3257</v>
      </c>
      <c r="I79" s="39" t="s">
        <v>2983</v>
      </c>
      <c r="J79" s="39" t="s">
        <v>3004</v>
      </c>
    </row>
    <row r="80" ht="26.25" customHeight="1">
      <c r="A80" s="113" t="s">
        <v>880</v>
      </c>
      <c r="B80" s="35">
        <v>2021.0</v>
      </c>
      <c r="C80" s="113" t="s">
        <v>22</v>
      </c>
      <c r="D80" s="35">
        <v>3079.0</v>
      </c>
      <c r="E80" s="37" t="s">
        <v>3258</v>
      </c>
      <c r="F80" s="41" t="s">
        <v>3259</v>
      </c>
      <c r="G80" s="37" t="s">
        <v>3260</v>
      </c>
      <c r="H80" s="39" t="s">
        <v>3261</v>
      </c>
      <c r="I80" s="39" t="s">
        <v>2926</v>
      </c>
      <c r="J80" s="39" t="s">
        <v>3262</v>
      </c>
    </row>
    <row r="81" ht="26.25" customHeight="1">
      <c r="A81" s="113" t="s">
        <v>887</v>
      </c>
      <c r="B81" s="35">
        <v>2022.0</v>
      </c>
      <c r="C81" s="40" t="s">
        <v>11</v>
      </c>
      <c r="D81" s="35">
        <v>3454.0</v>
      </c>
      <c r="E81" s="39" t="s">
        <v>3263</v>
      </c>
      <c r="F81" s="40" t="s">
        <v>3264</v>
      </c>
      <c r="G81" s="39" t="s">
        <v>3242</v>
      </c>
      <c r="H81" s="39" t="s">
        <v>3265</v>
      </c>
      <c r="I81" s="39" t="s">
        <v>2944</v>
      </c>
      <c r="J81" s="39" t="s">
        <v>3244</v>
      </c>
    </row>
    <row r="82" ht="26.25" customHeight="1">
      <c r="A82" s="113" t="s">
        <v>889</v>
      </c>
      <c r="B82" s="35">
        <v>2022.0</v>
      </c>
      <c r="C82" s="40" t="s">
        <v>11</v>
      </c>
      <c r="D82" s="40">
        <v>3338.0</v>
      </c>
      <c r="E82" s="39" t="s">
        <v>3266</v>
      </c>
      <c r="F82" s="41" t="s">
        <v>3267</v>
      </c>
      <c r="G82" s="36" t="s">
        <v>3268</v>
      </c>
      <c r="H82" s="39" t="s">
        <v>3269</v>
      </c>
      <c r="I82" s="39" t="s">
        <v>2983</v>
      </c>
      <c r="J82" s="39" t="s">
        <v>3270</v>
      </c>
    </row>
    <row r="83" ht="26.25" customHeight="1">
      <c r="A83" s="113" t="s">
        <v>891</v>
      </c>
      <c r="B83" s="35">
        <v>2022.0</v>
      </c>
      <c r="C83" s="40" t="s">
        <v>11</v>
      </c>
      <c r="D83" s="40">
        <v>3933.0</v>
      </c>
      <c r="E83" s="39" t="s">
        <v>3271</v>
      </c>
      <c r="F83" s="40" t="s">
        <v>3272</v>
      </c>
      <c r="G83" s="36" t="s">
        <v>3273</v>
      </c>
      <c r="H83" s="39" t="s">
        <v>3274</v>
      </c>
      <c r="I83" s="39" t="s">
        <v>2932</v>
      </c>
      <c r="J83" s="39" t="s">
        <v>3275</v>
      </c>
    </row>
    <row r="84" ht="26.25" customHeight="1">
      <c r="A84" s="113" t="s">
        <v>896</v>
      </c>
      <c r="B84" s="35">
        <v>2022.0</v>
      </c>
      <c r="C84" s="40" t="s">
        <v>11</v>
      </c>
      <c r="D84" s="40">
        <v>2719.0</v>
      </c>
      <c r="E84" s="39" t="s">
        <v>3069</v>
      </c>
      <c r="F84" s="40" t="s">
        <v>3070</v>
      </c>
      <c r="G84" s="36" t="s">
        <v>3071</v>
      </c>
      <c r="H84" s="39" t="s">
        <v>3276</v>
      </c>
      <c r="I84" s="39" t="s">
        <v>633</v>
      </c>
      <c r="J84" s="39" t="s">
        <v>3073</v>
      </c>
    </row>
    <row r="85" ht="26.25" customHeight="1">
      <c r="A85" s="113" t="s">
        <v>901</v>
      </c>
      <c r="B85" s="35">
        <v>2022.0</v>
      </c>
      <c r="C85" s="40" t="s">
        <v>11</v>
      </c>
      <c r="D85" s="40">
        <v>3869.0</v>
      </c>
      <c r="E85" s="39" t="s">
        <v>3277</v>
      </c>
      <c r="F85" s="35" t="s">
        <v>3278</v>
      </c>
      <c r="G85" s="36"/>
      <c r="H85" s="37" t="s">
        <v>3279</v>
      </c>
      <c r="I85" s="39" t="s">
        <v>2983</v>
      </c>
      <c r="J85" s="39" t="s">
        <v>3280</v>
      </c>
    </row>
    <row r="86" ht="26.25" customHeight="1">
      <c r="A86" s="113" t="s">
        <v>907</v>
      </c>
      <c r="B86" s="35">
        <v>2022.0</v>
      </c>
      <c r="C86" s="35" t="s">
        <v>11</v>
      </c>
      <c r="D86" s="35">
        <v>2158.0</v>
      </c>
      <c r="E86" s="37" t="s">
        <v>3281</v>
      </c>
      <c r="F86" s="35" t="s">
        <v>3282</v>
      </c>
      <c r="G86" s="36" t="s">
        <v>3283</v>
      </c>
      <c r="H86" s="39" t="s">
        <v>3284</v>
      </c>
      <c r="I86" s="39" t="s">
        <v>633</v>
      </c>
      <c r="J86" s="39" t="s">
        <v>3285</v>
      </c>
    </row>
    <row r="87" ht="26.25" customHeight="1">
      <c r="A87" s="113" t="s">
        <v>913</v>
      </c>
      <c r="B87" s="35">
        <v>2022.0</v>
      </c>
      <c r="C87" s="40" t="s">
        <v>11</v>
      </c>
      <c r="D87" s="40">
        <v>3881.0</v>
      </c>
      <c r="E87" s="39" t="s">
        <v>3286</v>
      </c>
      <c r="F87" s="40" t="s">
        <v>3287</v>
      </c>
      <c r="G87" s="36" t="s">
        <v>3288</v>
      </c>
      <c r="H87" s="39" t="s">
        <v>3289</v>
      </c>
      <c r="I87" s="39" t="s">
        <v>2983</v>
      </c>
      <c r="J87" s="39" t="s">
        <v>3290</v>
      </c>
    </row>
    <row r="88" ht="26.25" customHeight="1">
      <c r="A88" s="113" t="s">
        <v>919</v>
      </c>
      <c r="B88" s="35">
        <v>2022.0</v>
      </c>
      <c r="C88" s="40" t="s">
        <v>11</v>
      </c>
      <c r="D88" s="40">
        <v>4072.0</v>
      </c>
      <c r="E88" s="39" t="s">
        <v>3291</v>
      </c>
      <c r="F88" s="40" t="s">
        <v>3292</v>
      </c>
      <c r="G88" s="36" t="s">
        <v>3293</v>
      </c>
      <c r="H88" s="39" t="s">
        <v>3294</v>
      </c>
      <c r="I88" s="39" t="s">
        <v>2938</v>
      </c>
      <c r="J88" s="39" t="s">
        <v>3295</v>
      </c>
    </row>
    <row r="89" ht="26.25" customHeight="1">
      <c r="A89" s="113" t="s">
        <v>924</v>
      </c>
      <c r="B89" s="35">
        <v>2022.0</v>
      </c>
      <c r="C89" s="40" t="s">
        <v>11</v>
      </c>
      <c r="D89" s="40">
        <v>4114.0</v>
      </c>
      <c r="E89" s="39" t="s">
        <v>3296</v>
      </c>
      <c r="F89" s="40" t="s">
        <v>3297</v>
      </c>
      <c r="G89" s="36" t="s">
        <v>3298</v>
      </c>
      <c r="H89" s="39" t="s">
        <v>3299</v>
      </c>
      <c r="I89" s="39" t="s">
        <v>2926</v>
      </c>
      <c r="J89" s="39" t="s">
        <v>3300</v>
      </c>
    </row>
    <row r="90" ht="26.25" customHeight="1">
      <c r="A90" s="113" t="s">
        <v>930</v>
      </c>
      <c r="B90" s="35">
        <v>2022.0</v>
      </c>
      <c r="C90" s="40" t="s">
        <v>11</v>
      </c>
      <c r="D90" s="40">
        <v>4218.0</v>
      </c>
      <c r="E90" s="39" t="s">
        <v>3301</v>
      </c>
      <c r="F90" s="40" t="s">
        <v>3302</v>
      </c>
      <c r="G90" s="36" t="s">
        <v>3303</v>
      </c>
      <c r="H90" s="39" t="s">
        <v>3304</v>
      </c>
      <c r="I90" s="39" t="s">
        <v>3305</v>
      </c>
      <c r="J90" s="39" t="s">
        <v>3306</v>
      </c>
    </row>
    <row r="91" ht="26.25" customHeight="1">
      <c r="A91" s="113" t="s">
        <v>935</v>
      </c>
      <c r="B91" s="35">
        <v>2022.0</v>
      </c>
      <c r="C91" s="40" t="s">
        <v>11</v>
      </c>
      <c r="D91" s="40">
        <v>472.0</v>
      </c>
      <c r="E91" s="39" t="s">
        <v>3307</v>
      </c>
      <c r="F91" s="41" t="s">
        <v>3308</v>
      </c>
      <c r="G91" s="36" t="s">
        <v>3309</v>
      </c>
      <c r="H91" s="39" t="s">
        <v>3310</v>
      </c>
      <c r="I91" s="39" t="s">
        <v>633</v>
      </c>
      <c r="J91" s="39" t="s">
        <v>3311</v>
      </c>
    </row>
    <row r="92" ht="26.25" customHeight="1">
      <c r="A92" s="113" t="s">
        <v>941</v>
      </c>
      <c r="B92" s="35">
        <v>2022.0</v>
      </c>
      <c r="C92" s="40" t="s">
        <v>12</v>
      </c>
      <c r="D92" s="40">
        <v>3694.0</v>
      </c>
      <c r="E92" s="39" t="s">
        <v>3312</v>
      </c>
      <c r="F92" s="40" t="s">
        <v>3313</v>
      </c>
      <c r="G92" s="36" t="s">
        <v>3314</v>
      </c>
      <c r="H92" s="39" t="s">
        <v>3315</v>
      </c>
      <c r="I92" s="39" t="s">
        <v>2932</v>
      </c>
      <c r="J92" s="39" t="s">
        <v>3316</v>
      </c>
    </row>
    <row r="93" ht="26.25" customHeight="1">
      <c r="A93" s="113" t="s">
        <v>947</v>
      </c>
      <c r="B93" s="35">
        <v>2022.0</v>
      </c>
      <c r="C93" s="40" t="s">
        <v>12</v>
      </c>
      <c r="D93" s="40">
        <v>4514.0</v>
      </c>
      <c r="E93" s="39" t="s">
        <v>3317</v>
      </c>
      <c r="F93" s="40" t="s">
        <v>3318</v>
      </c>
      <c r="G93" s="36" t="s">
        <v>3319</v>
      </c>
      <c r="H93" s="39" t="s">
        <v>3320</v>
      </c>
      <c r="I93" s="39" t="s">
        <v>3187</v>
      </c>
      <c r="J93" s="39" t="s">
        <v>3321</v>
      </c>
    </row>
    <row r="94" ht="26.25" customHeight="1">
      <c r="A94" s="113" t="s">
        <v>951</v>
      </c>
      <c r="B94" s="35">
        <v>2022.0</v>
      </c>
      <c r="C94" s="40" t="s">
        <v>12</v>
      </c>
      <c r="D94" s="40">
        <v>3814.0</v>
      </c>
      <c r="E94" s="39" t="s">
        <v>3322</v>
      </c>
      <c r="F94" s="40" t="s">
        <v>3323</v>
      </c>
      <c r="G94" s="36" t="s">
        <v>3324</v>
      </c>
      <c r="H94" s="39" t="s">
        <v>3325</v>
      </c>
      <c r="I94" s="39" t="s">
        <v>2938</v>
      </c>
      <c r="J94" s="39" t="s">
        <v>3326</v>
      </c>
    </row>
    <row r="95" ht="26.25" customHeight="1">
      <c r="A95" s="113" t="s">
        <v>953</v>
      </c>
      <c r="B95" s="35">
        <v>2022.0</v>
      </c>
      <c r="C95" s="40" t="s">
        <v>12</v>
      </c>
      <c r="D95" s="40">
        <v>4477.0</v>
      </c>
      <c r="E95" s="39" t="s">
        <v>3327</v>
      </c>
      <c r="F95" s="41" t="s">
        <v>3328</v>
      </c>
      <c r="G95" s="36" t="s">
        <v>3329</v>
      </c>
      <c r="H95" s="39" t="s">
        <v>3330</v>
      </c>
      <c r="I95" s="39" t="s">
        <v>633</v>
      </c>
      <c r="J95" s="39" t="s">
        <v>3331</v>
      </c>
    </row>
    <row r="96" ht="26.25" customHeight="1">
      <c r="A96" s="113" t="s">
        <v>959</v>
      </c>
      <c r="B96" s="35">
        <v>2022.0</v>
      </c>
      <c r="C96" s="40" t="s">
        <v>12</v>
      </c>
      <c r="D96" s="40">
        <v>3951.0</v>
      </c>
      <c r="E96" s="39" t="s">
        <v>3332</v>
      </c>
      <c r="F96" s="40" t="s">
        <v>3333</v>
      </c>
      <c r="G96" s="36" t="s">
        <v>3334</v>
      </c>
      <c r="H96" s="39" t="s">
        <v>3335</v>
      </c>
      <c r="I96" s="39" t="s">
        <v>3088</v>
      </c>
      <c r="J96" s="39" t="s">
        <v>3336</v>
      </c>
    </row>
    <row r="97" ht="26.25" customHeight="1">
      <c r="A97" s="113" t="s">
        <v>965</v>
      </c>
      <c r="B97" s="35">
        <v>2022.0</v>
      </c>
      <c r="C97" s="40" t="s">
        <v>12</v>
      </c>
      <c r="D97" s="40">
        <v>4580.0</v>
      </c>
      <c r="E97" s="39" t="s">
        <v>3337</v>
      </c>
      <c r="F97" s="40" t="s">
        <v>3338</v>
      </c>
      <c r="G97" s="36" t="s">
        <v>3339</v>
      </c>
      <c r="H97" s="39" t="s">
        <v>3340</v>
      </c>
      <c r="I97" s="39" t="s">
        <v>2932</v>
      </c>
      <c r="J97" s="39" t="s">
        <v>3341</v>
      </c>
    </row>
    <row r="98" ht="26.25" customHeight="1">
      <c r="A98" s="113" t="s">
        <v>967</v>
      </c>
      <c r="B98" s="35">
        <v>2022.0</v>
      </c>
      <c r="C98" s="40" t="s">
        <v>12</v>
      </c>
      <c r="D98" s="40">
        <v>4114.0</v>
      </c>
      <c r="E98" s="39" t="s">
        <v>3296</v>
      </c>
      <c r="F98" s="40" t="s">
        <v>3297</v>
      </c>
      <c r="G98" s="36" t="s">
        <v>3298</v>
      </c>
      <c r="H98" s="39" t="s">
        <v>3342</v>
      </c>
      <c r="I98" s="39" t="s">
        <v>2926</v>
      </c>
      <c r="J98" s="39" t="s">
        <v>3300</v>
      </c>
    </row>
    <row r="99" ht="26.25" customHeight="1">
      <c r="A99" s="113" t="s">
        <v>971</v>
      </c>
      <c r="B99" s="35">
        <v>2022.0</v>
      </c>
      <c r="C99" s="40" t="s">
        <v>12</v>
      </c>
      <c r="D99" s="40">
        <v>4080.0</v>
      </c>
      <c r="E99" s="39" t="s">
        <v>3343</v>
      </c>
      <c r="F99" s="41" t="s">
        <v>3344</v>
      </c>
      <c r="G99" s="36" t="s">
        <v>3345</v>
      </c>
      <c r="H99" s="39" t="s">
        <v>3346</v>
      </c>
      <c r="I99" s="39" t="s">
        <v>2926</v>
      </c>
      <c r="J99" s="39" t="s">
        <v>3347</v>
      </c>
    </row>
    <row r="100" ht="26.25" customHeight="1">
      <c r="A100" s="113" t="s">
        <v>978</v>
      </c>
      <c r="B100" s="35">
        <v>2022.0</v>
      </c>
      <c r="C100" s="40" t="s">
        <v>12</v>
      </c>
      <c r="D100" s="40">
        <v>4485.0</v>
      </c>
      <c r="E100" s="39" t="s">
        <v>3348</v>
      </c>
      <c r="F100" s="40" t="s">
        <v>3349</v>
      </c>
      <c r="G100" s="36" t="s">
        <v>3350</v>
      </c>
      <c r="H100" s="39" t="s">
        <v>3351</v>
      </c>
      <c r="I100" s="39" t="s">
        <v>2938</v>
      </c>
      <c r="J100" s="39" t="s">
        <v>3352</v>
      </c>
    </row>
    <row r="101" ht="26.25" customHeight="1">
      <c r="A101" s="113" t="s">
        <v>984</v>
      </c>
      <c r="B101" s="35">
        <v>2022.0</v>
      </c>
      <c r="C101" s="40" t="s">
        <v>12</v>
      </c>
      <c r="D101" s="40">
        <v>4587.0</v>
      </c>
      <c r="E101" s="39" t="s">
        <v>3353</v>
      </c>
      <c r="F101" s="40" t="s">
        <v>3354</v>
      </c>
      <c r="G101" s="36" t="s">
        <v>3355</v>
      </c>
      <c r="H101" s="39" t="s">
        <v>3356</v>
      </c>
      <c r="I101" s="39" t="s">
        <v>3357</v>
      </c>
      <c r="J101" s="39" t="s">
        <v>3358</v>
      </c>
    </row>
    <row r="102" ht="26.25" customHeight="1">
      <c r="A102" s="113" t="s">
        <v>990</v>
      </c>
      <c r="B102" s="35">
        <v>2022.0</v>
      </c>
      <c r="C102" s="40" t="s">
        <v>12</v>
      </c>
      <c r="D102" s="40">
        <v>4603.0</v>
      </c>
      <c r="E102" s="39" t="s">
        <v>3359</v>
      </c>
      <c r="F102" s="40" t="s">
        <v>3360</v>
      </c>
      <c r="G102" s="36" t="s">
        <v>3361</v>
      </c>
      <c r="H102" s="39" t="s">
        <v>3362</v>
      </c>
      <c r="I102" s="39" t="s">
        <v>3357</v>
      </c>
      <c r="J102" s="39" t="s">
        <v>3363</v>
      </c>
    </row>
    <row r="103" ht="26.25" customHeight="1">
      <c r="A103" s="113" t="s">
        <v>995</v>
      </c>
      <c r="B103" s="35">
        <v>2022.0</v>
      </c>
      <c r="C103" s="40" t="s">
        <v>12</v>
      </c>
      <c r="D103" s="40">
        <v>4621.0</v>
      </c>
      <c r="E103" s="39" t="s">
        <v>3364</v>
      </c>
      <c r="F103" s="41" t="s">
        <v>3365</v>
      </c>
      <c r="G103" s="36" t="s">
        <v>3366</v>
      </c>
      <c r="H103" s="39" t="s">
        <v>3367</v>
      </c>
      <c r="I103" s="39" t="s">
        <v>2926</v>
      </c>
      <c r="J103" s="39" t="s">
        <v>3368</v>
      </c>
    </row>
    <row r="104" ht="26.25" customHeight="1">
      <c r="A104" s="113" t="s">
        <v>1001</v>
      </c>
      <c r="B104" s="35">
        <v>2022.0</v>
      </c>
      <c r="C104" s="40" t="s">
        <v>12</v>
      </c>
      <c r="D104" s="40">
        <v>4574.0</v>
      </c>
      <c r="E104" s="39" t="s">
        <v>3369</v>
      </c>
      <c r="F104" s="40" t="s">
        <v>3370</v>
      </c>
      <c r="G104" s="36" t="s">
        <v>3371</v>
      </c>
      <c r="H104" s="39" t="s">
        <v>3372</v>
      </c>
      <c r="I104" s="39" t="s">
        <v>633</v>
      </c>
      <c r="J104" s="39" t="s">
        <v>3373</v>
      </c>
    </row>
    <row r="105" ht="26.25" customHeight="1">
      <c r="A105" s="113" t="s">
        <v>1003</v>
      </c>
      <c r="B105" s="35">
        <v>2022.0</v>
      </c>
      <c r="C105" s="40" t="s">
        <v>13</v>
      </c>
      <c r="D105" s="17">
        <v>4723.0</v>
      </c>
      <c r="E105" s="39" t="s">
        <v>3374</v>
      </c>
      <c r="F105" s="40" t="s">
        <v>3375</v>
      </c>
      <c r="G105" s="36" t="s">
        <v>3376</v>
      </c>
      <c r="H105" s="38" t="s">
        <v>3377</v>
      </c>
      <c r="I105" s="39" t="s">
        <v>2944</v>
      </c>
      <c r="J105" s="39" t="s">
        <v>3378</v>
      </c>
    </row>
    <row r="106" ht="26.25" customHeight="1">
      <c r="A106" s="113" t="s">
        <v>1005</v>
      </c>
      <c r="B106" s="35">
        <v>2022.0</v>
      </c>
      <c r="C106" s="40" t="s">
        <v>13</v>
      </c>
      <c r="D106" s="40">
        <v>4382.0</v>
      </c>
      <c r="E106" s="39" t="s">
        <v>3379</v>
      </c>
      <c r="F106" s="40" t="s">
        <v>3380</v>
      </c>
      <c r="G106" s="36" t="s">
        <v>3381</v>
      </c>
      <c r="H106" s="39" t="s">
        <v>3382</v>
      </c>
      <c r="I106" s="39" t="s">
        <v>2932</v>
      </c>
      <c r="J106" s="39" t="s">
        <v>3383</v>
      </c>
    </row>
    <row r="107" ht="26.25" customHeight="1">
      <c r="A107" s="113" t="s">
        <v>1011</v>
      </c>
      <c r="B107" s="35">
        <v>2022.0</v>
      </c>
      <c r="C107" s="40" t="s">
        <v>13</v>
      </c>
      <c r="D107" s="40">
        <v>4563.0</v>
      </c>
      <c r="E107" s="39" t="s">
        <v>3384</v>
      </c>
      <c r="F107" s="40" t="s">
        <v>3385</v>
      </c>
      <c r="G107" s="36" t="s">
        <v>3386</v>
      </c>
      <c r="H107" s="39" t="s">
        <v>3387</v>
      </c>
      <c r="I107" s="39" t="s">
        <v>2926</v>
      </c>
      <c r="J107" s="39" t="s">
        <v>3388</v>
      </c>
    </row>
    <row r="108" ht="26.25" customHeight="1">
      <c r="A108" s="113" t="s">
        <v>1017</v>
      </c>
      <c r="B108" s="35">
        <v>2022.0</v>
      </c>
      <c r="C108" s="40" t="s">
        <v>13</v>
      </c>
      <c r="D108" s="40">
        <v>4832.0</v>
      </c>
      <c r="E108" s="39" t="s">
        <v>3389</v>
      </c>
      <c r="F108" s="40" t="s">
        <v>3390</v>
      </c>
      <c r="G108" s="36" t="s">
        <v>3391</v>
      </c>
      <c r="H108" s="39" t="s">
        <v>3392</v>
      </c>
      <c r="I108" s="39" t="s">
        <v>2983</v>
      </c>
      <c r="J108" s="39" t="s">
        <v>3393</v>
      </c>
    </row>
    <row r="109" ht="26.25" customHeight="1">
      <c r="A109" s="113" t="s">
        <v>1023</v>
      </c>
      <c r="B109" s="35">
        <v>2022.0</v>
      </c>
      <c r="C109" s="40" t="s">
        <v>13</v>
      </c>
      <c r="D109" s="40">
        <v>1663.0</v>
      </c>
      <c r="E109" s="39" t="s">
        <v>3394</v>
      </c>
      <c r="F109" s="40" t="s">
        <v>3395</v>
      </c>
      <c r="G109" s="39" t="s">
        <v>3396</v>
      </c>
      <c r="H109" s="39" t="s">
        <v>3397</v>
      </c>
      <c r="I109" s="39" t="s">
        <v>633</v>
      </c>
      <c r="J109" s="39" t="s">
        <v>3398</v>
      </c>
    </row>
    <row r="110" ht="26.25" customHeight="1">
      <c r="A110" s="113" t="s">
        <v>1029</v>
      </c>
      <c r="B110" s="35">
        <v>2022.0</v>
      </c>
      <c r="C110" s="40" t="s">
        <v>13</v>
      </c>
      <c r="D110" s="40">
        <v>4970.0</v>
      </c>
      <c r="E110" s="39" t="s">
        <v>3399</v>
      </c>
      <c r="F110" s="40" t="s">
        <v>3400</v>
      </c>
      <c r="G110" s="39" t="s">
        <v>3401</v>
      </c>
      <c r="H110" s="39" t="s">
        <v>3402</v>
      </c>
      <c r="I110" s="39" t="s">
        <v>2983</v>
      </c>
      <c r="J110" s="39" t="s">
        <v>3403</v>
      </c>
    </row>
    <row r="111" ht="26.25" customHeight="1">
      <c r="A111" s="113" t="s">
        <v>1035</v>
      </c>
      <c r="B111" s="35">
        <v>2022.0</v>
      </c>
      <c r="C111" s="40" t="s">
        <v>13</v>
      </c>
      <c r="D111" s="40">
        <v>4813.0</v>
      </c>
      <c r="E111" s="39" t="s">
        <v>3404</v>
      </c>
      <c r="F111" s="41" t="s">
        <v>3405</v>
      </c>
      <c r="G111" s="39" t="s">
        <v>3406</v>
      </c>
      <c r="H111" s="39" t="s">
        <v>3407</v>
      </c>
      <c r="I111" s="39" t="s">
        <v>3063</v>
      </c>
      <c r="J111" s="39" t="s">
        <v>3408</v>
      </c>
    </row>
    <row r="112" ht="26.25" customHeight="1">
      <c r="A112" s="113" t="s">
        <v>1040</v>
      </c>
      <c r="B112" s="35">
        <v>2022.0</v>
      </c>
      <c r="C112" s="40" t="s">
        <v>13</v>
      </c>
      <c r="D112" s="40">
        <v>5007.0</v>
      </c>
      <c r="E112" s="39" t="s">
        <v>3409</v>
      </c>
      <c r="F112" s="40" t="s">
        <v>3410</v>
      </c>
      <c r="G112" s="39" t="s">
        <v>3411</v>
      </c>
      <c r="H112" s="39" t="s">
        <v>3412</v>
      </c>
      <c r="I112" s="39" t="s">
        <v>3104</v>
      </c>
      <c r="J112" s="39" t="s">
        <v>3413</v>
      </c>
    </row>
    <row r="113" ht="26.25" customHeight="1">
      <c r="A113" s="113" t="s">
        <v>1045</v>
      </c>
      <c r="B113" s="35">
        <v>2022.0</v>
      </c>
      <c r="C113" s="40" t="s">
        <v>14</v>
      </c>
      <c r="D113" s="40">
        <v>5273.0</v>
      </c>
      <c r="E113" s="39" t="s">
        <v>3414</v>
      </c>
      <c r="F113" s="40" t="s">
        <v>3415</v>
      </c>
      <c r="G113" s="39" t="s">
        <v>3416</v>
      </c>
      <c r="H113" s="39" t="s">
        <v>3417</v>
      </c>
      <c r="I113" s="39" t="s">
        <v>633</v>
      </c>
      <c r="J113" s="39" t="s">
        <v>3418</v>
      </c>
    </row>
    <row r="114" ht="26.25" customHeight="1">
      <c r="A114" s="113" t="s">
        <v>1051</v>
      </c>
      <c r="B114" s="35">
        <v>2022.0</v>
      </c>
      <c r="C114" s="40" t="s">
        <v>14</v>
      </c>
      <c r="D114" s="40">
        <v>5410.0</v>
      </c>
      <c r="E114" s="39" t="s">
        <v>3419</v>
      </c>
      <c r="F114" s="40" t="s">
        <v>3420</v>
      </c>
      <c r="G114" s="39" t="s">
        <v>3421</v>
      </c>
      <c r="H114" s="39" t="s">
        <v>3422</v>
      </c>
      <c r="I114" s="39" t="s">
        <v>2944</v>
      </c>
      <c r="J114" s="39" t="s">
        <v>3423</v>
      </c>
    </row>
    <row r="115" ht="26.25" customHeight="1">
      <c r="A115" s="113" t="s">
        <v>1056</v>
      </c>
      <c r="B115" s="35">
        <v>2022.0</v>
      </c>
      <c r="C115" s="35" t="s">
        <v>14</v>
      </c>
      <c r="D115" s="35">
        <v>2938.0</v>
      </c>
      <c r="E115" s="37" t="s">
        <v>3129</v>
      </c>
      <c r="F115" s="40" t="s">
        <v>3130</v>
      </c>
      <c r="G115" s="39" t="s">
        <v>3131</v>
      </c>
      <c r="H115" s="39" t="s">
        <v>3424</v>
      </c>
      <c r="I115" s="39" t="s">
        <v>3133</v>
      </c>
      <c r="J115" s="39" t="s">
        <v>3134</v>
      </c>
    </row>
    <row r="116" ht="26.25" customHeight="1">
      <c r="A116" s="113" t="s">
        <v>1062</v>
      </c>
      <c r="B116" s="35">
        <v>2022.0</v>
      </c>
      <c r="C116" s="40" t="s">
        <v>14</v>
      </c>
      <c r="D116" s="40">
        <v>5432.0</v>
      </c>
      <c r="E116" s="39" t="s">
        <v>3425</v>
      </c>
      <c r="F116" s="40" t="s">
        <v>3426</v>
      </c>
      <c r="G116" s="39" t="s">
        <v>3427</v>
      </c>
      <c r="H116" s="39" t="s">
        <v>3428</v>
      </c>
      <c r="I116" s="39" t="s">
        <v>3429</v>
      </c>
      <c r="J116" s="39" t="s">
        <v>3430</v>
      </c>
    </row>
    <row r="117" ht="26.25" customHeight="1">
      <c r="A117" s="113" t="s">
        <v>1068</v>
      </c>
      <c r="B117" s="35">
        <v>2022.0</v>
      </c>
      <c r="C117" s="42" t="s">
        <v>14</v>
      </c>
      <c r="D117" s="42">
        <v>2054.0</v>
      </c>
      <c r="E117" s="38" t="s">
        <v>3074</v>
      </c>
      <c r="F117" s="42" t="s">
        <v>3075</v>
      </c>
      <c r="G117" s="38" t="s">
        <v>3076</v>
      </c>
      <c r="H117" s="38" t="s">
        <v>3431</v>
      </c>
      <c r="I117" s="38" t="s">
        <v>2950</v>
      </c>
      <c r="J117" s="38" t="s">
        <v>3078</v>
      </c>
    </row>
    <row r="118" ht="26.25" customHeight="1">
      <c r="A118" s="113" t="s">
        <v>1074</v>
      </c>
      <c r="B118" s="35">
        <v>2022.0</v>
      </c>
      <c r="C118" s="40" t="s">
        <v>14</v>
      </c>
      <c r="D118" s="40">
        <v>5266.0</v>
      </c>
      <c r="E118" s="39" t="s">
        <v>3432</v>
      </c>
      <c r="F118" s="40" t="s">
        <v>3433</v>
      </c>
      <c r="G118" s="39" t="s">
        <v>3434</v>
      </c>
      <c r="H118" s="39" t="s">
        <v>3435</v>
      </c>
      <c r="I118" s="39" t="s">
        <v>2938</v>
      </c>
      <c r="J118" s="39" t="s">
        <v>3436</v>
      </c>
    </row>
    <row r="119" ht="26.25" customHeight="1">
      <c r="A119" s="113" t="s">
        <v>1080</v>
      </c>
      <c r="B119" s="35">
        <v>2022.0</v>
      </c>
      <c r="C119" s="40" t="s">
        <v>14</v>
      </c>
      <c r="D119" s="40">
        <v>5464.0</v>
      </c>
      <c r="E119" s="39" t="s">
        <v>3437</v>
      </c>
      <c r="F119" s="40" t="s">
        <v>3438</v>
      </c>
      <c r="G119" s="39" t="s">
        <v>3439</v>
      </c>
      <c r="H119" s="39" t="s">
        <v>3440</v>
      </c>
      <c r="I119" s="39" t="s">
        <v>633</v>
      </c>
      <c r="J119" s="39" t="s">
        <v>3441</v>
      </c>
    </row>
    <row r="120" ht="26.25" customHeight="1">
      <c r="A120" s="113" t="s">
        <v>1086</v>
      </c>
      <c r="B120" s="35">
        <v>2022.0</v>
      </c>
      <c r="C120" s="40" t="s">
        <v>15</v>
      </c>
      <c r="D120" s="40">
        <v>4768.0</v>
      </c>
      <c r="E120" s="39" t="s">
        <v>3442</v>
      </c>
      <c r="F120" s="40" t="s">
        <v>3443</v>
      </c>
      <c r="G120" s="39" t="s">
        <v>3444</v>
      </c>
      <c r="H120" s="39" t="s">
        <v>3445</v>
      </c>
      <c r="I120" s="39" t="s">
        <v>2938</v>
      </c>
      <c r="J120" s="39" t="s">
        <v>3446</v>
      </c>
    </row>
    <row r="121" ht="26.25" customHeight="1">
      <c r="A121" s="113" t="s">
        <v>1091</v>
      </c>
      <c r="B121" s="35">
        <v>2022.0</v>
      </c>
      <c r="C121" s="40" t="s">
        <v>15</v>
      </c>
      <c r="D121" s="40">
        <v>2719.0</v>
      </c>
      <c r="E121" s="39" t="s">
        <v>3447</v>
      </c>
      <c r="F121" s="40" t="s">
        <v>3448</v>
      </c>
      <c r="G121" s="39" t="s">
        <v>3071</v>
      </c>
      <c r="H121" s="39" t="s">
        <v>3449</v>
      </c>
      <c r="I121" s="39" t="s">
        <v>633</v>
      </c>
      <c r="J121" s="39" t="s">
        <v>3073</v>
      </c>
    </row>
    <row r="122" ht="26.25" customHeight="1">
      <c r="A122" s="113" t="s">
        <v>1097</v>
      </c>
      <c r="B122" s="35">
        <v>2022.0</v>
      </c>
      <c r="C122" s="40" t="s">
        <v>15</v>
      </c>
      <c r="D122" s="40">
        <v>5716.0</v>
      </c>
      <c r="E122" s="39" t="s">
        <v>3450</v>
      </c>
      <c r="F122" s="40" t="s">
        <v>3451</v>
      </c>
      <c r="G122" s="39" t="s">
        <v>3452</v>
      </c>
      <c r="H122" s="39" t="s">
        <v>3453</v>
      </c>
      <c r="I122" s="39" t="s">
        <v>3139</v>
      </c>
      <c r="J122" s="39" t="s">
        <v>3454</v>
      </c>
    </row>
    <row r="123" ht="26.25" customHeight="1">
      <c r="A123" s="113" t="s">
        <v>1100</v>
      </c>
      <c r="B123" s="35">
        <v>2022.0</v>
      </c>
      <c r="C123" s="42" t="s">
        <v>15</v>
      </c>
      <c r="D123" s="42">
        <v>5553.0</v>
      </c>
      <c r="E123" s="38" t="s">
        <v>3009</v>
      </c>
      <c r="F123" s="42" t="s">
        <v>3455</v>
      </c>
      <c r="G123" s="36"/>
      <c r="H123" s="38" t="s">
        <v>3456</v>
      </c>
      <c r="I123" s="39" t="s">
        <v>633</v>
      </c>
      <c r="J123" s="38" t="s">
        <v>3457</v>
      </c>
    </row>
    <row r="124" ht="26.25" customHeight="1">
      <c r="A124" s="113" t="s">
        <v>1106</v>
      </c>
      <c r="B124" s="35">
        <v>2022.0</v>
      </c>
      <c r="C124" s="17" t="s">
        <v>21</v>
      </c>
      <c r="D124" s="17">
        <v>7406.0</v>
      </c>
      <c r="E124" s="38" t="s">
        <v>3458</v>
      </c>
      <c r="F124" s="43" t="s">
        <v>3459</v>
      </c>
      <c r="G124" s="38" t="s">
        <v>3460</v>
      </c>
      <c r="H124" s="38" t="s">
        <v>3461</v>
      </c>
      <c r="I124" s="38" t="s">
        <v>3462</v>
      </c>
      <c r="J124" s="38" t="s">
        <v>3463</v>
      </c>
    </row>
    <row r="125" ht="26.25" customHeight="1">
      <c r="A125" s="113" t="s">
        <v>1112</v>
      </c>
      <c r="B125" s="35">
        <v>2022.0</v>
      </c>
      <c r="C125" s="42" t="s">
        <v>15</v>
      </c>
      <c r="D125" s="42">
        <v>5683.0</v>
      </c>
      <c r="E125" s="38" t="s">
        <v>3464</v>
      </c>
      <c r="F125" s="42" t="s">
        <v>3465</v>
      </c>
      <c r="G125" s="38" t="s">
        <v>3466</v>
      </c>
      <c r="H125" s="38" t="s">
        <v>3467</v>
      </c>
      <c r="I125" s="38" t="s">
        <v>2938</v>
      </c>
      <c r="J125" s="38" t="s">
        <v>3468</v>
      </c>
    </row>
    <row r="126" ht="26.25" customHeight="1">
      <c r="A126" s="113" t="s">
        <v>1118</v>
      </c>
      <c r="B126" s="35">
        <v>2022.0</v>
      </c>
      <c r="C126" s="42" t="s">
        <v>15</v>
      </c>
      <c r="D126" s="42">
        <v>5722.0</v>
      </c>
      <c r="E126" s="38" t="s">
        <v>3469</v>
      </c>
      <c r="F126" s="42" t="s">
        <v>3470</v>
      </c>
      <c r="G126" s="38" t="s">
        <v>3471</v>
      </c>
      <c r="H126" s="38" t="s">
        <v>3472</v>
      </c>
      <c r="I126" s="38" t="s">
        <v>2938</v>
      </c>
      <c r="J126" s="38" t="s">
        <v>3473</v>
      </c>
    </row>
    <row r="127" ht="26.25" customHeight="1">
      <c r="A127" s="113" t="s">
        <v>1124</v>
      </c>
      <c r="B127" s="35">
        <v>2022.0</v>
      </c>
      <c r="C127" s="40" t="s">
        <v>15</v>
      </c>
      <c r="D127" s="40">
        <v>4446.0</v>
      </c>
      <c r="E127" s="39" t="s">
        <v>3474</v>
      </c>
      <c r="F127" s="40" t="s">
        <v>3475</v>
      </c>
      <c r="G127" s="39" t="s">
        <v>3476</v>
      </c>
      <c r="H127" s="39" t="s">
        <v>3477</v>
      </c>
      <c r="I127" s="39" t="s">
        <v>2932</v>
      </c>
      <c r="J127" s="39" t="s">
        <v>3478</v>
      </c>
    </row>
    <row r="128" ht="26.25" customHeight="1">
      <c r="A128" s="113" t="s">
        <v>1129</v>
      </c>
      <c r="B128" s="35">
        <v>2022.0</v>
      </c>
      <c r="C128" s="42" t="s">
        <v>15</v>
      </c>
      <c r="D128" s="42">
        <v>2968.0</v>
      </c>
      <c r="E128" s="38" t="s">
        <v>3479</v>
      </c>
      <c r="F128" s="42" t="s">
        <v>3480</v>
      </c>
      <c r="G128" s="38" t="s">
        <v>3481</v>
      </c>
      <c r="H128" s="38" t="s">
        <v>3482</v>
      </c>
      <c r="I128" s="38" t="s">
        <v>2938</v>
      </c>
      <c r="J128" s="38" t="s">
        <v>3483</v>
      </c>
    </row>
    <row r="129" ht="26.25" customHeight="1">
      <c r="A129" s="113" t="s">
        <v>1135</v>
      </c>
      <c r="B129" s="35">
        <v>2022.0</v>
      </c>
      <c r="C129" s="42" t="s">
        <v>15</v>
      </c>
      <c r="D129" s="42">
        <v>2968.0</v>
      </c>
      <c r="E129" s="38" t="s">
        <v>3479</v>
      </c>
      <c r="F129" s="42" t="s">
        <v>3480</v>
      </c>
      <c r="G129" s="38" t="s">
        <v>3481</v>
      </c>
      <c r="H129" s="38" t="s">
        <v>3484</v>
      </c>
      <c r="I129" s="38" t="s">
        <v>2938</v>
      </c>
      <c r="J129" s="38" t="s">
        <v>3483</v>
      </c>
    </row>
    <row r="130" ht="26.25" customHeight="1">
      <c r="A130" s="113" t="s">
        <v>1141</v>
      </c>
      <c r="B130" s="35">
        <v>2022.0</v>
      </c>
      <c r="C130" s="40" t="s">
        <v>15</v>
      </c>
      <c r="D130" s="40">
        <v>4768.0</v>
      </c>
      <c r="E130" s="39" t="s">
        <v>3442</v>
      </c>
      <c r="F130" s="40" t="s">
        <v>3443</v>
      </c>
      <c r="G130" s="39" t="s">
        <v>3444</v>
      </c>
      <c r="H130" s="39" t="s">
        <v>3485</v>
      </c>
      <c r="I130" s="39" t="s">
        <v>2938</v>
      </c>
      <c r="J130" s="39" t="s">
        <v>3446</v>
      </c>
    </row>
    <row r="131" ht="26.25" customHeight="1">
      <c r="A131" s="113" t="s">
        <v>1147</v>
      </c>
      <c r="B131" s="35">
        <v>2022.0</v>
      </c>
      <c r="C131" s="35" t="s">
        <v>15</v>
      </c>
      <c r="D131" s="35">
        <v>3079.0</v>
      </c>
      <c r="E131" s="37" t="s">
        <v>3258</v>
      </c>
      <c r="F131" s="41" t="s">
        <v>3259</v>
      </c>
      <c r="G131" s="37" t="s">
        <v>3260</v>
      </c>
      <c r="H131" s="39" t="s">
        <v>3486</v>
      </c>
      <c r="I131" s="39" t="s">
        <v>2926</v>
      </c>
      <c r="J131" s="39" t="s">
        <v>3262</v>
      </c>
    </row>
    <row r="132" ht="26.25" customHeight="1">
      <c r="A132" s="113" t="s">
        <v>1153</v>
      </c>
      <c r="B132" s="35">
        <v>2022.0</v>
      </c>
      <c r="C132" s="40" t="s">
        <v>16</v>
      </c>
      <c r="D132" s="40">
        <v>2719.0</v>
      </c>
      <c r="E132" s="39" t="s">
        <v>3447</v>
      </c>
      <c r="F132" s="40" t="s">
        <v>3448</v>
      </c>
      <c r="G132" s="39" t="s">
        <v>3071</v>
      </c>
      <c r="H132" s="39" t="s">
        <v>3487</v>
      </c>
      <c r="I132" s="39" t="s">
        <v>633</v>
      </c>
      <c r="J132" s="39" t="s">
        <v>3073</v>
      </c>
    </row>
    <row r="133" ht="26.25" customHeight="1">
      <c r="A133" s="113" t="s">
        <v>1156</v>
      </c>
      <c r="B133" s="35">
        <v>2022.0</v>
      </c>
      <c r="C133" s="40" t="s">
        <v>16</v>
      </c>
      <c r="D133" s="40">
        <v>4896.0</v>
      </c>
      <c r="E133" s="39" t="s">
        <v>3488</v>
      </c>
      <c r="F133" s="40" t="s">
        <v>3489</v>
      </c>
      <c r="G133" s="37"/>
      <c r="H133" s="39" t="s">
        <v>3490</v>
      </c>
      <c r="I133" s="39" t="s">
        <v>2944</v>
      </c>
      <c r="J133" s="39" t="s">
        <v>3491</v>
      </c>
    </row>
    <row r="134" ht="26.25" customHeight="1">
      <c r="A134" s="113" t="s">
        <v>1163</v>
      </c>
      <c r="B134" s="35">
        <v>2022.0</v>
      </c>
      <c r="C134" s="40" t="s">
        <v>16</v>
      </c>
      <c r="D134" s="40">
        <v>5054.0</v>
      </c>
      <c r="E134" s="39" t="s">
        <v>3492</v>
      </c>
      <c r="F134" s="40" t="s">
        <v>3493</v>
      </c>
      <c r="G134" s="39" t="s">
        <v>3494</v>
      </c>
      <c r="H134" s="39" t="s">
        <v>2292</v>
      </c>
      <c r="I134" s="39" t="s">
        <v>2932</v>
      </c>
      <c r="J134" s="39" t="s">
        <v>3495</v>
      </c>
    </row>
    <row r="135" ht="26.25" customHeight="1">
      <c r="A135" s="113" t="s">
        <v>1169</v>
      </c>
      <c r="B135" s="35">
        <v>2022.0</v>
      </c>
      <c r="C135" s="40" t="s">
        <v>16</v>
      </c>
      <c r="D135" s="40">
        <v>5991.0</v>
      </c>
      <c r="E135" s="39" t="s">
        <v>3496</v>
      </c>
      <c r="F135" s="41" t="s">
        <v>3497</v>
      </c>
      <c r="G135" s="39" t="s">
        <v>3498</v>
      </c>
      <c r="H135" s="39" t="s">
        <v>3499</v>
      </c>
      <c r="I135" s="39" t="s">
        <v>3133</v>
      </c>
      <c r="J135" s="39" t="s">
        <v>3500</v>
      </c>
    </row>
    <row r="136" ht="26.25" customHeight="1">
      <c r="A136" s="113" t="s">
        <v>1174</v>
      </c>
      <c r="B136" s="35">
        <v>2022.0</v>
      </c>
      <c r="C136" s="40" t="s">
        <v>16</v>
      </c>
      <c r="D136" s="40">
        <v>5882.0</v>
      </c>
      <c r="E136" s="39" t="s">
        <v>3501</v>
      </c>
      <c r="F136" s="41" t="s">
        <v>3502</v>
      </c>
      <c r="G136" s="39" t="s">
        <v>3503</v>
      </c>
      <c r="H136" s="39" t="s">
        <v>3504</v>
      </c>
      <c r="I136" s="39" t="s">
        <v>633</v>
      </c>
      <c r="J136" s="39" t="s">
        <v>3505</v>
      </c>
    </row>
    <row r="137" ht="26.25" customHeight="1">
      <c r="A137" s="113" t="s">
        <v>1180</v>
      </c>
      <c r="B137" s="35">
        <v>2022.0</v>
      </c>
      <c r="C137" s="42" t="s">
        <v>16</v>
      </c>
      <c r="D137" s="42">
        <v>5906.0</v>
      </c>
      <c r="E137" s="38" t="s">
        <v>3506</v>
      </c>
      <c r="F137" s="43" t="s">
        <v>3507</v>
      </c>
      <c r="G137" s="36"/>
      <c r="H137" s="38" t="s">
        <v>3508</v>
      </c>
      <c r="I137" s="39" t="s">
        <v>633</v>
      </c>
      <c r="J137" s="38" t="s">
        <v>3509</v>
      </c>
    </row>
    <row r="138" ht="26.25" customHeight="1">
      <c r="A138" s="113" t="s">
        <v>1186</v>
      </c>
      <c r="B138" s="35">
        <v>2022.0</v>
      </c>
      <c r="C138" s="42" t="s">
        <v>16</v>
      </c>
      <c r="D138" s="42">
        <v>550.0</v>
      </c>
      <c r="E138" s="38" t="s">
        <v>3510</v>
      </c>
      <c r="F138" s="43" t="s">
        <v>3511</v>
      </c>
      <c r="G138" s="38" t="s">
        <v>3512</v>
      </c>
      <c r="H138" s="38" t="s">
        <v>3513</v>
      </c>
      <c r="I138" s="38" t="s">
        <v>3063</v>
      </c>
      <c r="J138" s="38" t="s">
        <v>3514</v>
      </c>
    </row>
    <row r="139" ht="26.25" customHeight="1">
      <c r="A139" s="113" t="s">
        <v>1192</v>
      </c>
      <c r="B139" s="35">
        <v>2022.0</v>
      </c>
      <c r="C139" s="42" t="s">
        <v>16</v>
      </c>
      <c r="D139" s="42">
        <v>5922.0</v>
      </c>
      <c r="E139" s="38" t="s">
        <v>3515</v>
      </c>
      <c r="F139" s="43" t="s">
        <v>3516</v>
      </c>
      <c r="G139" s="38" t="s">
        <v>3517</v>
      </c>
      <c r="H139" s="38" t="s">
        <v>3518</v>
      </c>
      <c r="I139" s="38" t="s">
        <v>2983</v>
      </c>
      <c r="J139" s="38" t="s">
        <v>3519</v>
      </c>
    </row>
    <row r="140" ht="26.25" customHeight="1">
      <c r="A140" s="113" t="s">
        <v>1198</v>
      </c>
      <c r="B140" s="35">
        <v>2022.0</v>
      </c>
      <c r="C140" s="42" t="s">
        <v>16</v>
      </c>
      <c r="D140" s="42">
        <v>3046.0</v>
      </c>
      <c r="E140" s="38" t="s">
        <v>3520</v>
      </c>
      <c r="F140" s="43" t="s">
        <v>3521</v>
      </c>
      <c r="G140" s="38" t="s">
        <v>3522</v>
      </c>
      <c r="H140" s="38" t="s">
        <v>3523</v>
      </c>
      <c r="I140" s="38" t="s">
        <v>3305</v>
      </c>
      <c r="J140" s="38" t="s">
        <v>3524</v>
      </c>
    </row>
    <row r="141" ht="26.25" customHeight="1">
      <c r="A141" s="113" t="s">
        <v>1204</v>
      </c>
      <c r="B141" s="35">
        <v>2022.0</v>
      </c>
      <c r="C141" s="40" t="s">
        <v>16</v>
      </c>
      <c r="D141" s="40">
        <v>4768.0</v>
      </c>
      <c r="E141" s="39" t="s">
        <v>3442</v>
      </c>
      <c r="F141" s="40" t="s">
        <v>3443</v>
      </c>
      <c r="G141" s="39" t="s">
        <v>3444</v>
      </c>
      <c r="H141" s="39" t="s">
        <v>3525</v>
      </c>
      <c r="I141" s="39" t="s">
        <v>2938</v>
      </c>
      <c r="J141" s="39" t="s">
        <v>3446</v>
      </c>
    </row>
    <row r="142" ht="26.25" customHeight="1">
      <c r="A142" s="113" t="s">
        <v>1210</v>
      </c>
      <c r="B142" s="35">
        <v>2022.0</v>
      </c>
      <c r="C142" s="40" t="s">
        <v>17</v>
      </c>
      <c r="D142" s="40">
        <v>6253.0</v>
      </c>
      <c r="E142" s="39" t="s">
        <v>3526</v>
      </c>
      <c r="F142" s="41" t="s">
        <v>3527</v>
      </c>
      <c r="G142" s="39" t="s">
        <v>3528</v>
      </c>
      <c r="H142" s="39" t="s">
        <v>3529</v>
      </c>
      <c r="I142" s="39" t="s">
        <v>2938</v>
      </c>
      <c r="J142" s="39" t="s">
        <v>3530</v>
      </c>
    </row>
    <row r="143" ht="26.25" customHeight="1">
      <c r="A143" s="113" t="s">
        <v>1213</v>
      </c>
      <c r="B143" s="35">
        <v>2022.0</v>
      </c>
      <c r="C143" s="42" t="s">
        <v>17</v>
      </c>
      <c r="D143" s="42">
        <v>550.0</v>
      </c>
      <c r="E143" s="38" t="s">
        <v>3510</v>
      </c>
      <c r="F143" s="43" t="s">
        <v>3511</v>
      </c>
      <c r="G143" s="38" t="s">
        <v>3512</v>
      </c>
      <c r="H143" s="38" t="s">
        <v>3531</v>
      </c>
      <c r="I143" s="38" t="s">
        <v>3063</v>
      </c>
      <c r="J143" s="38" t="s">
        <v>3514</v>
      </c>
    </row>
    <row r="144" ht="26.25" customHeight="1">
      <c r="A144" s="113" t="s">
        <v>1219</v>
      </c>
      <c r="B144" s="35">
        <v>2022.0</v>
      </c>
      <c r="C144" s="42" t="s">
        <v>17</v>
      </c>
      <c r="D144" s="42">
        <v>6307.0</v>
      </c>
      <c r="E144" s="38" t="s">
        <v>3532</v>
      </c>
      <c r="F144" s="42" t="s">
        <v>3533</v>
      </c>
      <c r="G144" s="38" t="s">
        <v>3534</v>
      </c>
      <c r="H144" s="38" t="s">
        <v>3535</v>
      </c>
      <c r="I144" s="38" t="s">
        <v>3536</v>
      </c>
      <c r="J144" s="38" t="s">
        <v>3537</v>
      </c>
    </row>
    <row r="145" ht="26.25" customHeight="1">
      <c r="A145" s="113" t="s">
        <v>1225</v>
      </c>
      <c r="B145" s="35">
        <v>2022.0</v>
      </c>
      <c r="C145" s="40" t="s">
        <v>17</v>
      </c>
      <c r="D145" s="40">
        <v>6052.0</v>
      </c>
      <c r="E145" s="39" t="s">
        <v>3538</v>
      </c>
      <c r="F145" s="41" t="s">
        <v>3539</v>
      </c>
      <c r="G145" s="39" t="s">
        <v>3540</v>
      </c>
      <c r="H145" s="39" t="s">
        <v>3541</v>
      </c>
      <c r="I145" s="39" t="s">
        <v>2926</v>
      </c>
      <c r="J145" s="39" t="s">
        <v>3542</v>
      </c>
    </row>
    <row r="146" ht="26.25" customHeight="1">
      <c r="A146" s="113" t="s">
        <v>1231</v>
      </c>
      <c r="B146" s="35">
        <v>2022.0</v>
      </c>
      <c r="C146" s="35" t="s">
        <v>17</v>
      </c>
      <c r="D146" s="35">
        <v>1043.0</v>
      </c>
      <c r="E146" s="37" t="s">
        <v>3059</v>
      </c>
      <c r="F146" s="35" t="s">
        <v>3060</v>
      </c>
      <c r="G146" s="37" t="s">
        <v>3061</v>
      </c>
      <c r="H146" s="39" t="s">
        <v>3543</v>
      </c>
      <c r="I146" s="39" t="s">
        <v>3063</v>
      </c>
      <c r="J146" s="39" t="s">
        <v>3064</v>
      </c>
    </row>
    <row r="147" ht="26.25" customHeight="1">
      <c r="A147" s="113" t="s">
        <v>1235</v>
      </c>
      <c r="B147" s="35">
        <v>2022.0</v>
      </c>
      <c r="C147" s="40" t="s">
        <v>18</v>
      </c>
      <c r="D147" s="40">
        <v>541.0</v>
      </c>
      <c r="E147" s="39" t="s">
        <v>3544</v>
      </c>
      <c r="F147" s="41" t="s">
        <v>3545</v>
      </c>
      <c r="G147" s="39" t="s">
        <v>3546</v>
      </c>
      <c r="H147" s="39" t="s">
        <v>3547</v>
      </c>
      <c r="I147" s="39" t="s">
        <v>2944</v>
      </c>
      <c r="J147" s="39" t="s">
        <v>3548</v>
      </c>
    </row>
    <row r="148" ht="26.25" customHeight="1">
      <c r="A148" s="113" t="s">
        <v>1241</v>
      </c>
      <c r="B148" s="35">
        <v>2022.0</v>
      </c>
      <c r="C148" s="40" t="s">
        <v>18</v>
      </c>
      <c r="D148" s="17">
        <v>4867.0</v>
      </c>
      <c r="E148" s="36" t="s">
        <v>3549</v>
      </c>
      <c r="F148" s="43" t="s">
        <v>3550</v>
      </c>
      <c r="G148" s="37"/>
      <c r="H148" s="36" t="s">
        <v>3551</v>
      </c>
      <c r="I148" s="38" t="s">
        <v>2983</v>
      </c>
      <c r="J148" s="39" t="s">
        <v>3552</v>
      </c>
    </row>
    <row r="149" ht="26.25" customHeight="1">
      <c r="A149" s="113" t="s">
        <v>1246</v>
      </c>
      <c r="B149" s="35">
        <v>2022.0</v>
      </c>
      <c r="C149" s="40" t="s">
        <v>18</v>
      </c>
      <c r="D149" s="17">
        <v>6486.0</v>
      </c>
      <c r="E149" s="36" t="s">
        <v>3553</v>
      </c>
      <c r="F149" s="48" t="s">
        <v>3554</v>
      </c>
      <c r="G149" s="39" t="s">
        <v>3555</v>
      </c>
      <c r="H149" s="36" t="s">
        <v>3556</v>
      </c>
      <c r="I149" s="39" t="s">
        <v>633</v>
      </c>
      <c r="J149" s="39" t="s">
        <v>3557</v>
      </c>
    </row>
    <row r="150" ht="26.25" customHeight="1">
      <c r="A150" s="113" t="s">
        <v>1252</v>
      </c>
      <c r="B150" s="35">
        <v>2022.0</v>
      </c>
      <c r="C150" s="42" t="s">
        <v>18</v>
      </c>
      <c r="D150" s="42">
        <v>6045.0</v>
      </c>
      <c r="E150" s="38" t="s">
        <v>3558</v>
      </c>
      <c r="F150" s="43" t="s">
        <v>3559</v>
      </c>
      <c r="G150" s="38" t="s">
        <v>3560</v>
      </c>
      <c r="H150" s="38" t="s">
        <v>3561</v>
      </c>
      <c r="I150" s="38" t="s">
        <v>2938</v>
      </c>
      <c r="J150" s="38" t="s">
        <v>3562</v>
      </c>
    </row>
    <row r="151" ht="26.25" customHeight="1">
      <c r="A151" s="113" t="s">
        <v>1999</v>
      </c>
      <c r="B151" s="35">
        <v>2022.0</v>
      </c>
      <c r="C151" s="40" t="s">
        <v>18</v>
      </c>
      <c r="D151" s="40">
        <v>6442.0</v>
      </c>
      <c r="E151" s="39" t="s">
        <v>3563</v>
      </c>
      <c r="F151" s="41" t="s">
        <v>3564</v>
      </c>
      <c r="G151" s="37"/>
      <c r="H151" s="39" t="s">
        <v>3565</v>
      </c>
      <c r="I151" s="39" t="s">
        <v>3187</v>
      </c>
      <c r="J151" s="39" t="s">
        <v>3566</v>
      </c>
    </row>
    <row r="152" ht="26.25" customHeight="1">
      <c r="A152" s="113" t="s">
        <v>2002</v>
      </c>
      <c r="B152" s="35">
        <v>2022.0</v>
      </c>
      <c r="C152" s="40" t="s">
        <v>19</v>
      </c>
      <c r="D152" s="117">
        <v>6899.0</v>
      </c>
      <c r="E152" s="118" t="s">
        <v>3567</v>
      </c>
      <c r="F152" s="119" t="s">
        <v>3568</v>
      </c>
      <c r="G152" s="118" t="s">
        <v>3569</v>
      </c>
      <c r="H152" s="118" t="s">
        <v>3570</v>
      </c>
      <c r="I152" s="118" t="s">
        <v>2932</v>
      </c>
      <c r="J152" s="118" t="s">
        <v>3571</v>
      </c>
    </row>
    <row r="153" ht="26.25" customHeight="1">
      <c r="A153" s="113" t="s">
        <v>2008</v>
      </c>
      <c r="B153" s="35">
        <v>2022.0</v>
      </c>
      <c r="C153" s="40" t="s">
        <v>19</v>
      </c>
      <c r="D153" s="40">
        <v>6455.0</v>
      </c>
      <c r="E153" s="39" t="s">
        <v>3572</v>
      </c>
      <c r="F153" s="41" t="s">
        <v>3573</v>
      </c>
      <c r="G153" s="39" t="s">
        <v>3574</v>
      </c>
      <c r="H153" s="39" t="s">
        <v>3575</v>
      </c>
      <c r="I153" s="39" t="s">
        <v>2932</v>
      </c>
      <c r="J153" s="39" t="s">
        <v>3576</v>
      </c>
    </row>
    <row r="154" ht="26.25" customHeight="1">
      <c r="A154" s="113" t="s">
        <v>2010</v>
      </c>
      <c r="B154" s="35">
        <v>2022.0</v>
      </c>
      <c r="C154" s="40" t="s">
        <v>19</v>
      </c>
      <c r="D154" s="40">
        <v>6899.0</v>
      </c>
      <c r="E154" s="39" t="s">
        <v>3567</v>
      </c>
      <c r="F154" s="41" t="s">
        <v>3568</v>
      </c>
      <c r="G154" s="39" t="s">
        <v>3569</v>
      </c>
      <c r="H154" s="39" t="s">
        <v>3577</v>
      </c>
      <c r="I154" s="39" t="s">
        <v>2932</v>
      </c>
      <c r="J154" s="39" t="s">
        <v>3571</v>
      </c>
    </row>
    <row r="155" ht="26.25" customHeight="1">
      <c r="A155" s="113" t="s">
        <v>2016</v>
      </c>
      <c r="B155" s="35">
        <v>2022.0</v>
      </c>
      <c r="C155" s="40" t="s">
        <v>20</v>
      </c>
      <c r="D155" s="40">
        <v>7090.0</v>
      </c>
      <c r="E155" s="39" t="s">
        <v>3578</v>
      </c>
      <c r="F155" s="41" t="s">
        <v>3579</v>
      </c>
      <c r="G155" s="39" t="s">
        <v>3580</v>
      </c>
      <c r="H155" s="120" t="s">
        <v>3581</v>
      </c>
      <c r="I155" s="39" t="s">
        <v>633</v>
      </c>
      <c r="J155" s="39" t="s">
        <v>3582</v>
      </c>
    </row>
    <row r="156" ht="26.25" customHeight="1">
      <c r="A156" s="113" t="s">
        <v>2018</v>
      </c>
      <c r="B156" s="35">
        <v>2022.0</v>
      </c>
      <c r="C156" s="40" t="s">
        <v>20</v>
      </c>
      <c r="D156" s="40">
        <v>7163.0</v>
      </c>
      <c r="E156" s="39" t="s">
        <v>3583</v>
      </c>
      <c r="F156" s="41" t="s">
        <v>3584</v>
      </c>
      <c r="G156" s="37"/>
      <c r="H156" s="39" t="s">
        <v>3585</v>
      </c>
      <c r="I156" s="39" t="s">
        <v>3088</v>
      </c>
      <c r="J156" s="39" t="s">
        <v>3586</v>
      </c>
    </row>
    <row r="157" ht="26.25" customHeight="1">
      <c r="A157" s="113" t="s">
        <v>2024</v>
      </c>
      <c r="B157" s="35">
        <v>2022.0</v>
      </c>
      <c r="C157" s="17" t="s">
        <v>20</v>
      </c>
      <c r="D157" s="17">
        <v>7063.0</v>
      </c>
      <c r="E157" s="37" t="s">
        <v>3587</v>
      </c>
      <c r="F157" s="41" t="s">
        <v>3588</v>
      </c>
      <c r="G157" s="39" t="s">
        <v>3589</v>
      </c>
      <c r="H157" s="37" t="s">
        <v>3590</v>
      </c>
      <c r="I157" s="39" t="s">
        <v>2938</v>
      </c>
      <c r="J157" s="39" t="s">
        <v>3591</v>
      </c>
    </row>
    <row r="158" ht="26.25" customHeight="1">
      <c r="A158" s="113" t="s">
        <v>2029</v>
      </c>
      <c r="B158" s="35">
        <v>2022.0</v>
      </c>
      <c r="C158" s="17" t="s">
        <v>20</v>
      </c>
      <c r="D158" s="42">
        <v>7120.0</v>
      </c>
      <c r="E158" s="38" t="s">
        <v>3592</v>
      </c>
      <c r="F158" s="42" t="s">
        <v>3593</v>
      </c>
      <c r="G158" s="39" t="s">
        <v>3594</v>
      </c>
      <c r="H158" s="37" t="s">
        <v>3595</v>
      </c>
      <c r="I158" s="38" t="s">
        <v>2944</v>
      </c>
      <c r="J158" s="39" t="s">
        <v>3596</v>
      </c>
    </row>
    <row r="159" ht="26.25" customHeight="1">
      <c r="A159" s="113" t="s">
        <v>2031</v>
      </c>
      <c r="B159" s="35">
        <v>2022.0</v>
      </c>
      <c r="C159" s="40" t="s">
        <v>20</v>
      </c>
      <c r="D159" s="40">
        <v>1808.0</v>
      </c>
      <c r="E159" s="39" t="s">
        <v>3245</v>
      </c>
      <c r="F159" s="40" t="s">
        <v>3246</v>
      </c>
      <c r="G159" s="39" t="s">
        <v>3247</v>
      </c>
      <c r="H159" s="39" t="s">
        <v>3597</v>
      </c>
      <c r="I159" s="39" t="s">
        <v>633</v>
      </c>
      <c r="J159" s="39" t="s">
        <v>3249</v>
      </c>
    </row>
    <row r="160" ht="26.25" customHeight="1">
      <c r="A160" s="113" t="s">
        <v>2037</v>
      </c>
      <c r="B160" s="35">
        <v>2022.0</v>
      </c>
      <c r="C160" s="40" t="s">
        <v>20</v>
      </c>
      <c r="D160" s="40">
        <v>6994.0</v>
      </c>
      <c r="E160" s="39" t="s">
        <v>3598</v>
      </c>
      <c r="F160" s="41" t="s">
        <v>3599</v>
      </c>
      <c r="G160" s="39" t="s">
        <v>3600</v>
      </c>
      <c r="H160" s="39" t="s">
        <v>3601</v>
      </c>
      <c r="I160" s="39" t="s">
        <v>3602</v>
      </c>
      <c r="J160" s="39" t="s">
        <v>3603</v>
      </c>
    </row>
    <row r="161" ht="26.25" customHeight="1">
      <c r="A161" s="113" t="s">
        <v>2043</v>
      </c>
      <c r="B161" s="35">
        <v>2022.0</v>
      </c>
      <c r="C161" s="40" t="s">
        <v>20</v>
      </c>
      <c r="D161" s="40">
        <v>7061.0</v>
      </c>
      <c r="E161" s="39" t="s">
        <v>3604</v>
      </c>
      <c r="F161" s="41" t="s">
        <v>3605</v>
      </c>
      <c r="G161" s="39" t="s">
        <v>3606</v>
      </c>
      <c r="H161" s="39" t="s">
        <v>3607</v>
      </c>
      <c r="I161" s="39" t="s">
        <v>2938</v>
      </c>
      <c r="J161" s="39" t="s">
        <v>3608</v>
      </c>
    </row>
    <row r="162" ht="26.25" customHeight="1">
      <c r="A162" s="113" t="s">
        <v>2045</v>
      </c>
      <c r="B162" s="35">
        <v>2022.0</v>
      </c>
      <c r="C162" s="40" t="s">
        <v>20</v>
      </c>
      <c r="D162" s="40">
        <v>7081.0</v>
      </c>
      <c r="E162" s="39" t="s">
        <v>3609</v>
      </c>
      <c r="F162" s="41" t="s">
        <v>3610</v>
      </c>
      <c r="G162" s="120" t="s">
        <v>3611</v>
      </c>
      <c r="H162" s="39" t="s">
        <v>1340</v>
      </c>
      <c r="I162" s="39" t="s">
        <v>633</v>
      </c>
      <c r="J162" s="39" t="s">
        <v>3612</v>
      </c>
    </row>
    <row r="163" ht="26.25" customHeight="1">
      <c r="A163" s="113" t="s">
        <v>2052</v>
      </c>
      <c r="B163" s="35">
        <v>2022.0</v>
      </c>
      <c r="C163" s="40" t="s">
        <v>21</v>
      </c>
      <c r="D163" s="40">
        <v>7434.0</v>
      </c>
      <c r="E163" s="39" t="s">
        <v>3613</v>
      </c>
      <c r="F163" s="41" t="s">
        <v>3614</v>
      </c>
      <c r="G163" s="39" t="s">
        <v>3615</v>
      </c>
      <c r="H163" s="38" t="s">
        <v>3616</v>
      </c>
      <c r="I163" s="39" t="s">
        <v>633</v>
      </c>
      <c r="J163" s="39" t="s">
        <v>3617</v>
      </c>
    </row>
    <row r="164" ht="26.25" customHeight="1">
      <c r="A164" s="113" t="s">
        <v>2057</v>
      </c>
      <c r="B164" s="35">
        <v>2022.0</v>
      </c>
      <c r="C164" s="40" t="s">
        <v>21</v>
      </c>
      <c r="D164" s="40">
        <v>7437.0</v>
      </c>
      <c r="E164" s="39" t="s">
        <v>3618</v>
      </c>
      <c r="F164" s="41" t="s">
        <v>3619</v>
      </c>
      <c r="G164" s="39" t="s">
        <v>3620</v>
      </c>
      <c r="H164" s="38" t="s">
        <v>3621</v>
      </c>
      <c r="I164" s="39" t="s">
        <v>633</v>
      </c>
      <c r="J164" s="39" t="s">
        <v>3622</v>
      </c>
    </row>
    <row r="165" ht="26.25" customHeight="1">
      <c r="A165" s="113" t="s">
        <v>2063</v>
      </c>
      <c r="B165" s="35">
        <v>2022.0</v>
      </c>
      <c r="C165" s="40" t="s">
        <v>21</v>
      </c>
      <c r="D165" s="40">
        <v>7486.0</v>
      </c>
      <c r="E165" s="39" t="s">
        <v>3623</v>
      </c>
      <c r="F165" s="41" t="s">
        <v>3624</v>
      </c>
      <c r="G165" s="39" t="s">
        <v>3625</v>
      </c>
      <c r="H165" s="38" t="s">
        <v>3626</v>
      </c>
      <c r="I165" s="39" t="s">
        <v>2926</v>
      </c>
      <c r="J165" s="39" t="s">
        <v>3627</v>
      </c>
    </row>
    <row r="166" ht="26.25" customHeight="1">
      <c r="A166" s="113" t="s">
        <v>2065</v>
      </c>
      <c r="B166" s="35">
        <v>2022.0</v>
      </c>
      <c r="C166" s="17" t="s">
        <v>21</v>
      </c>
      <c r="D166" s="17">
        <v>4723.0</v>
      </c>
      <c r="E166" s="36" t="s">
        <v>3374</v>
      </c>
      <c r="F166" s="43" t="s">
        <v>3628</v>
      </c>
      <c r="G166" s="36" t="s">
        <v>3629</v>
      </c>
      <c r="H166" s="38" t="s">
        <v>3630</v>
      </c>
      <c r="I166" s="38" t="s">
        <v>2944</v>
      </c>
      <c r="J166" s="39" t="s">
        <v>3378</v>
      </c>
    </row>
    <row r="167" ht="26.25" customHeight="1">
      <c r="A167" s="113" t="s">
        <v>2071</v>
      </c>
      <c r="B167" s="35">
        <v>2022.0</v>
      </c>
      <c r="C167" s="17" t="s">
        <v>21</v>
      </c>
      <c r="D167" s="17">
        <v>7479.0</v>
      </c>
      <c r="E167" s="36" t="s">
        <v>3631</v>
      </c>
      <c r="F167" s="17" t="s">
        <v>3632</v>
      </c>
      <c r="G167" s="36" t="s">
        <v>3633</v>
      </c>
      <c r="H167" s="38" t="s">
        <v>3634</v>
      </c>
      <c r="I167" s="38" t="s">
        <v>2944</v>
      </c>
      <c r="J167" s="39" t="s">
        <v>3635</v>
      </c>
    </row>
    <row r="168" ht="26.25" customHeight="1">
      <c r="A168" s="113" t="s">
        <v>2077</v>
      </c>
      <c r="B168" s="35">
        <v>2022.0</v>
      </c>
      <c r="C168" s="17" t="s">
        <v>21</v>
      </c>
      <c r="D168" s="17">
        <v>4723.0</v>
      </c>
      <c r="E168" s="36" t="s">
        <v>3374</v>
      </c>
      <c r="F168" s="43" t="s">
        <v>3628</v>
      </c>
      <c r="G168" s="36" t="s">
        <v>3629</v>
      </c>
      <c r="H168" s="38" t="s">
        <v>3636</v>
      </c>
      <c r="I168" s="38" t="s">
        <v>2944</v>
      </c>
      <c r="J168" s="39" t="s">
        <v>3378</v>
      </c>
    </row>
    <row r="169" ht="26.25" customHeight="1">
      <c r="A169" s="113" t="s">
        <v>2083</v>
      </c>
      <c r="B169" s="35">
        <v>2022.0</v>
      </c>
      <c r="C169" s="17" t="s">
        <v>22</v>
      </c>
      <c r="D169" s="17">
        <v>7730.0</v>
      </c>
      <c r="E169" s="36" t="s">
        <v>3637</v>
      </c>
      <c r="F169" s="48" t="s">
        <v>3638</v>
      </c>
      <c r="G169" s="36" t="s">
        <v>3639</v>
      </c>
      <c r="H169" s="38" t="s">
        <v>3640</v>
      </c>
      <c r="I169" s="39" t="s">
        <v>2926</v>
      </c>
      <c r="J169" s="39" t="s">
        <v>3641</v>
      </c>
    </row>
    <row r="170" ht="26.25" customHeight="1">
      <c r="A170" s="113" t="s">
        <v>2088</v>
      </c>
      <c r="B170" s="35">
        <v>2022.0</v>
      </c>
      <c r="C170" s="17" t="s">
        <v>22</v>
      </c>
      <c r="D170" s="42">
        <v>7624.0</v>
      </c>
      <c r="E170" s="38" t="s">
        <v>3642</v>
      </c>
      <c r="F170" s="42" t="s">
        <v>3643</v>
      </c>
      <c r="G170" s="36"/>
      <c r="H170" s="38" t="s">
        <v>3644</v>
      </c>
      <c r="I170" s="39" t="s">
        <v>2932</v>
      </c>
      <c r="J170" s="39" t="s">
        <v>3645</v>
      </c>
    </row>
    <row r="171" ht="26.25" customHeight="1">
      <c r="A171" s="113" t="s">
        <v>2094</v>
      </c>
      <c r="B171" s="35">
        <v>2022.0</v>
      </c>
      <c r="C171" s="40" t="s">
        <v>22</v>
      </c>
      <c r="D171" s="40">
        <v>7481.0</v>
      </c>
      <c r="E171" s="39" t="s">
        <v>3646</v>
      </c>
      <c r="F171" s="41" t="s">
        <v>3647</v>
      </c>
      <c r="G171" s="37"/>
      <c r="H171" s="39" t="s">
        <v>3648</v>
      </c>
      <c r="I171" s="39" t="s">
        <v>3462</v>
      </c>
      <c r="J171" s="39" t="s">
        <v>3649</v>
      </c>
    </row>
    <row r="172" ht="26.25" customHeight="1">
      <c r="A172" s="113" t="s">
        <v>2099</v>
      </c>
      <c r="B172" s="35">
        <v>2022.0</v>
      </c>
      <c r="C172" s="17" t="s">
        <v>22</v>
      </c>
      <c r="D172" s="17">
        <v>7858.0</v>
      </c>
      <c r="E172" s="36" t="s">
        <v>3650</v>
      </c>
      <c r="F172" s="43" t="s">
        <v>3651</v>
      </c>
      <c r="G172" s="36" t="s">
        <v>3652</v>
      </c>
      <c r="H172" s="36" t="s">
        <v>3653</v>
      </c>
      <c r="I172" s="39" t="s">
        <v>2938</v>
      </c>
      <c r="J172" s="39" t="s">
        <v>3654</v>
      </c>
    </row>
    <row r="173" ht="26.25" customHeight="1">
      <c r="A173" s="113" t="s">
        <v>2101</v>
      </c>
      <c r="B173" s="35">
        <v>2023.0</v>
      </c>
      <c r="C173" s="40" t="s">
        <v>11</v>
      </c>
      <c r="D173" s="40">
        <v>4723.0</v>
      </c>
      <c r="E173" s="39" t="s">
        <v>3374</v>
      </c>
      <c r="F173" s="41" t="s">
        <v>3628</v>
      </c>
      <c r="G173" s="39" t="s">
        <v>3655</v>
      </c>
      <c r="H173" s="39" t="s">
        <v>3656</v>
      </c>
      <c r="I173" s="39" t="s">
        <v>2944</v>
      </c>
      <c r="J173" s="39" t="s">
        <v>3378</v>
      </c>
    </row>
    <row r="174" ht="26.25" customHeight="1">
      <c r="A174" s="113" t="s">
        <v>2107</v>
      </c>
      <c r="B174" s="35">
        <v>2023.0</v>
      </c>
      <c r="C174" s="40" t="s">
        <v>11</v>
      </c>
      <c r="D174" s="40">
        <v>7573.0</v>
      </c>
      <c r="E174" s="39" t="s">
        <v>3657</v>
      </c>
      <c r="F174" s="41" t="s">
        <v>3658</v>
      </c>
      <c r="G174" s="39" t="s">
        <v>3659</v>
      </c>
      <c r="H174" s="39" t="s">
        <v>3657</v>
      </c>
      <c r="I174" s="39" t="s">
        <v>2938</v>
      </c>
      <c r="J174" s="39" t="s">
        <v>3660</v>
      </c>
    </row>
    <row r="175" ht="26.25" customHeight="1">
      <c r="A175" s="113" t="s">
        <v>2109</v>
      </c>
      <c r="B175" s="35">
        <v>2023.0</v>
      </c>
      <c r="C175" s="40" t="s">
        <v>11</v>
      </c>
      <c r="D175" s="40">
        <v>7975.0</v>
      </c>
      <c r="E175" s="39" t="s">
        <v>3661</v>
      </c>
      <c r="F175" s="41" t="s">
        <v>3662</v>
      </c>
      <c r="G175" s="39" t="s">
        <v>3663</v>
      </c>
      <c r="H175" s="39" t="s">
        <v>3664</v>
      </c>
      <c r="I175" s="39" t="s">
        <v>2926</v>
      </c>
      <c r="J175" s="39" t="s">
        <v>3665</v>
      </c>
    </row>
    <row r="176" ht="26.25" customHeight="1">
      <c r="A176" s="113" t="s">
        <v>2115</v>
      </c>
      <c r="B176" s="35">
        <v>2023.0</v>
      </c>
      <c r="C176" s="35" t="s">
        <v>11</v>
      </c>
      <c r="D176" s="35">
        <v>6700.0</v>
      </c>
      <c r="E176" s="39" t="s">
        <v>3666</v>
      </c>
      <c r="F176" s="41" t="s">
        <v>3667</v>
      </c>
      <c r="G176" s="37"/>
      <c r="H176" s="39" t="s">
        <v>3668</v>
      </c>
      <c r="I176" s="39" t="s">
        <v>2983</v>
      </c>
      <c r="J176" s="39" t="s">
        <v>3669</v>
      </c>
    </row>
    <row r="177" ht="26.25" customHeight="1">
      <c r="A177" s="113" t="s">
        <v>2117</v>
      </c>
      <c r="B177" s="35">
        <v>2023.0</v>
      </c>
      <c r="C177" s="40" t="s">
        <v>11</v>
      </c>
      <c r="D177" s="40">
        <v>7934.0</v>
      </c>
      <c r="E177" s="39" t="s">
        <v>3670</v>
      </c>
      <c r="F177" s="41" t="s">
        <v>3671</v>
      </c>
      <c r="G177" s="39" t="s">
        <v>3672</v>
      </c>
      <c r="H177" s="39" t="s">
        <v>3673</v>
      </c>
      <c r="I177" s="39" t="s">
        <v>2983</v>
      </c>
      <c r="J177" s="39" t="s">
        <v>3674</v>
      </c>
    </row>
    <row r="178" ht="26.25" customHeight="1">
      <c r="A178" s="113" t="s">
        <v>2123</v>
      </c>
      <c r="B178" s="35">
        <v>2023.0</v>
      </c>
      <c r="C178" s="40" t="s">
        <v>11</v>
      </c>
      <c r="D178" s="40">
        <v>8068.0</v>
      </c>
      <c r="E178" s="39" t="s">
        <v>3675</v>
      </c>
      <c r="F178" s="41" t="s">
        <v>3676</v>
      </c>
      <c r="G178" s="39" t="s">
        <v>3677</v>
      </c>
      <c r="H178" s="39" t="s">
        <v>3678</v>
      </c>
      <c r="I178" s="39" t="s">
        <v>3357</v>
      </c>
      <c r="J178" s="39" t="s">
        <v>3679</v>
      </c>
    </row>
    <row r="179" ht="26.25" customHeight="1">
      <c r="A179" s="113" t="s">
        <v>2129</v>
      </c>
      <c r="B179" s="17">
        <v>2023.0</v>
      </c>
      <c r="C179" s="42" t="s">
        <v>12</v>
      </c>
      <c r="D179" s="42">
        <v>8258.0</v>
      </c>
      <c r="E179" s="38" t="s">
        <v>3479</v>
      </c>
      <c r="F179" s="43" t="s">
        <v>3680</v>
      </c>
      <c r="G179" s="38" t="s">
        <v>3681</v>
      </c>
      <c r="H179" s="38" t="s">
        <v>3682</v>
      </c>
      <c r="I179" s="39" t="s">
        <v>2926</v>
      </c>
      <c r="J179" s="38" t="s">
        <v>3683</v>
      </c>
    </row>
    <row r="180" ht="26.25" customHeight="1">
      <c r="A180" s="113" t="s">
        <v>2135</v>
      </c>
      <c r="B180" s="35">
        <v>2023.0</v>
      </c>
      <c r="C180" s="40" t="s">
        <v>12</v>
      </c>
      <c r="D180" s="40">
        <v>7985.0</v>
      </c>
      <c r="E180" s="39" t="s">
        <v>3684</v>
      </c>
      <c r="F180" s="41" t="s">
        <v>3685</v>
      </c>
      <c r="G180" s="39" t="s">
        <v>3686</v>
      </c>
      <c r="H180" s="39" t="s">
        <v>3687</v>
      </c>
      <c r="I180" s="38" t="s">
        <v>2950</v>
      </c>
      <c r="J180" s="39" t="s">
        <v>3688</v>
      </c>
    </row>
    <row r="181" ht="26.25" customHeight="1">
      <c r="A181" s="113" t="s">
        <v>2138</v>
      </c>
      <c r="B181" s="35">
        <v>2023.0</v>
      </c>
      <c r="C181" s="40" t="s">
        <v>12</v>
      </c>
      <c r="D181" s="40">
        <v>4896.0</v>
      </c>
      <c r="E181" s="39" t="s">
        <v>3488</v>
      </c>
      <c r="F181" s="40" t="s">
        <v>3489</v>
      </c>
      <c r="G181" s="37"/>
      <c r="H181" s="39" t="s">
        <v>3689</v>
      </c>
      <c r="I181" s="39" t="s">
        <v>2944</v>
      </c>
      <c r="J181" s="39" t="s">
        <v>3491</v>
      </c>
    </row>
    <row r="182" ht="26.25" customHeight="1">
      <c r="A182" s="113" t="s">
        <v>2142</v>
      </c>
      <c r="B182" s="35">
        <v>2023.0</v>
      </c>
      <c r="C182" s="35" t="s">
        <v>12</v>
      </c>
      <c r="D182" s="35">
        <v>6700.0</v>
      </c>
      <c r="E182" s="39" t="s">
        <v>3666</v>
      </c>
      <c r="F182" s="41" t="s">
        <v>3667</v>
      </c>
      <c r="G182" s="37"/>
      <c r="H182" s="39" t="s">
        <v>3690</v>
      </c>
      <c r="I182" s="39" t="s">
        <v>2983</v>
      </c>
      <c r="J182" s="39" t="s">
        <v>3669</v>
      </c>
    </row>
    <row r="183" ht="26.25" customHeight="1">
      <c r="A183" s="113" t="s">
        <v>2148</v>
      </c>
      <c r="B183" s="35">
        <v>2023.0</v>
      </c>
      <c r="C183" s="17" t="s">
        <v>12</v>
      </c>
      <c r="D183" s="17">
        <v>4723.0</v>
      </c>
      <c r="E183" s="36" t="s">
        <v>3374</v>
      </c>
      <c r="F183" s="43" t="s">
        <v>3628</v>
      </c>
      <c r="G183" s="36" t="s">
        <v>3629</v>
      </c>
      <c r="H183" s="38" t="s">
        <v>3691</v>
      </c>
      <c r="I183" s="38" t="s">
        <v>2944</v>
      </c>
      <c r="J183" s="39" t="s">
        <v>3378</v>
      </c>
    </row>
    <row r="184" ht="26.25" customHeight="1">
      <c r="A184" s="113" t="s">
        <v>2150</v>
      </c>
      <c r="B184" s="35">
        <v>2023.0</v>
      </c>
      <c r="C184" s="17" t="s">
        <v>12</v>
      </c>
      <c r="D184" s="17">
        <v>7229.0</v>
      </c>
      <c r="E184" s="36" t="s">
        <v>3692</v>
      </c>
      <c r="F184" s="43" t="s">
        <v>3693</v>
      </c>
      <c r="G184" s="36" t="s">
        <v>3694</v>
      </c>
      <c r="H184" s="38" t="s">
        <v>3695</v>
      </c>
      <c r="I184" s="38" t="s">
        <v>2932</v>
      </c>
      <c r="J184" s="39" t="s">
        <v>3696</v>
      </c>
    </row>
    <row r="185" ht="26.25" customHeight="1">
      <c r="A185" s="113" t="s">
        <v>2156</v>
      </c>
      <c r="B185" s="35">
        <v>2023.0</v>
      </c>
      <c r="C185" s="40" t="s">
        <v>13</v>
      </c>
      <c r="D185" s="40">
        <v>8535.0</v>
      </c>
      <c r="E185" s="39" t="s">
        <v>3697</v>
      </c>
      <c r="F185" s="41" t="s">
        <v>3698</v>
      </c>
      <c r="G185" s="39" t="s">
        <v>3699</v>
      </c>
      <c r="H185" s="39" t="s">
        <v>3700</v>
      </c>
      <c r="I185" s="39" t="s">
        <v>2926</v>
      </c>
      <c r="J185" s="39" t="s">
        <v>3701</v>
      </c>
    </row>
    <row r="186" ht="26.25" customHeight="1">
      <c r="A186" s="113" t="s">
        <v>2160</v>
      </c>
      <c r="B186" s="35">
        <v>2023.0</v>
      </c>
      <c r="C186" s="40" t="s">
        <v>13</v>
      </c>
      <c r="D186" s="40">
        <v>8444.0</v>
      </c>
      <c r="E186" s="39" t="s">
        <v>3702</v>
      </c>
      <c r="F186" s="41" t="s">
        <v>3703</v>
      </c>
      <c r="G186" s="39" t="s">
        <v>3704</v>
      </c>
      <c r="H186" s="39" t="s">
        <v>3705</v>
      </c>
      <c r="I186" s="39" t="s">
        <v>2926</v>
      </c>
      <c r="J186" s="39" t="s">
        <v>3706</v>
      </c>
    </row>
    <row r="187" ht="26.25" customHeight="1">
      <c r="A187" s="113" t="s">
        <v>2165</v>
      </c>
      <c r="B187" s="35">
        <v>2023.0</v>
      </c>
      <c r="C187" s="40" t="s">
        <v>13</v>
      </c>
      <c r="D187" s="40">
        <v>8355.0</v>
      </c>
      <c r="E187" s="39" t="s">
        <v>3707</v>
      </c>
      <c r="F187" s="41" t="s">
        <v>3708</v>
      </c>
      <c r="G187" s="37"/>
      <c r="H187" s="39" t="s">
        <v>3709</v>
      </c>
      <c r="I187" s="39" t="s">
        <v>3139</v>
      </c>
      <c r="J187" s="39" t="s">
        <v>3710</v>
      </c>
    </row>
    <row r="188" ht="26.25" customHeight="1">
      <c r="A188" s="113" t="s">
        <v>2170</v>
      </c>
      <c r="B188" s="35">
        <v>2023.0</v>
      </c>
      <c r="C188" s="40" t="s">
        <v>13</v>
      </c>
      <c r="D188" s="40">
        <v>8551.0</v>
      </c>
      <c r="E188" s="39" t="s">
        <v>3711</v>
      </c>
      <c r="F188" s="41" t="s">
        <v>3712</v>
      </c>
      <c r="G188" s="37"/>
      <c r="H188" s="39" t="s">
        <v>3713</v>
      </c>
      <c r="I188" s="39" t="s">
        <v>2938</v>
      </c>
      <c r="J188" s="39" t="s">
        <v>3714</v>
      </c>
    </row>
    <row r="189" ht="26.25" customHeight="1">
      <c r="A189" s="113" t="s">
        <v>2176</v>
      </c>
      <c r="B189" s="35">
        <v>2023.0</v>
      </c>
      <c r="C189" s="17" t="s">
        <v>13</v>
      </c>
      <c r="D189" s="17">
        <v>4723.0</v>
      </c>
      <c r="E189" s="36" t="s">
        <v>3374</v>
      </c>
      <c r="F189" s="43" t="s">
        <v>3628</v>
      </c>
      <c r="G189" s="36" t="s">
        <v>3629</v>
      </c>
      <c r="H189" s="36" t="s">
        <v>3715</v>
      </c>
      <c r="I189" s="38" t="s">
        <v>2944</v>
      </c>
      <c r="J189" s="39" t="s">
        <v>3378</v>
      </c>
    </row>
    <row r="190" ht="26.25" customHeight="1">
      <c r="A190" s="113" t="s">
        <v>2182</v>
      </c>
      <c r="B190" s="35">
        <v>2023.0</v>
      </c>
      <c r="C190" s="40" t="s">
        <v>13</v>
      </c>
      <c r="D190" s="40">
        <v>8513.0</v>
      </c>
      <c r="E190" s="39" t="s">
        <v>3716</v>
      </c>
      <c r="F190" s="41" t="s">
        <v>3717</v>
      </c>
      <c r="G190" s="39" t="s">
        <v>3718</v>
      </c>
      <c r="H190" s="39" t="s">
        <v>3719</v>
      </c>
      <c r="I190" s="39" t="s">
        <v>2944</v>
      </c>
      <c r="J190" s="39" t="s">
        <v>3720</v>
      </c>
    </row>
    <row r="191" ht="26.25" customHeight="1">
      <c r="A191" s="113" t="s">
        <v>2187</v>
      </c>
      <c r="B191" s="35">
        <v>2023.0</v>
      </c>
      <c r="C191" s="40" t="s">
        <v>13</v>
      </c>
      <c r="D191" s="42">
        <v>8330.0</v>
      </c>
      <c r="E191" s="38" t="s">
        <v>3721</v>
      </c>
      <c r="F191" s="42" t="s">
        <v>3722</v>
      </c>
      <c r="G191" s="39" t="s">
        <v>3723</v>
      </c>
      <c r="H191" s="39" t="s">
        <v>3724</v>
      </c>
      <c r="I191" s="39" t="s">
        <v>2926</v>
      </c>
      <c r="J191" s="39" t="s">
        <v>3725</v>
      </c>
    </row>
    <row r="192" ht="26.25" customHeight="1">
      <c r="A192" s="113" t="s">
        <v>2192</v>
      </c>
      <c r="B192" s="35">
        <v>2023.0</v>
      </c>
      <c r="C192" s="40" t="s">
        <v>13</v>
      </c>
      <c r="D192" s="40">
        <v>4896.0</v>
      </c>
      <c r="E192" s="39" t="s">
        <v>3488</v>
      </c>
      <c r="F192" s="40" t="s">
        <v>3489</v>
      </c>
      <c r="G192" s="37"/>
      <c r="H192" s="39" t="s">
        <v>3726</v>
      </c>
      <c r="I192" s="39" t="s">
        <v>2944</v>
      </c>
      <c r="J192" s="39" t="s">
        <v>3491</v>
      </c>
    </row>
    <row r="193" ht="26.25" customHeight="1">
      <c r="A193" s="113" t="s">
        <v>2198</v>
      </c>
      <c r="B193" s="35">
        <v>2023.0</v>
      </c>
      <c r="C193" s="40" t="s">
        <v>13</v>
      </c>
      <c r="D193" s="40">
        <v>8460.0</v>
      </c>
      <c r="E193" s="39" t="s">
        <v>3727</v>
      </c>
      <c r="F193" s="41" t="s">
        <v>3728</v>
      </c>
      <c r="G193" s="39" t="s">
        <v>3729</v>
      </c>
      <c r="H193" s="39" t="s">
        <v>3730</v>
      </c>
      <c r="I193" s="39" t="s">
        <v>2938</v>
      </c>
      <c r="J193" s="39" t="s">
        <v>3731</v>
      </c>
    </row>
    <row r="194" ht="26.25" customHeight="1">
      <c r="A194" s="113" t="s">
        <v>2204</v>
      </c>
      <c r="B194" s="35">
        <v>2023.0</v>
      </c>
      <c r="C194" s="40" t="s">
        <v>14</v>
      </c>
      <c r="D194" s="40">
        <v>8761.0</v>
      </c>
      <c r="E194" s="39" t="s">
        <v>3732</v>
      </c>
      <c r="F194" s="41" t="s">
        <v>3733</v>
      </c>
      <c r="G194" s="37"/>
      <c r="H194" s="39" t="s">
        <v>3734</v>
      </c>
      <c r="I194" s="39" t="s">
        <v>3088</v>
      </c>
      <c r="J194" s="39" t="s">
        <v>3735</v>
      </c>
    </row>
    <row r="195" ht="26.25" customHeight="1">
      <c r="A195" s="113" t="s">
        <v>2210</v>
      </c>
      <c r="B195" s="35">
        <v>2023.0</v>
      </c>
      <c r="C195" s="40" t="s">
        <v>14</v>
      </c>
      <c r="D195" s="40">
        <v>8369.0</v>
      </c>
      <c r="E195" s="39" t="s">
        <v>3736</v>
      </c>
      <c r="F195" s="41" t="s">
        <v>3737</v>
      </c>
      <c r="G195" s="39" t="s">
        <v>3738</v>
      </c>
      <c r="H195" s="39" t="s">
        <v>3739</v>
      </c>
      <c r="I195" s="39" t="s">
        <v>2983</v>
      </c>
      <c r="J195" s="39" t="s">
        <v>3740</v>
      </c>
    </row>
    <row r="196" ht="26.25" customHeight="1">
      <c r="A196" s="113" t="s">
        <v>2214</v>
      </c>
      <c r="B196" s="35">
        <v>2023.0</v>
      </c>
      <c r="C196" s="40" t="s">
        <v>14</v>
      </c>
      <c r="D196" s="40">
        <v>2719.0</v>
      </c>
      <c r="E196" s="39" t="s">
        <v>3447</v>
      </c>
      <c r="F196" s="40" t="s">
        <v>3448</v>
      </c>
      <c r="G196" s="39" t="s">
        <v>3071</v>
      </c>
      <c r="H196" s="39" t="s">
        <v>3741</v>
      </c>
      <c r="I196" s="39" t="s">
        <v>2926</v>
      </c>
      <c r="J196" s="39" t="s">
        <v>3073</v>
      </c>
    </row>
    <row r="197" ht="26.25" customHeight="1">
      <c r="A197" s="113" t="s">
        <v>2220</v>
      </c>
      <c r="B197" s="35">
        <v>2023.0</v>
      </c>
      <c r="C197" s="40" t="s">
        <v>14</v>
      </c>
      <c r="D197" s="40">
        <v>8575.0</v>
      </c>
      <c r="E197" s="39" t="s">
        <v>3742</v>
      </c>
      <c r="F197" s="41" t="s">
        <v>3743</v>
      </c>
      <c r="G197" s="39" t="s">
        <v>3744</v>
      </c>
      <c r="H197" s="39" t="s">
        <v>3745</v>
      </c>
      <c r="I197" s="39" t="s">
        <v>2938</v>
      </c>
      <c r="J197" s="39" t="s">
        <v>3746</v>
      </c>
    </row>
    <row r="198" ht="26.25" customHeight="1">
      <c r="A198" s="113" t="s">
        <v>2225</v>
      </c>
      <c r="B198" s="35">
        <v>2023.0</v>
      </c>
      <c r="C198" s="40" t="s">
        <v>14</v>
      </c>
      <c r="D198" s="40">
        <v>8763.0</v>
      </c>
      <c r="E198" s="39" t="s">
        <v>3747</v>
      </c>
      <c r="F198" s="41" t="s">
        <v>3748</v>
      </c>
      <c r="G198" s="39" t="s">
        <v>3749</v>
      </c>
      <c r="H198" s="39" t="s">
        <v>3750</v>
      </c>
      <c r="I198" s="39" t="s">
        <v>2944</v>
      </c>
      <c r="J198" s="39" t="s">
        <v>3751</v>
      </c>
    </row>
    <row r="199" ht="26.25" customHeight="1">
      <c r="A199" s="113" t="s">
        <v>2231</v>
      </c>
      <c r="B199" s="35">
        <v>2023.0</v>
      </c>
      <c r="C199" s="40" t="s">
        <v>15</v>
      </c>
      <c r="D199" s="40">
        <v>8847.0</v>
      </c>
      <c r="E199" s="39" t="s">
        <v>1805</v>
      </c>
      <c r="F199" s="41" t="s">
        <v>3752</v>
      </c>
      <c r="G199" s="39" t="s">
        <v>3753</v>
      </c>
      <c r="H199" s="39" t="s">
        <v>3754</v>
      </c>
      <c r="I199" s="39" t="s">
        <v>2944</v>
      </c>
      <c r="J199" s="39" t="s">
        <v>3755</v>
      </c>
    </row>
    <row r="200" ht="26.25" customHeight="1">
      <c r="A200" s="113" t="s">
        <v>2237</v>
      </c>
      <c r="B200" s="35">
        <v>2023.0</v>
      </c>
      <c r="C200" s="40" t="s">
        <v>15</v>
      </c>
      <c r="D200" s="40">
        <v>9065.0</v>
      </c>
      <c r="E200" s="39" t="s">
        <v>3756</v>
      </c>
      <c r="F200" s="41" t="s">
        <v>3757</v>
      </c>
      <c r="G200" s="37"/>
      <c r="H200" s="39" t="s">
        <v>3756</v>
      </c>
      <c r="I200" s="39" t="s">
        <v>2944</v>
      </c>
      <c r="J200" s="39" t="s">
        <v>3758</v>
      </c>
    </row>
    <row r="201" ht="26.25" customHeight="1">
      <c r="A201" s="113" t="s">
        <v>2243</v>
      </c>
      <c r="B201" s="35">
        <v>2023.0</v>
      </c>
      <c r="C201" s="40" t="s">
        <v>15</v>
      </c>
      <c r="D201" s="40">
        <v>8150.0</v>
      </c>
      <c r="E201" s="39" t="s">
        <v>3759</v>
      </c>
      <c r="F201" s="41" t="s">
        <v>3760</v>
      </c>
      <c r="G201" s="37"/>
      <c r="H201" s="39" t="s">
        <v>1960</v>
      </c>
      <c r="I201" s="39" t="s">
        <v>2944</v>
      </c>
      <c r="J201" s="39" t="s">
        <v>3761</v>
      </c>
    </row>
    <row r="202" ht="26.25" customHeight="1">
      <c r="A202" s="113" t="s">
        <v>2246</v>
      </c>
      <c r="B202" s="35">
        <v>2023.0</v>
      </c>
      <c r="C202" s="40" t="s">
        <v>15</v>
      </c>
      <c r="D202" s="40">
        <v>4072.0</v>
      </c>
      <c r="E202" s="39" t="s">
        <v>3291</v>
      </c>
      <c r="F202" s="40" t="s">
        <v>3292</v>
      </c>
      <c r="G202" s="36" t="s">
        <v>3293</v>
      </c>
      <c r="H202" s="39" t="s">
        <v>3762</v>
      </c>
      <c r="I202" s="39" t="s">
        <v>2938</v>
      </c>
      <c r="J202" s="39" t="s">
        <v>3295</v>
      </c>
    </row>
    <row r="203" ht="26.25" customHeight="1">
      <c r="A203" s="113" t="s">
        <v>2252</v>
      </c>
      <c r="B203" s="35">
        <v>2023.0</v>
      </c>
      <c r="C203" s="40" t="s">
        <v>15</v>
      </c>
      <c r="D203" s="40">
        <v>9074.0</v>
      </c>
      <c r="E203" s="39" t="s">
        <v>3763</v>
      </c>
      <c r="F203" s="41" t="s">
        <v>3764</v>
      </c>
      <c r="G203" s="36"/>
      <c r="H203" s="39" t="s">
        <v>3765</v>
      </c>
      <c r="I203" s="39" t="s">
        <v>3357</v>
      </c>
      <c r="J203" s="39" t="s">
        <v>3766</v>
      </c>
    </row>
    <row r="204" ht="26.25" customHeight="1">
      <c r="A204" s="113" t="s">
        <v>2256</v>
      </c>
      <c r="B204" s="35">
        <v>2023.0</v>
      </c>
      <c r="C204" s="40" t="s">
        <v>15</v>
      </c>
      <c r="D204" s="40">
        <v>8946.0</v>
      </c>
      <c r="E204" s="39" t="s">
        <v>3767</v>
      </c>
      <c r="F204" s="41" t="s">
        <v>3768</v>
      </c>
      <c r="G204" s="36" t="s">
        <v>3769</v>
      </c>
      <c r="H204" s="39" t="s">
        <v>3770</v>
      </c>
      <c r="I204" s="39" t="s">
        <v>2938</v>
      </c>
      <c r="J204" s="39" t="s">
        <v>3771</v>
      </c>
    </row>
    <row r="205" ht="26.25" customHeight="1">
      <c r="A205" s="113" t="s">
        <v>2262</v>
      </c>
      <c r="B205" s="35">
        <v>2023.0</v>
      </c>
      <c r="C205" s="40" t="s">
        <v>15</v>
      </c>
      <c r="D205" s="40">
        <v>8813.0</v>
      </c>
      <c r="E205" s="39" t="s">
        <v>3772</v>
      </c>
      <c r="F205" s="41" t="s">
        <v>3773</v>
      </c>
      <c r="G205" s="36"/>
      <c r="H205" s="39" t="s">
        <v>3774</v>
      </c>
      <c r="I205" s="39" t="s">
        <v>2983</v>
      </c>
      <c r="J205" s="39" t="s">
        <v>3775</v>
      </c>
    </row>
    <row r="206" ht="26.25" customHeight="1">
      <c r="A206" s="113" t="s">
        <v>2267</v>
      </c>
      <c r="B206" s="35">
        <v>2023.0</v>
      </c>
      <c r="C206" s="40" t="s">
        <v>17</v>
      </c>
      <c r="D206" s="42">
        <v>9221.0</v>
      </c>
      <c r="E206" s="38" t="s">
        <v>3776</v>
      </c>
      <c r="F206" s="43" t="s">
        <v>3777</v>
      </c>
      <c r="G206" s="38" t="s">
        <v>3778</v>
      </c>
      <c r="H206" s="38" t="s">
        <v>3779</v>
      </c>
      <c r="I206" s="38" t="s">
        <v>3133</v>
      </c>
      <c r="J206" s="38" t="s">
        <v>3780</v>
      </c>
    </row>
    <row r="207" ht="26.25" customHeight="1">
      <c r="A207" s="113" t="s">
        <v>2273</v>
      </c>
      <c r="B207" s="35">
        <v>2023.0</v>
      </c>
      <c r="C207" s="40" t="s">
        <v>16</v>
      </c>
      <c r="D207" s="40">
        <v>9299.0</v>
      </c>
      <c r="E207" s="39" t="s">
        <v>3781</v>
      </c>
      <c r="F207" s="41" t="s">
        <v>3782</v>
      </c>
      <c r="G207" s="39" t="s">
        <v>3783</v>
      </c>
      <c r="H207" s="39" t="s">
        <v>3784</v>
      </c>
      <c r="I207" s="39" t="s">
        <v>2944</v>
      </c>
      <c r="J207" s="39" t="s">
        <v>3785</v>
      </c>
    </row>
    <row r="208" ht="26.25" customHeight="1">
      <c r="A208" s="113" t="s">
        <v>2276</v>
      </c>
      <c r="B208" s="35">
        <v>2023.0</v>
      </c>
      <c r="C208" s="40" t="s">
        <v>16</v>
      </c>
      <c r="D208" s="40">
        <v>9230.0</v>
      </c>
      <c r="E208" s="39" t="s">
        <v>3786</v>
      </c>
      <c r="F208" s="41" t="s">
        <v>3787</v>
      </c>
      <c r="G208" s="39" t="s">
        <v>3788</v>
      </c>
      <c r="H208" s="39" t="s">
        <v>3789</v>
      </c>
      <c r="I208" s="39" t="s">
        <v>2938</v>
      </c>
      <c r="J208" s="39" t="s">
        <v>3790</v>
      </c>
    </row>
    <row r="209" ht="26.25" customHeight="1">
      <c r="A209" s="113" t="s">
        <v>2282</v>
      </c>
      <c r="B209" s="35">
        <v>2023.0</v>
      </c>
      <c r="C209" s="40" t="s">
        <v>16</v>
      </c>
      <c r="D209" s="40">
        <v>8444.0</v>
      </c>
      <c r="E209" s="39" t="s">
        <v>3702</v>
      </c>
      <c r="F209" s="41" t="s">
        <v>3703</v>
      </c>
      <c r="G209" s="39" t="s">
        <v>3704</v>
      </c>
      <c r="H209" s="39" t="s">
        <v>3791</v>
      </c>
      <c r="I209" s="39" t="s">
        <v>2926</v>
      </c>
      <c r="J209" s="39" t="s">
        <v>3706</v>
      </c>
    </row>
    <row r="210" ht="26.25" customHeight="1">
      <c r="A210" s="113" t="s">
        <v>2288</v>
      </c>
      <c r="B210" s="35">
        <v>2023.0</v>
      </c>
      <c r="C210" s="40" t="s">
        <v>16</v>
      </c>
      <c r="D210" s="40">
        <v>8355.0</v>
      </c>
      <c r="E210" s="39" t="s">
        <v>3707</v>
      </c>
      <c r="F210" s="41" t="s">
        <v>3708</v>
      </c>
      <c r="G210" s="37"/>
      <c r="H210" s="39" t="s">
        <v>3792</v>
      </c>
      <c r="I210" s="39" t="s">
        <v>3139</v>
      </c>
      <c r="J210" s="39" t="s">
        <v>3710</v>
      </c>
    </row>
    <row r="211" ht="26.25" customHeight="1">
      <c r="A211" s="113" t="s">
        <v>2294</v>
      </c>
      <c r="B211" s="35">
        <v>2023.0</v>
      </c>
      <c r="C211" s="42" t="s">
        <v>16</v>
      </c>
      <c r="D211" s="42">
        <v>9322.0</v>
      </c>
      <c r="E211" s="38" t="s">
        <v>3793</v>
      </c>
      <c r="F211" s="43" t="s">
        <v>3794</v>
      </c>
      <c r="G211" s="38" t="s">
        <v>3795</v>
      </c>
      <c r="H211" s="38" t="s">
        <v>3796</v>
      </c>
      <c r="I211" s="38" t="s">
        <v>2944</v>
      </c>
      <c r="J211" s="38" t="s">
        <v>3797</v>
      </c>
    </row>
    <row r="212" ht="26.25" customHeight="1">
      <c r="A212" s="113" t="s">
        <v>2300</v>
      </c>
      <c r="B212" s="35">
        <v>2023.0</v>
      </c>
      <c r="C212" s="42" t="s">
        <v>16</v>
      </c>
      <c r="D212" s="42">
        <v>9153.0</v>
      </c>
      <c r="E212" s="38" t="s">
        <v>3798</v>
      </c>
      <c r="F212" s="43" t="s">
        <v>3799</v>
      </c>
      <c r="G212" s="38" t="s">
        <v>3800</v>
      </c>
      <c r="H212" s="38" t="s">
        <v>3801</v>
      </c>
      <c r="I212" s="39" t="s">
        <v>2926</v>
      </c>
      <c r="J212" s="38" t="s">
        <v>3802</v>
      </c>
    </row>
    <row r="213" ht="26.25" customHeight="1">
      <c r="A213" s="113" t="s">
        <v>2305</v>
      </c>
      <c r="B213" s="35">
        <v>2023.0</v>
      </c>
      <c r="C213" s="42" t="s">
        <v>17</v>
      </c>
      <c r="D213" s="42">
        <v>9215.0</v>
      </c>
      <c r="E213" s="38" t="s">
        <v>3803</v>
      </c>
      <c r="F213" s="43" t="s">
        <v>3804</v>
      </c>
      <c r="G213" s="36"/>
      <c r="H213" s="38" t="s">
        <v>3805</v>
      </c>
      <c r="I213" s="38" t="s">
        <v>3139</v>
      </c>
      <c r="J213" s="38" t="s">
        <v>3806</v>
      </c>
    </row>
    <row r="214" ht="26.25" customHeight="1">
      <c r="A214" s="113" t="s">
        <v>2311</v>
      </c>
      <c r="B214" s="35">
        <v>2023.0</v>
      </c>
      <c r="C214" s="40" t="s">
        <v>17</v>
      </c>
      <c r="D214" s="40">
        <v>9520.0</v>
      </c>
      <c r="E214" s="39" t="s">
        <v>3807</v>
      </c>
      <c r="F214" s="41" t="s">
        <v>3808</v>
      </c>
      <c r="G214" s="37"/>
      <c r="H214" s="39" t="s">
        <v>3809</v>
      </c>
      <c r="I214" s="39" t="s">
        <v>2983</v>
      </c>
      <c r="J214" s="39" t="s">
        <v>2432</v>
      </c>
    </row>
    <row r="215" ht="26.25" customHeight="1">
      <c r="A215" s="113" t="s">
        <v>2318</v>
      </c>
      <c r="B215" s="35">
        <v>2023.0</v>
      </c>
      <c r="C215" s="42" t="s">
        <v>17</v>
      </c>
      <c r="D215" s="42">
        <v>9451.0</v>
      </c>
      <c r="E215" s="38" t="s">
        <v>3810</v>
      </c>
      <c r="F215" s="43" t="s">
        <v>3811</v>
      </c>
      <c r="G215" s="38" t="s">
        <v>3812</v>
      </c>
      <c r="H215" s="38" t="s">
        <v>3813</v>
      </c>
      <c r="I215" s="39" t="s">
        <v>2926</v>
      </c>
      <c r="J215" s="38" t="s">
        <v>3814</v>
      </c>
    </row>
    <row r="216" ht="26.25" customHeight="1">
      <c r="A216" s="113" t="s">
        <v>2324</v>
      </c>
      <c r="B216" s="35">
        <v>2023.0</v>
      </c>
      <c r="C216" s="40" t="s">
        <v>17</v>
      </c>
      <c r="D216" s="40">
        <v>9558.0</v>
      </c>
      <c r="E216" s="39" t="s">
        <v>3815</v>
      </c>
      <c r="F216" s="41" t="s">
        <v>3816</v>
      </c>
      <c r="G216" s="39" t="s">
        <v>3817</v>
      </c>
      <c r="H216" s="39" t="s">
        <v>3818</v>
      </c>
      <c r="I216" s="39" t="s">
        <v>2926</v>
      </c>
      <c r="J216" s="39" t="s">
        <v>3819</v>
      </c>
    </row>
    <row r="217" ht="26.25" customHeight="1">
      <c r="A217" s="113" t="s">
        <v>2330</v>
      </c>
      <c r="B217" s="35">
        <v>2023.0</v>
      </c>
      <c r="C217" s="40" t="s">
        <v>17</v>
      </c>
      <c r="D217" s="40">
        <v>9483.0</v>
      </c>
      <c r="E217" s="39" t="s">
        <v>3820</v>
      </c>
      <c r="F217" s="41" t="s">
        <v>3821</v>
      </c>
      <c r="G217" s="37"/>
      <c r="H217" s="39" t="s">
        <v>3822</v>
      </c>
      <c r="I217" s="39" t="s">
        <v>2938</v>
      </c>
      <c r="J217" s="39" t="s">
        <v>3823</v>
      </c>
    </row>
    <row r="218" ht="26.25" customHeight="1">
      <c r="A218" s="113" t="s">
        <v>2336</v>
      </c>
      <c r="B218" s="35">
        <v>2023.0</v>
      </c>
      <c r="C218" s="40" t="s">
        <v>17</v>
      </c>
      <c r="D218" s="40">
        <v>3694.0</v>
      </c>
      <c r="E218" s="39" t="s">
        <v>3312</v>
      </c>
      <c r="F218" s="40" t="s">
        <v>3313</v>
      </c>
      <c r="G218" s="36" t="s">
        <v>3314</v>
      </c>
      <c r="H218" s="39" t="s">
        <v>3824</v>
      </c>
      <c r="I218" s="39" t="s">
        <v>3139</v>
      </c>
      <c r="J218" s="39" t="s">
        <v>3316</v>
      </c>
    </row>
    <row r="219" ht="26.25" customHeight="1">
      <c r="A219" s="113" t="s">
        <v>2342</v>
      </c>
      <c r="B219" s="35">
        <v>2023.0</v>
      </c>
      <c r="C219" s="40" t="s">
        <v>18</v>
      </c>
      <c r="D219" s="40">
        <v>8763.0</v>
      </c>
      <c r="E219" s="39" t="s">
        <v>3747</v>
      </c>
      <c r="F219" s="41" t="s">
        <v>3748</v>
      </c>
      <c r="G219" s="39" t="s">
        <v>3749</v>
      </c>
      <c r="H219" s="39" t="s">
        <v>3825</v>
      </c>
      <c r="I219" s="39" t="s">
        <v>2944</v>
      </c>
      <c r="J219" s="39" t="s">
        <v>3751</v>
      </c>
    </row>
    <row r="220" ht="26.25" customHeight="1">
      <c r="A220" s="113" t="s">
        <v>2346</v>
      </c>
      <c r="B220" s="35">
        <v>2023.0</v>
      </c>
      <c r="C220" s="40" t="s">
        <v>18</v>
      </c>
      <c r="D220" s="40">
        <v>6506.0</v>
      </c>
      <c r="E220" s="39" t="s">
        <v>3826</v>
      </c>
      <c r="F220" s="41" t="s">
        <v>3827</v>
      </c>
      <c r="G220" s="39" t="s">
        <v>3828</v>
      </c>
      <c r="H220" s="39" t="s">
        <v>3829</v>
      </c>
      <c r="I220" s="39" t="s">
        <v>2926</v>
      </c>
      <c r="J220" s="39" t="s">
        <v>3830</v>
      </c>
    </row>
    <row r="221" ht="26.25" customHeight="1">
      <c r="A221" s="113" t="s">
        <v>2352</v>
      </c>
      <c r="B221" s="35">
        <v>2023.0</v>
      </c>
      <c r="C221" s="40" t="s">
        <v>18</v>
      </c>
      <c r="D221" s="40">
        <v>9701.0</v>
      </c>
      <c r="E221" s="39" t="s">
        <v>3831</v>
      </c>
      <c r="F221" s="41" t="s">
        <v>3832</v>
      </c>
      <c r="G221" s="39" t="s">
        <v>3833</v>
      </c>
      <c r="H221" s="39" t="s">
        <v>3834</v>
      </c>
      <c r="I221" s="39" t="s">
        <v>2926</v>
      </c>
      <c r="J221" s="39" t="s">
        <v>3835</v>
      </c>
    </row>
    <row r="222" ht="26.25" customHeight="1">
      <c r="A222" s="113" t="s">
        <v>2358</v>
      </c>
      <c r="B222" s="35">
        <v>2023.0</v>
      </c>
      <c r="C222" s="35" t="s">
        <v>18</v>
      </c>
      <c r="D222" s="35">
        <v>6700.0</v>
      </c>
      <c r="E222" s="39" t="s">
        <v>3666</v>
      </c>
      <c r="F222" s="41" t="s">
        <v>3667</v>
      </c>
      <c r="G222" s="37"/>
      <c r="H222" s="39" t="s">
        <v>3836</v>
      </c>
      <c r="I222" s="39" t="s">
        <v>2983</v>
      </c>
      <c r="J222" s="39" t="s">
        <v>3669</v>
      </c>
    </row>
    <row r="223" ht="26.25" customHeight="1">
      <c r="A223" s="113" t="s">
        <v>2364</v>
      </c>
      <c r="B223" s="35">
        <v>2023.0</v>
      </c>
      <c r="C223" s="40" t="s">
        <v>18</v>
      </c>
      <c r="D223" s="40">
        <v>9444.0</v>
      </c>
      <c r="E223" s="39" t="s">
        <v>3837</v>
      </c>
      <c r="F223" s="40" t="s">
        <v>3838</v>
      </c>
      <c r="G223" s="39" t="s">
        <v>3839</v>
      </c>
      <c r="H223" s="39" t="s">
        <v>3840</v>
      </c>
      <c r="I223" s="39" t="s">
        <v>2938</v>
      </c>
      <c r="J223" s="39" t="s">
        <v>3841</v>
      </c>
    </row>
    <row r="224" ht="26.25" customHeight="1">
      <c r="A224" s="113" t="s">
        <v>2369</v>
      </c>
      <c r="B224" s="35">
        <v>2023.0</v>
      </c>
      <c r="C224" s="40" t="s">
        <v>18</v>
      </c>
      <c r="D224" s="40">
        <v>9432.0</v>
      </c>
      <c r="E224" s="39" t="s">
        <v>3842</v>
      </c>
      <c r="F224" s="40" t="s">
        <v>3843</v>
      </c>
      <c r="G224" s="39" t="s">
        <v>3844</v>
      </c>
      <c r="H224" s="39" t="s">
        <v>3842</v>
      </c>
      <c r="I224" s="121" t="s">
        <v>2983</v>
      </c>
      <c r="J224" s="39" t="s">
        <v>3845</v>
      </c>
    </row>
    <row r="225" ht="26.25" customHeight="1">
      <c r="A225" s="113" t="s">
        <v>2375</v>
      </c>
      <c r="B225" s="35">
        <v>2023.0</v>
      </c>
      <c r="C225" s="40" t="s">
        <v>18</v>
      </c>
      <c r="D225" s="40">
        <v>9710.0</v>
      </c>
      <c r="E225" s="39" t="s">
        <v>3846</v>
      </c>
      <c r="F225" s="41" t="s">
        <v>3847</v>
      </c>
      <c r="G225" s="39" t="s">
        <v>3848</v>
      </c>
      <c r="H225" s="39" t="s">
        <v>3849</v>
      </c>
      <c r="I225" s="39" t="s">
        <v>2938</v>
      </c>
      <c r="J225" s="39" t="s">
        <v>3850</v>
      </c>
    </row>
    <row r="226" ht="26.25" customHeight="1">
      <c r="A226" s="113" t="s">
        <v>2380</v>
      </c>
      <c r="B226" s="35">
        <v>2023.0</v>
      </c>
      <c r="C226" s="40" t="s">
        <v>18</v>
      </c>
      <c r="D226" s="40">
        <v>9277.0</v>
      </c>
      <c r="E226" s="39" t="s">
        <v>3851</v>
      </c>
      <c r="F226" s="41" t="s">
        <v>3852</v>
      </c>
      <c r="G226" s="37"/>
      <c r="H226" s="39" t="s">
        <v>3853</v>
      </c>
      <c r="I226" s="39" t="s">
        <v>2926</v>
      </c>
      <c r="J226" s="39" t="s">
        <v>3854</v>
      </c>
    </row>
    <row r="227" ht="26.25" customHeight="1">
      <c r="A227" s="113" t="s">
        <v>2385</v>
      </c>
      <c r="B227" s="35">
        <v>2023.0</v>
      </c>
      <c r="C227" s="40" t="s">
        <v>18</v>
      </c>
      <c r="D227" s="40">
        <v>9805.0</v>
      </c>
      <c r="E227" s="39" t="s">
        <v>3855</v>
      </c>
      <c r="F227" s="41" t="s">
        <v>3856</v>
      </c>
      <c r="G227" s="39" t="s">
        <v>3857</v>
      </c>
      <c r="H227" s="39" t="s">
        <v>3858</v>
      </c>
      <c r="I227" s="39" t="s">
        <v>2944</v>
      </c>
      <c r="J227" s="39" t="s">
        <v>3859</v>
      </c>
    </row>
    <row r="228" ht="26.25" customHeight="1">
      <c r="A228" s="113" t="s">
        <v>2388</v>
      </c>
      <c r="B228" s="35">
        <v>2023.0</v>
      </c>
      <c r="C228" s="40" t="s">
        <v>18</v>
      </c>
      <c r="D228" s="40">
        <v>9500.0</v>
      </c>
      <c r="E228" s="39" t="s">
        <v>3860</v>
      </c>
      <c r="F228" s="40" t="s">
        <v>3861</v>
      </c>
      <c r="G228" s="39" t="s">
        <v>3862</v>
      </c>
      <c r="H228" s="39" t="s">
        <v>3863</v>
      </c>
      <c r="I228" s="39" t="s">
        <v>2938</v>
      </c>
      <c r="J228" s="39" t="s">
        <v>3864</v>
      </c>
    </row>
    <row r="229" ht="26.25" customHeight="1">
      <c r="A229" s="113" t="s">
        <v>2393</v>
      </c>
      <c r="B229" s="35">
        <v>2023.0</v>
      </c>
      <c r="C229" s="35" t="s">
        <v>18</v>
      </c>
      <c r="D229" s="35">
        <v>9891.0</v>
      </c>
      <c r="E229" s="37" t="s">
        <v>3865</v>
      </c>
      <c r="F229" s="41" t="s">
        <v>3866</v>
      </c>
      <c r="G229" s="39" t="s">
        <v>3867</v>
      </c>
      <c r="H229" s="37" t="s">
        <v>3868</v>
      </c>
      <c r="I229" s="39" t="s">
        <v>3869</v>
      </c>
      <c r="J229" s="39" t="s">
        <v>2939</v>
      </c>
    </row>
    <row r="230" ht="26.25" customHeight="1">
      <c r="A230" s="113" t="s">
        <v>2399</v>
      </c>
      <c r="B230" s="35">
        <v>2023.0</v>
      </c>
      <c r="C230" s="35" t="s">
        <v>19</v>
      </c>
      <c r="D230" s="35">
        <v>9887.0</v>
      </c>
      <c r="E230" s="37" t="s">
        <v>3870</v>
      </c>
      <c r="F230" s="40" t="s">
        <v>3871</v>
      </c>
      <c r="G230" s="37"/>
      <c r="H230" s="37" t="s">
        <v>3872</v>
      </c>
      <c r="I230" s="39" t="s">
        <v>2926</v>
      </c>
      <c r="J230" s="39" t="s">
        <v>3873</v>
      </c>
    </row>
    <row r="231" ht="26.25" customHeight="1">
      <c r="A231" s="113" t="s">
        <v>2404</v>
      </c>
      <c r="B231" s="35">
        <v>2023.0</v>
      </c>
      <c r="C231" s="17" t="s">
        <v>19</v>
      </c>
      <c r="D231" s="17">
        <v>3465.0</v>
      </c>
      <c r="E231" s="36" t="s">
        <v>3874</v>
      </c>
      <c r="F231" s="40" t="s">
        <v>3875</v>
      </c>
      <c r="G231" s="39" t="s">
        <v>3876</v>
      </c>
      <c r="H231" s="36" t="s">
        <v>3874</v>
      </c>
      <c r="I231" s="39" t="s">
        <v>2977</v>
      </c>
      <c r="J231" s="39" t="s">
        <v>3877</v>
      </c>
    </row>
    <row r="232" ht="26.25" customHeight="1">
      <c r="A232" s="113" t="s">
        <v>2410</v>
      </c>
      <c r="B232" s="35">
        <v>2023.0</v>
      </c>
      <c r="C232" s="17" t="s">
        <v>19</v>
      </c>
      <c r="D232" s="17">
        <v>9920.0</v>
      </c>
      <c r="E232" s="37" t="s">
        <v>3878</v>
      </c>
      <c r="F232" s="40" t="s">
        <v>3879</v>
      </c>
      <c r="G232" s="39" t="s">
        <v>3880</v>
      </c>
      <c r="H232" s="37" t="s">
        <v>3881</v>
      </c>
      <c r="I232" s="39" t="s">
        <v>2944</v>
      </c>
      <c r="J232" s="39" t="s">
        <v>3882</v>
      </c>
    </row>
    <row r="233" ht="26.25" customHeight="1">
      <c r="A233" s="113" t="s">
        <v>2416</v>
      </c>
      <c r="B233" s="35">
        <v>2023.0</v>
      </c>
      <c r="C233" s="17" t="s">
        <v>19</v>
      </c>
      <c r="D233" s="17">
        <v>8623.0</v>
      </c>
      <c r="E233" s="37" t="s">
        <v>3883</v>
      </c>
      <c r="F233" s="40" t="s">
        <v>3884</v>
      </c>
      <c r="G233" s="39" t="s">
        <v>3885</v>
      </c>
      <c r="H233" s="37" t="s">
        <v>3886</v>
      </c>
      <c r="I233" s="39" t="s">
        <v>2938</v>
      </c>
      <c r="J233" s="39" t="s">
        <v>3887</v>
      </c>
    </row>
    <row r="234" ht="26.25" customHeight="1">
      <c r="A234" s="113" t="s">
        <v>2422</v>
      </c>
      <c r="B234" s="35">
        <v>2023.0</v>
      </c>
      <c r="C234" s="17" t="s">
        <v>19</v>
      </c>
      <c r="D234" s="17">
        <v>9972.0</v>
      </c>
      <c r="E234" s="37" t="s">
        <v>3888</v>
      </c>
      <c r="F234" s="40" t="s">
        <v>3889</v>
      </c>
      <c r="G234" s="39" t="s">
        <v>3890</v>
      </c>
      <c r="H234" s="37" t="s">
        <v>3891</v>
      </c>
      <c r="I234" s="39" t="s">
        <v>2983</v>
      </c>
      <c r="J234" s="39" t="s">
        <v>3892</v>
      </c>
    </row>
    <row r="235" ht="26.25" customHeight="1">
      <c r="A235" s="113" t="s">
        <v>2428</v>
      </c>
      <c r="B235" s="35">
        <v>2023.0</v>
      </c>
      <c r="C235" s="17" t="s">
        <v>19</v>
      </c>
      <c r="D235" s="42">
        <v>10027.0</v>
      </c>
      <c r="E235" s="38" t="s">
        <v>3893</v>
      </c>
      <c r="F235" s="42" t="s">
        <v>3894</v>
      </c>
      <c r="G235" s="39" t="s">
        <v>3895</v>
      </c>
      <c r="H235" s="37" t="s">
        <v>3896</v>
      </c>
      <c r="I235" s="39" t="s">
        <v>2983</v>
      </c>
      <c r="J235" s="39" t="s">
        <v>3897</v>
      </c>
    </row>
    <row r="236" ht="26.25" customHeight="1">
      <c r="A236" s="113" t="s">
        <v>2433</v>
      </c>
      <c r="B236" s="35">
        <v>2023.0</v>
      </c>
      <c r="C236" s="17" t="s">
        <v>19</v>
      </c>
      <c r="D236" s="17">
        <v>10118.0</v>
      </c>
      <c r="E236" s="37" t="s">
        <v>3898</v>
      </c>
      <c r="F236" s="40" t="s">
        <v>3899</v>
      </c>
      <c r="G236" s="39" t="s">
        <v>3900</v>
      </c>
      <c r="H236" s="37" t="s">
        <v>3901</v>
      </c>
      <c r="I236" s="39" t="s">
        <v>2926</v>
      </c>
      <c r="J236" s="39" t="s">
        <v>3902</v>
      </c>
    </row>
    <row r="237" ht="26.25" customHeight="1">
      <c r="A237" s="113" t="s">
        <v>2438</v>
      </c>
      <c r="B237" s="35">
        <v>2023.0</v>
      </c>
      <c r="C237" s="17" t="s">
        <v>19</v>
      </c>
      <c r="D237" s="17">
        <v>10023.0</v>
      </c>
      <c r="E237" s="37" t="s">
        <v>3903</v>
      </c>
      <c r="F237" s="41" t="s">
        <v>3904</v>
      </c>
      <c r="G237" s="39" t="s">
        <v>3905</v>
      </c>
      <c r="H237" s="37" t="s">
        <v>3906</v>
      </c>
      <c r="I237" s="39" t="s">
        <v>2926</v>
      </c>
      <c r="J237" s="39" t="s">
        <v>3907</v>
      </c>
    </row>
    <row r="238" ht="26.25" customHeight="1">
      <c r="A238" s="113" t="s">
        <v>2444</v>
      </c>
      <c r="B238" s="35">
        <v>2023.0</v>
      </c>
      <c r="C238" s="17" t="s">
        <v>20</v>
      </c>
      <c r="D238" s="17">
        <v>10142.0</v>
      </c>
      <c r="E238" s="37" t="s">
        <v>3908</v>
      </c>
      <c r="F238" s="43" t="s">
        <v>3909</v>
      </c>
      <c r="G238" s="37"/>
      <c r="H238" s="37" t="s">
        <v>3910</v>
      </c>
      <c r="I238" s="39" t="s">
        <v>2926</v>
      </c>
      <c r="J238" s="39" t="s">
        <v>3911</v>
      </c>
    </row>
    <row r="239" ht="26.25" customHeight="1">
      <c r="A239" s="113" t="s">
        <v>2450</v>
      </c>
      <c r="B239" s="35">
        <v>2023.0</v>
      </c>
      <c r="C239" s="17" t="s">
        <v>20</v>
      </c>
      <c r="D239" s="17">
        <v>10205.0</v>
      </c>
      <c r="E239" s="37" t="s">
        <v>3912</v>
      </c>
      <c r="F239" s="43" t="s">
        <v>3913</v>
      </c>
      <c r="G239" s="37"/>
      <c r="H239" s="37" t="s">
        <v>3914</v>
      </c>
      <c r="I239" s="39" t="s">
        <v>2944</v>
      </c>
      <c r="J239" s="39" t="s">
        <v>3915</v>
      </c>
    </row>
    <row r="240" ht="26.25" customHeight="1">
      <c r="A240" s="113" t="s">
        <v>2456</v>
      </c>
      <c r="B240" s="35">
        <v>2023.0</v>
      </c>
      <c r="C240" s="17" t="s">
        <v>20</v>
      </c>
      <c r="D240" s="17">
        <v>10267.0</v>
      </c>
      <c r="E240" s="37" t="s">
        <v>3916</v>
      </c>
      <c r="F240" s="43" t="s">
        <v>3917</v>
      </c>
      <c r="G240" s="39" t="s">
        <v>3918</v>
      </c>
      <c r="H240" s="37" t="s">
        <v>3919</v>
      </c>
      <c r="I240" s="39" t="s">
        <v>3920</v>
      </c>
      <c r="J240" s="39" t="s">
        <v>3921</v>
      </c>
    </row>
    <row r="241" ht="26.25" customHeight="1">
      <c r="A241" s="113" t="s">
        <v>2462</v>
      </c>
      <c r="B241" s="35">
        <v>2023.0</v>
      </c>
      <c r="C241" s="17" t="s">
        <v>20</v>
      </c>
      <c r="D241" s="17">
        <v>10493.0</v>
      </c>
      <c r="E241" s="36" t="s">
        <v>3922</v>
      </c>
      <c r="F241" s="43" t="s">
        <v>3923</v>
      </c>
      <c r="G241" s="39" t="s">
        <v>3924</v>
      </c>
      <c r="H241" s="36" t="s">
        <v>3925</v>
      </c>
      <c r="I241" s="39" t="s">
        <v>2926</v>
      </c>
      <c r="J241" s="39" t="s">
        <v>3926</v>
      </c>
    </row>
    <row r="242" ht="26.25" customHeight="1">
      <c r="A242" s="113" t="s">
        <v>2464</v>
      </c>
      <c r="B242" s="35">
        <v>2023.0</v>
      </c>
      <c r="C242" s="17" t="s">
        <v>20</v>
      </c>
      <c r="D242" s="42">
        <v>7106.0</v>
      </c>
      <c r="E242" s="38" t="s">
        <v>3927</v>
      </c>
      <c r="F242" s="17" t="s">
        <v>3928</v>
      </c>
      <c r="G242" s="39" t="s">
        <v>3929</v>
      </c>
      <c r="H242" s="36" t="s">
        <v>3927</v>
      </c>
      <c r="I242" s="39" t="s">
        <v>3187</v>
      </c>
      <c r="J242" s="39" t="s">
        <v>3930</v>
      </c>
    </row>
    <row r="243" ht="26.25" customHeight="1">
      <c r="A243" s="113" t="s">
        <v>2470</v>
      </c>
      <c r="B243" s="35">
        <v>2023.0</v>
      </c>
      <c r="C243" s="17" t="s">
        <v>20</v>
      </c>
      <c r="D243" s="17">
        <v>10049.0</v>
      </c>
      <c r="E243" s="36" t="s">
        <v>3931</v>
      </c>
      <c r="F243" s="43" t="s">
        <v>3932</v>
      </c>
      <c r="G243" s="39" t="s">
        <v>3933</v>
      </c>
      <c r="H243" s="36" t="s">
        <v>3934</v>
      </c>
      <c r="I243" s="39" t="s">
        <v>3063</v>
      </c>
      <c r="J243" s="39" t="s">
        <v>3935</v>
      </c>
    </row>
    <row r="244" ht="26.25" customHeight="1">
      <c r="A244" s="113" t="s">
        <v>2475</v>
      </c>
      <c r="B244" s="35">
        <v>2023.0</v>
      </c>
      <c r="C244" s="17" t="s">
        <v>21</v>
      </c>
      <c r="D244" s="17">
        <v>10586.0</v>
      </c>
      <c r="E244" s="38" t="s">
        <v>3936</v>
      </c>
      <c r="F244" s="43" t="s">
        <v>3937</v>
      </c>
      <c r="G244" s="39" t="s">
        <v>3938</v>
      </c>
      <c r="H244" s="38" t="s">
        <v>3939</v>
      </c>
      <c r="I244" s="39" t="s">
        <v>2926</v>
      </c>
      <c r="J244" s="38" t="s">
        <v>42</v>
      </c>
    </row>
    <row r="245" ht="26.25" customHeight="1">
      <c r="A245" s="113" t="s">
        <v>2481</v>
      </c>
      <c r="B245" s="35">
        <v>2023.0</v>
      </c>
      <c r="C245" s="17" t="s">
        <v>21</v>
      </c>
      <c r="D245" s="17">
        <v>10423.0</v>
      </c>
      <c r="E245" s="36" t="s">
        <v>3940</v>
      </c>
      <c r="F245" s="43" t="s">
        <v>3941</v>
      </c>
      <c r="G245" s="39" t="s">
        <v>3942</v>
      </c>
      <c r="H245" s="36" t="s">
        <v>3943</v>
      </c>
      <c r="I245" s="39" t="s">
        <v>2926</v>
      </c>
      <c r="J245" s="38" t="s">
        <v>3944</v>
      </c>
    </row>
    <row r="246" ht="26.25" customHeight="1">
      <c r="A246" s="113" t="s">
        <v>2485</v>
      </c>
      <c r="B246" s="35">
        <v>2023.0</v>
      </c>
      <c r="C246" s="17" t="s">
        <v>21</v>
      </c>
      <c r="D246" s="17">
        <v>10725.0</v>
      </c>
      <c r="E246" s="36" t="s">
        <v>3945</v>
      </c>
      <c r="F246" s="43" t="s">
        <v>3946</v>
      </c>
      <c r="G246" s="39" t="s">
        <v>3947</v>
      </c>
      <c r="H246" s="36" t="s">
        <v>3948</v>
      </c>
      <c r="I246" s="38" t="s">
        <v>2944</v>
      </c>
      <c r="J246" s="38" t="s">
        <v>3949</v>
      </c>
    </row>
    <row r="247" ht="26.25" customHeight="1">
      <c r="A247" s="113" t="s">
        <v>2491</v>
      </c>
      <c r="B247" s="35">
        <v>2023.0</v>
      </c>
      <c r="C247" s="17" t="s">
        <v>21</v>
      </c>
      <c r="D247" s="17">
        <v>10676.0</v>
      </c>
      <c r="E247" s="36" t="s">
        <v>3950</v>
      </c>
      <c r="F247" s="43" t="s">
        <v>3951</v>
      </c>
      <c r="G247" s="36" t="s">
        <v>3952</v>
      </c>
      <c r="H247" s="36" t="s">
        <v>3953</v>
      </c>
      <c r="I247" s="38" t="s">
        <v>2938</v>
      </c>
      <c r="J247" s="38" t="s">
        <v>3954</v>
      </c>
    </row>
    <row r="248" ht="26.25" customHeight="1">
      <c r="A248" s="113" t="s">
        <v>2498</v>
      </c>
      <c r="B248" s="35">
        <v>2023.0</v>
      </c>
      <c r="C248" s="17" t="s">
        <v>22</v>
      </c>
      <c r="D248" s="17">
        <v>9340.0</v>
      </c>
      <c r="E248" s="36" t="s">
        <v>3955</v>
      </c>
      <c r="F248" s="43" t="s">
        <v>3956</v>
      </c>
      <c r="G248" s="36" t="s">
        <v>3957</v>
      </c>
      <c r="H248" s="36" t="s">
        <v>3958</v>
      </c>
      <c r="I248" s="38" t="s">
        <v>2983</v>
      </c>
      <c r="J248" s="38" t="s">
        <v>3959</v>
      </c>
    </row>
    <row r="249" ht="26.25" customHeight="1">
      <c r="A249" s="113" t="s">
        <v>2527</v>
      </c>
      <c r="B249" s="35">
        <v>2023.0</v>
      </c>
      <c r="C249" s="17" t="s">
        <v>22</v>
      </c>
      <c r="D249" s="17">
        <v>6679.0</v>
      </c>
      <c r="E249" s="36" t="s">
        <v>3960</v>
      </c>
      <c r="F249" s="43" t="s">
        <v>3961</v>
      </c>
      <c r="G249" s="36" t="s">
        <v>3962</v>
      </c>
      <c r="H249" s="36" t="s">
        <v>3963</v>
      </c>
      <c r="I249" s="38" t="s">
        <v>2950</v>
      </c>
      <c r="J249" s="38" t="s">
        <v>3964</v>
      </c>
    </row>
    <row r="250" ht="26.25" customHeight="1">
      <c r="A250" s="113" t="s">
        <v>2504</v>
      </c>
      <c r="B250" s="35">
        <v>2023.0</v>
      </c>
      <c r="C250" s="17" t="s">
        <v>22</v>
      </c>
      <c r="D250" s="17">
        <v>10703.0</v>
      </c>
      <c r="E250" s="36" t="s">
        <v>3965</v>
      </c>
      <c r="F250" s="43" t="s">
        <v>3966</v>
      </c>
      <c r="G250" s="36" t="s">
        <v>3967</v>
      </c>
      <c r="H250" s="36" t="s">
        <v>3968</v>
      </c>
      <c r="I250" s="38" t="s">
        <v>3133</v>
      </c>
      <c r="J250" s="38" t="s">
        <v>3969</v>
      </c>
    </row>
    <row r="251" ht="26.25" customHeight="1">
      <c r="A251" s="113" t="s">
        <v>2509</v>
      </c>
      <c r="B251" s="35">
        <v>2023.0</v>
      </c>
      <c r="C251" s="17" t="s">
        <v>22</v>
      </c>
      <c r="D251" s="17">
        <v>10815.0</v>
      </c>
      <c r="E251" s="36" t="s">
        <v>3970</v>
      </c>
      <c r="F251" s="43" t="s">
        <v>3971</v>
      </c>
      <c r="G251" s="36" t="s">
        <v>3972</v>
      </c>
      <c r="H251" s="36" t="s">
        <v>3973</v>
      </c>
      <c r="I251" s="39" t="s">
        <v>2926</v>
      </c>
      <c r="J251" s="38" t="s">
        <v>3974</v>
      </c>
    </row>
    <row r="252" ht="26.25" customHeight="1">
      <c r="A252" s="113" t="s">
        <v>2515</v>
      </c>
      <c r="B252" s="17">
        <v>2024.0</v>
      </c>
      <c r="C252" s="17" t="s">
        <v>11</v>
      </c>
      <c r="D252" s="17">
        <v>10901.0</v>
      </c>
      <c r="E252" s="36" t="s">
        <v>3975</v>
      </c>
      <c r="F252" s="43" t="s">
        <v>3976</v>
      </c>
      <c r="G252" s="36" t="s">
        <v>3977</v>
      </c>
      <c r="H252" s="36" t="s">
        <v>3978</v>
      </c>
      <c r="I252" s="38" t="s">
        <v>2926</v>
      </c>
      <c r="J252" s="38" t="s">
        <v>3979</v>
      </c>
    </row>
    <row r="253" ht="26.25" customHeight="1">
      <c r="A253" s="113" t="s">
        <v>2521</v>
      </c>
      <c r="B253" s="17">
        <v>2024.0</v>
      </c>
      <c r="C253" s="17" t="s">
        <v>11</v>
      </c>
      <c r="D253" s="17">
        <v>11004.0</v>
      </c>
      <c r="E253" s="36" t="s">
        <v>3980</v>
      </c>
      <c r="F253" s="43" t="s">
        <v>3981</v>
      </c>
      <c r="G253" s="36" t="s">
        <v>3982</v>
      </c>
      <c r="H253" s="36" t="s">
        <v>3983</v>
      </c>
      <c r="I253" s="38" t="s">
        <v>3139</v>
      </c>
      <c r="J253" s="38" t="s">
        <v>3984</v>
      </c>
    </row>
    <row r="254" ht="26.25" customHeight="1">
      <c r="A254" s="113" t="s">
        <v>2532</v>
      </c>
      <c r="B254" s="17">
        <v>2024.0</v>
      </c>
      <c r="C254" s="17" t="s">
        <v>11</v>
      </c>
      <c r="D254" s="17">
        <v>10964.0</v>
      </c>
      <c r="E254" s="36" t="s">
        <v>3985</v>
      </c>
      <c r="F254" s="43" t="s">
        <v>3986</v>
      </c>
      <c r="G254" s="36" t="s">
        <v>3987</v>
      </c>
      <c r="H254" s="36" t="s">
        <v>3988</v>
      </c>
      <c r="I254" s="38" t="s">
        <v>2938</v>
      </c>
      <c r="J254" s="38" t="s">
        <v>3989</v>
      </c>
    </row>
    <row r="255" ht="26.25" customHeight="1">
      <c r="A255" s="113" t="s">
        <v>2538</v>
      </c>
      <c r="B255" s="17">
        <v>2024.0</v>
      </c>
      <c r="C255" s="17" t="s">
        <v>11</v>
      </c>
      <c r="D255" s="17">
        <v>10966.0</v>
      </c>
      <c r="E255" s="36" t="s">
        <v>3990</v>
      </c>
      <c r="F255" s="43" t="s">
        <v>3991</v>
      </c>
      <c r="G255" s="36" t="s">
        <v>3992</v>
      </c>
      <c r="H255" s="36" t="s">
        <v>3990</v>
      </c>
      <c r="I255" s="38" t="s">
        <v>2926</v>
      </c>
      <c r="J255" s="38" t="s">
        <v>3993</v>
      </c>
    </row>
    <row r="256" ht="26.25" customHeight="1">
      <c r="A256" s="113" t="s">
        <v>2544</v>
      </c>
      <c r="B256" s="17">
        <v>2024.0</v>
      </c>
      <c r="C256" s="17" t="s">
        <v>11</v>
      </c>
      <c r="D256" s="17">
        <v>11019.0</v>
      </c>
      <c r="E256" s="36" t="s">
        <v>3994</v>
      </c>
      <c r="F256" s="43" t="s">
        <v>3995</v>
      </c>
      <c r="G256" s="36" t="s">
        <v>3996</v>
      </c>
      <c r="H256" s="36" t="s">
        <v>3997</v>
      </c>
      <c r="I256" s="38" t="s">
        <v>3139</v>
      </c>
      <c r="J256" s="38" t="s">
        <v>3998</v>
      </c>
    </row>
    <row r="257" ht="26.25" customHeight="1">
      <c r="A257" s="113" t="s">
        <v>2550</v>
      </c>
      <c r="B257" s="17">
        <v>2024.0</v>
      </c>
      <c r="C257" s="17" t="s">
        <v>11</v>
      </c>
      <c r="D257" s="17">
        <v>11165.0</v>
      </c>
      <c r="E257" s="36" t="s">
        <v>3999</v>
      </c>
      <c r="F257" s="43" t="s">
        <v>4000</v>
      </c>
      <c r="G257" s="47"/>
      <c r="H257" s="36" t="s">
        <v>4001</v>
      </c>
      <c r="I257" s="38" t="s">
        <v>2983</v>
      </c>
      <c r="J257" s="38" t="s">
        <v>4002</v>
      </c>
    </row>
    <row r="258" ht="26.25" customHeight="1">
      <c r="A258" s="113" t="s">
        <v>2556</v>
      </c>
      <c r="B258" s="17">
        <v>2024.0</v>
      </c>
      <c r="C258" s="17" t="s">
        <v>11</v>
      </c>
      <c r="D258" s="17">
        <v>11051.0</v>
      </c>
      <c r="E258" s="36" t="s">
        <v>4003</v>
      </c>
      <c r="F258" s="43" t="s">
        <v>4004</v>
      </c>
      <c r="G258" s="36" t="s">
        <v>4005</v>
      </c>
      <c r="H258" s="36" t="s">
        <v>4006</v>
      </c>
      <c r="I258" s="38" t="s">
        <v>2938</v>
      </c>
      <c r="J258" s="38" t="s">
        <v>4007</v>
      </c>
    </row>
    <row r="259" ht="26.25" customHeight="1">
      <c r="A259" s="113" t="s">
        <v>2562</v>
      </c>
      <c r="B259" s="17">
        <v>2024.0</v>
      </c>
      <c r="C259" s="17" t="s">
        <v>11</v>
      </c>
      <c r="D259" s="17">
        <v>7067.0</v>
      </c>
      <c r="E259" s="36" t="s">
        <v>4008</v>
      </c>
      <c r="F259" s="43" t="s">
        <v>4009</v>
      </c>
      <c r="G259" s="36" t="s">
        <v>4010</v>
      </c>
      <c r="H259" s="36" t="s">
        <v>4011</v>
      </c>
      <c r="I259" s="38" t="s">
        <v>2926</v>
      </c>
      <c r="J259" s="38" t="s">
        <v>4012</v>
      </c>
    </row>
    <row r="260" ht="26.25" customHeight="1">
      <c r="A260" s="113" t="s">
        <v>2568</v>
      </c>
      <c r="B260" s="17">
        <v>2024.0</v>
      </c>
      <c r="C260" s="17" t="s">
        <v>11</v>
      </c>
      <c r="D260" s="17">
        <v>10916.0</v>
      </c>
      <c r="E260" s="36" t="s">
        <v>4013</v>
      </c>
      <c r="F260" s="43" t="s">
        <v>4014</v>
      </c>
      <c r="G260" s="47"/>
      <c r="H260" s="36" t="s">
        <v>4015</v>
      </c>
      <c r="I260" s="38" t="s">
        <v>633</v>
      </c>
      <c r="J260" s="38" t="s">
        <v>4016</v>
      </c>
    </row>
    <row r="261" ht="26.25" customHeight="1">
      <c r="A261" s="113" t="s">
        <v>2574</v>
      </c>
      <c r="B261" s="17">
        <v>2024.0</v>
      </c>
      <c r="C261" s="17" t="s">
        <v>11</v>
      </c>
      <c r="D261" s="17">
        <v>11087.0</v>
      </c>
      <c r="E261" s="36" t="s">
        <v>4017</v>
      </c>
      <c r="F261" s="43" t="s">
        <v>4018</v>
      </c>
      <c r="G261" s="36" t="s">
        <v>4019</v>
      </c>
      <c r="H261" s="36" t="s">
        <v>4020</v>
      </c>
      <c r="I261" s="38" t="s">
        <v>2938</v>
      </c>
      <c r="J261" s="38" t="s">
        <v>4021</v>
      </c>
    </row>
    <row r="262" ht="26.25" customHeight="1">
      <c r="A262" s="113" t="s">
        <v>2579</v>
      </c>
      <c r="B262" s="17">
        <v>2024.0</v>
      </c>
      <c r="C262" s="17" t="s">
        <v>11</v>
      </c>
      <c r="D262" s="17">
        <v>10493.0</v>
      </c>
      <c r="E262" s="36" t="s">
        <v>4022</v>
      </c>
      <c r="F262" s="43" t="s">
        <v>3923</v>
      </c>
      <c r="G262" s="36" t="s">
        <v>3924</v>
      </c>
      <c r="H262" s="36" t="s">
        <v>4023</v>
      </c>
      <c r="I262" s="38" t="s">
        <v>2926</v>
      </c>
      <c r="J262" s="38" t="s">
        <v>3926</v>
      </c>
    </row>
    <row r="263" ht="26.25" customHeight="1">
      <c r="A263" s="113" t="s">
        <v>2584</v>
      </c>
      <c r="B263" s="17">
        <v>2024.0</v>
      </c>
      <c r="C263" s="17" t="s">
        <v>11</v>
      </c>
      <c r="D263" s="17">
        <v>11148.0</v>
      </c>
      <c r="E263" s="36" t="s">
        <v>4024</v>
      </c>
      <c r="F263" s="43" t="s">
        <v>4025</v>
      </c>
      <c r="G263" s="36" t="s">
        <v>4026</v>
      </c>
      <c r="H263" s="36" t="s">
        <v>4027</v>
      </c>
      <c r="I263" s="38" t="s">
        <v>2926</v>
      </c>
      <c r="J263" s="38" t="s">
        <v>4028</v>
      </c>
    </row>
    <row r="264" ht="26.25" customHeight="1">
      <c r="A264" s="113" t="s">
        <v>2589</v>
      </c>
      <c r="B264" s="17">
        <v>2024.0</v>
      </c>
      <c r="C264" s="17" t="s">
        <v>12</v>
      </c>
      <c r="D264" s="17">
        <v>11154.0</v>
      </c>
      <c r="E264" s="36" t="s">
        <v>4029</v>
      </c>
      <c r="F264" s="43" t="s">
        <v>4030</v>
      </c>
      <c r="G264" s="36" t="s">
        <v>4031</v>
      </c>
      <c r="H264" s="36" t="s">
        <v>4032</v>
      </c>
      <c r="I264" s="38" t="s">
        <v>633</v>
      </c>
      <c r="J264" s="38" t="s">
        <v>4033</v>
      </c>
    </row>
    <row r="265" ht="26.25" customHeight="1">
      <c r="A265" s="113" t="s">
        <v>2594</v>
      </c>
      <c r="B265" s="17">
        <v>2024.0</v>
      </c>
      <c r="C265" s="17" t="s">
        <v>12</v>
      </c>
      <c r="D265" s="17">
        <v>11113.0</v>
      </c>
      <c r="E265" s="36" t="s">
        <v>4034</v>
      </c>
      <c r="F265" s="43" t="s">
        <v>4035</v>
      </c>
      <c r="G265" s="47"/>
      <c r="H265" s="36" t="s">
        <v>4036</v>
      </c>
      <c r="I265" s="38" t="s">
        <v>2932</v>
      </c>
      <c r="J265" s="38" t="s">
        <v>4037</v>
      </c>
    </row>
    <row r="266" ht="26.25" customHeight="1">
      <c r="A266" s="113" t="s">
        <v>2600</v>
      </c>
      <c r="B266" s="17">
        <v>2024.0</v>
      </c>
      <c r="C266" s="17" t="s">
        <v>12</v>
      </c>
      <c r="D266" s="17">
        <v>11119.0</v>
      </c>
      <c r="E266" s="36" t="s">
        <v>4038</v>
      </c>
      <c r="F266" s="43" t="s">
        <v>4039</v>
      </c>
      <c r="G266" s="47"/>
      <c r="H266" s="36" t="s">
        <v>4040</v>
      </c>
      <c r="I266" s="38" t="s">
        <v>2926</v>
      </c>
      <c r="J266" s="38" t="s">
        <v>4041</v>
      </c>
    </row>
    <row r="267" ht="26.25" customHeight="1">
      <c r="A267" s="113" t="s">
        <v>2606</v>
      </c>
      <c r="B267" s="17">
        <v>2024.0</v>
      </c>
      <c r="C267" s="17" t="s">
        <v>12</v>
      </c>
      <c r="D267" s="17">
        <v>8170.0</v>
      </c>
      <c r="E267" s="36" t="s">
        <v>4042</v>
      </c>
      <c r="F267" s="43" t="s">
        <v>4043</v>
      </c>
      <c r="G267" s="36" t="s">
        <v>4044</v>
      </c>
      <c r="H267" s="36" t="s">
        <v>4045</v>
      </c>
      <c r="I267" s="38" t="s">
        <v>2983</v>
      </c>
      <c r="J267" s="38" t="s">
        <v>4046</v>
      </c>
    </row>
    <row r="268" ht="26.25" customHeight="1">
      <c r="A268" s="113" t="s">
        <v>2611</v>
      </c>
      <c r="B268" s="17">
        <v>2024.0</v>
      </c>
      <c r="C268" s="17" t="s">
        <v>12</v>
      </c>
      <c r="D268" s="17">
        <v>11230.0</v>
      </c>
      <c r="E268" s="36" t="s">
        <v>4047</v>
      </c>
      <c r="F268" s="43" t="s">
        <v>4048</v>
      </c>
      <c r="G268" s="36" t="s">
        <v>4049</v>
      </c>
      <c r="H268" s="36" t="s">
        <v>4050</v>
      </c>
      <c r="I268" s="38" t="s">
        <v>2938</v>
      </c>
      <c r="J268" s="38" t="s">
        <v>4051</v>
      </c>
    </row>
    <row r="269" ht="26.25" customHeight="1">
      <c r="A269" s="113" t="s">
        <v>2617</v>
      </c>
      <c r="B269" s="17">
        <v>2024.0</v>
      </c>
      <c r="C269" s="17" t="s">
        <v>12</v>
      </c>
      <c r="D269" s="17">
        <v>10205.0</v>
      </c>
      <c r="E269" s="36" t="s">
        <v>4052</v>
      </c>
      <c r="F269" s="43" t="s">
        <v>3913</v>
      </c>
      <c r="G269" s="47"/>
      <c r="H269" s="38" t="s">
        <v>4053</v>
      </c>
      <c r="I269" s="38" t="s">
        <v>2944</v>
      </c>
      <c r="J269" s="38" t="s">
        <v>3915</v>
      </c>
    </row>
    <row r="270" ht="26.25" customHeight="1">
      <c r="A270" s="113" t="s">
        <v>2623</v>
      </c>
      <c r="B270" s="17">
        <v>2024.0</v>
      </c>
      <c r="C270" s="17" t="s">
        <v>12</v>
      </c>
      <c r="D270" s="17">
        <v>11249.0</v>
      </c>
      <c r="E270" s="36" t="s">
        <v>4054</v>
      </c>
      <c r="F270" s="43" t="s">
        <v>4055</v>
      </c>
      <c r="G270" s="36" t="s">
        <v>4056</v>
      </c>
      <c r="H270" s="38" t="s">
        <v>4057</v>
      </c>
      <c r="I270" s="38" t="s">
        <v>2932</v>
      </c>
      <c r="J270" s="38" t="s">
        <v>4058</v>
      </c>
    </row>
    <row r="271" ht="26.25" customHeight="1">
      <c r="A271" s="113" t="s">
        <v>2629</v>
      </c>
      <c r="B271" s="17">
        <v>2024.0</v>
      </c>
      <c r="C271" s="17" t="s">
        <v>12</v>
      </c>
      <c r="D271" s="17">
        <v>11307.0</v>
      </c>
      <c r="E271" s="36" t="s">
        <v>4059</v>
      </c>
      <c r="F271" s="43" t="s">
        <v>4060</v>
      </c>
      <c r="G271" s="36" t="s">
        <v>4061</v>
      </c>
      <c r="H271" s="38" t="s">
        <v>4062</v>
      </c>
      <c r="I271" s="38" t="s">
        <v>2983</v>
      </c>
      <c r="J271" s="38" t="s">
        <v>4063</v>
      </c>
    </row>
    <row r="272" ht="26.25" customHeight="1">
      <c r="A272" s="113" t="s">
        <v>2641</v>
      </c>
      <c r="B272" s="17">
        <v>2024.0</v>
      </c>
      <c r="C272" s="17" t="s">
        <v>12</v>
      </c>
      <c r="D272" s="17">
        <v>11194.0</v>
      </c>
      <c r="E272" s="36" t="s">
        <v>4064</v>
      </c>
      <c r="F272" s="43" t="s">
        <v>4065</v>
      </c>
      <c r="G272" s="47"/>
      <c r="H272" s="38" t="s">
        <v>4066</v>
      </c>
      <c r="I272" s="38" t="s">
        <v>2944</v>
      </c>
      <c r="J272" s="38" t="s">
        <v>4067</v>
      </c>
    </row>
    <row r="273" ht="26.25" customHeight="1">
      <c r="A273" s="113" t="s">
        <v>2635</v>
      </c>
      <c r="B273" s="17">
        <v>2024.0</v>
      </c>
      <c r="C273" s="17" t="s">
        <v>12</v>
      </c>
      <c r="D273" s="17">
        <v>11440.0</v>
      </c>
      <c r="E273" s="36" t="s">
        <v>4068</v>
      </c>
      <c r="F273" s="43" t="s">
        <v>4069</v>
      </c>
      <c r="G273" s="36" t="s">
        <v>4070</v>
      </c>
      <c r="H273" s="38" t="s">
        <v>4071</v>
      </c>
      <c r="I273" s="38" t="s">
        <v>633</v>
      </c>
      <c r="J273" s="38" t="s">
        <v>4072</v>
      </c>
    </row>
    <row r="274" ht="26.25" customHeight="1">
      <c r="A274" s="113" t="s">
        <v>2646</v>
      </c>
      <c r="B274" s="17">
        <v>2024.0</v>
      </c>
      <c r="C274" s="17" t="s">
        <v>12</v>
      </c>
      <c r="D274" s="17">
        <v>11337.0</v>
      </c>
      <c r="E274" s="36" t="s">
        <v>4073</v>
      </c>
      <c r="F274" s="43" t="s">
        <v>4074</v>
      </c>
      <c r="G274" s="36" t="s">
        <v>4075</v>
      </c>
      <c r="H274" s="38" t="s">
        <v>4076</v>
      </c>
      <c r="I274" s="38" t="s">
        <v>633</v>
      </c>
      <c r="J274" s="38" t="s">
        <v>4077</v>
      </c>
    </row>
    <row r="275" ht="26.25" customHeight="1">
      <c r="A275" s="113" t="s">
        <v>2652</v>
      </c>
      <c r="B275" s="17">
        <v>2024.0</v>
      </c>
      <c r="C275" s="17" t="s">
        <v>13</v>
      </c>
      <c r="D275" s="17">
        <v>11375.0</v>
      </c>
      <c r="E275" s="36" t="s">
        <v>4078</v>
      </c>
      <c r="F275" s="43" t="s">
        <v>4079</v>
      </c>
      <c r="G275" s="47"/>
      <c r="H275" s="38" t="s">
        <v>4080</v>
      </c>
      <c r="I275" s="36" t="s">
        <v>2926</v>
      </c>
      <c r="J275" s="38" t="s">
        <v>4081</v>
      </c>
    </row>
    <row r="276" ht="26.25" customHeight="1">
      <c r="A276" s="113" t="s">
        <v>2658</v>
      </c>
      <c r="B276" s="17">
        <v>2024.0</v>
      </c>
      <c r="C276" s="17" t="s">
        <v>13</v>
      </c>
      <c r="D276" s="17">
        <v>11351.0</v>
      </c>
      <c r="E276" s="36" t="s">
        <v>4082</v>
      </c>
      <c r="F276" s="43" t="s">
        <v>4083</v>
      </c>
      <c r="G276" s="36" t="s">
        <v>4084</v>
      </c>
      <c r="H276" s="38" t="s">
        <v>4085</v>
      </c>
      <c r="I276" s="36" t="s">
        <v>2944</v>
      </c>
      <c r="J276" s="38" t="s">
        <v>4086</v>
      </c>
    </row>
    <row r="277" ht="26.25" customHeight="1">
      <c r="A277" s="113" t="s">
        <v>2664</v>
      </c>
      <c r="B277" s="17">
        <v>2024.0</v>
      </c>
      <c r="C277" s="17" t="s">
        <v>13</v>
      </c>
      <c r="D277" s="17">
        <v>11356.0</v>
      </c>
      <c r="E277" s="36" t="s">
        <v>4087</v>
      </c>
      <c r="F277" s="43" t="s">
        <v>4088</v>
      </c>
      <c r="G277" s="47"/>
      <c r="H277" s="38" t="s">
        <v>4089</v>
      </c>
      <c r="I277" s="36" t="s">
        <v>2944</v>
      </c>
      <c r="J277" s="38" t="s">
        <v>4090</v>
      </c>
    </row>
    <row r="278" ht="26.25" customHeight="1">
      <c r="A278" s="113" t="s">
        <v>2671</v>
      </c>
      <c r="B278" s="17">
        <v>2024.0</v>
      </c>
      <c r="C278" s="17" t="s">
        <v>13</v>
      </c>
      <c r="D278" s="17">
        <v>11494.0</v>
      </c>
      <c r="E278" s="36" t="s">
        <v>4091</v>
      </c>
      <c r="F278" s="43" t="s">
        <v>4092</v>
      </c>
      <c r="G278" s="36" t="s">
        <v>4093</v>
      </c>
      <c r="H278" s="38" t="s">
        <v>4094</v>
      </c>
      <c r="I278" s="36" t="s">
        <v>2983</v>
      </c>
      <c r="J278" s="38" t="s">
        <v>4095</v>
      </c>
    </row>
    <row r="279" ht="26.25" customHeight="1">
      <c r="A279" s="113" t="s">
        <v>2676</v>
      </c>
      <c r="B279" s="17">
        <v>2024.0</v>
      </c>
      <c r="C279" s="17" t="s">
        <v>13</v>
      </c>
      <c r="D279" s="17">
        <v>11418.0</v>
      </c>
      <c r="E279" s="36" t="s">
        <v>4096</v>
      </c>
      <c r="F279" s="43" t="s">
        <v>4097</v>
      </c>
      <c r="G279" s="36" t="s">
        <v>4098</v>
      </c>
      <c r="H279" s="38" t="s">
        <v>4099</v>
      </c>
      <c r="I279" s="36" t="s">
        <v>2983</v>
      </c>
      <c r="J279" s="38" t="s">
        <v>4100</v>
      </c>
    </row>
    <row r="280" ht="26.25" customHeight="1">
      <c r="A280" s="113" t="s">
        <v>2682</v>
      </c>
      <c r="B280" s="17">
        <v>2024.0</v>
      </c>
      <c r="C280" s="17" t="s">
        <v>13</v>
      </c>
      <c r="D280" s="17">
        <v>10205.0</v>
      </c>
      <c r="E280" s="36" t="s">
        <v>4052</v>
      </c>
      <c r="F280" s="43" t="s">
        <v>3913</v>
      </c>
      <c r="G280" s="47"/>
      <c r="H280" s="38" t="s">
        <v>4101</v>
      </c>
      <c r="I280" s="36" t="s">
        <v>2944</v>
      </c>
      <c r="J280" s="38" t="s">
        <v>4102</v>
      </c>
    </row>
    <row r="281" ht="26.25" customHeight="1">
      <c r="A281" s="113" t="s">
        <v>2688</v>
      </c>
      <c r="B281" s="17">
        <v>2024.0</v>
      </c>
      <c r="C281" s="17" t="s">
        <v>13</v>
      </c>
      <c r="D281" s="17">
        <v>11562.0</v>
      </c>
      <c r="E281" s="36" t="s">
        <v>4103</v>
      </c>
      <c r="F281" s="43" t="s">
        <v>4104</v>
      </c>
      <c r="G281" s="36" t="s">
        <v>4105</v>
      </c>
      <c r="H281" s="38" t="s">
        <v>4106</v>
      </c>
      <c r="I281" s="36" t="s">
        <v>2926</v>
      </c>
      <c r="J281" s="38" t="s">
        <v>4107</v>
      </c>
    </row>
    <row r="282" ht="26.25" customHeight="1">
      <c r="A282" s="113" t="s">
        <v>2694</v>
      </c>
      <c r="B282" s="17">
        <v>2024.0</v>
      </c>
      <c r="C282" s="17" t="s">
        <v>14</v>
      </c>
      <c r="D282" s="17">
        <v>11686.0</v>
      </c>
      <c r="E282" s="36" t="s">
        <v>4108</v>
      </c>
      <c r="F282" s="48" t="s">
        <v>4109</v>
      </c>
      <c r="G282" s="36" t="s">
        <v>4110</v>
      </c>
      <c r="H282" s="36" t="s">
        <v>4111</v>
      </c>
      <c r="I282" s="36" t="s">
        <v>2938</v>
      </c>
      <c r="J282" s="38" t="s">
        <v>4112</v>
      </c>
    </row>
    <row r="283" ht="26.25" customHeight="1">
      <c r="A283" s="113" t="s">
        <v>2698</v>
      </c>
      <c r="B283" s="17">
        <v>2024.0</v>
      </c>
      <c r="C283" s="17" t="s">
        <v>14</v>
      </c>
      <c r="D283" s="17">
        <v>11790.0</v>
      </c>
      <c r="E283" s="36" t="s">
        <v>4113</v>
      </c>
      <c r="F283" s="48" t="s">
        <v>4114</v>
      </c>
      <c r="G283" s="36" t="s">
        <v>4115</v>
      </c>
      <c r="H283" s="36" t="s">
        <v>4116</v>
      </c>
      <c r="I283" s="36" t="s">
        <v>3357</v>
      </c>
      <c r="J283" s="38" t="s">
        <v>4117</v>
      </c>
    </row>
    <row r="284" ht="26.25" customHeight="1">
      <c r="A284" s="113" t="s">
        <v>2700</v>
      </c>
      <c r="B284" s="17">
        <v>2024.0</v>
      </c>
      <c r="C284" s="17" t="s">
        <v>14</v>
      </c>
      <c r="D284" s="17">
        <v>11869.0</v>
      </c>
      <c r="E284" s="36" t="s">
        <v>4118</v>
      </c>
      <c r="F284" s="48" t="s">
        <v>4119</v>
      </c>
      <c r="G284" s="36" t="s">
        <v>4120</v>
      </c>
      <c r="H284" s="36" t="s">
        <v>4121</v>
      </c>
      <c r="I284" s="36" t="s">
        <v>2938</v>
      </c>
      <c r="J284" s="38" t="s">
        <v>4122</v>
      </c>
    </row>
    <row r="285" ht="26.25" customHeight="1">
      <c r="A285" s="113" t="s">
        <v>2706</v>
      </c>
      <c r="B285" s="17">
        <v>2024.0</v>
      </c>
      <c r="C285" s="17" t="s">
        <v>14</v>
      </c>
      <c r="D285" s="17">
        <v>11882.0</v>
      </c>
      <c r="E285" s="36" t="s">
        <v>4123</v>
      </c>
      <c r="F285" s="48" t="s">
        <v>4124</v>
      </c>
      <c r="G285" s="36" t="s">
        <v>4125</v>
      </c>
      <c r="H285" s="36" t="s">
        <v>4123</v>
      </c>
      <c r="I285" s="36" t="s">
        <v>2983</v>
      </c>
      <c r="J285" s="38" t="s">
        <v>4126</v>
      </c>
    </row>
    <row r="286" ht="26.25" customHeight="1">
      <c r="A286" s="113" t="s">
        <v>2712</v>
      </c>
      <c r="B286" s="17">
        <v>2024.0</v>
      </c>
      <c r="C286" s="17" t="s">
        <v>15</v>
      </c>
      <c r="D286" s="17">
        <v>8847.0</v>
      </c>
      <c r="E286" s="36" t="s">
        <v>4127</v>
      </c>
      <c r="F286" s="48" t="s">
        <v>4128</v>
      </c>
      <c r="G286" s="36" t="s">
        <v>3753</v>
      </c>
      <c r="H286" s="36" t="s">
        <v>4129</v>
      </c>
      <c r="I286" s="36" t="s">
        <v>2944</v>
      </c>
      <c r="J286" s="38" t="s">
        <v>3755</v>
      </c>
    </row>
    <row r="287" ht="26.25" customHeight="1">
      <c r="A287" s="113" t="s">
        <v>2714</v>
      </c>
      <c r="B287" s="17">
        <v>2024.0</v>
      </c>
      <c r="C287" s="17" t="s">
        <v>15</v>
      </c>
      <c r="D287" s="17">
        <v>10205.0</v>
      </c>
      <c r="E287" s="36" t="s">
        <v>3912</v>
      </c>
      <c r="F287" s="48" t="s">
        <v>3913</v>
      </c>
      <c r="G287" s="47"/>
      <c r="H287" s="36" t="s">
        <v>4130</v>
      </c>
      <c r="I287" s="36" t="s">
        <v>2944</v>
      </c>
      <c r="J287" s="38" t="s">
        <v>4131</v>
      </c>
    </row>
    <row r="288" ht="26.25" customHeight="1">
      <c r="A288" s="113" t="s">
        <v>2720</v>
      </c>
      <c r="B288" s="17">
        <v>2024.0</v>
      </c>
      <c r="C288" s="17" t="s">
        <v>15</v>
      </c>
      <c r="D288" s="17">
        <v>11985.0</v>
      </c>
      <c r="E288" s="36" t="s">
        <v>4132</v>
      </c>
      <c r="F288" s="48" t="s">
        <v>4133</v>
      </c>
      <c r="G288" s="47"/>
      <c r="H288" s="36" t="s">
        <v>4134</v>
      </c>
      <c r="I288" s="36" t="s">
        <v>4135</v>
      </c>
      <c r="J288" s="38" t="s">
        <v>4136</v>
      </c>
    </row>
    <row r="289" ht="26.25" customHeight="1">
      <c r="A289" s="113" t="s">
        <v>2726</v>
      </c>
      <c r="B289" s="17">
        <v>2024.0</v>
      </c>
      <c r="C289" s="17" t="s">
        <v>15</v>
      </c>
      <c r="D289" s="17">
        <v>2316.0</v>
      </c>
      <c r="E289" s="36" t="s">
        <v>4137</v>
      </c>
      <c r="F289" s="48" t="s">
        <v>4138</v>
      </c>
      <c r="G289" s="36" t="s">
        <v>3137</v>
      </c>
      <c r="H289" s="36" t="s">
        <v>4139</v>
      </c>
      <c r="I289" s="36" t="s">
        <v>3139</v>
      </c>
      <c r="J289" s="38" t="s">
        <v>4140</v>
      </c>
    </row>
    <row r="290" ht="26.25" customHeight="1">
      <c r="A290" s="113" t="s">
        <v>2730</v>
      </c>
      <c r="B290" s="17">
        <v>2024.0</v>
      </c>
      <c r="C290" s="17" t="s">
        <v>15</v>
      </c>
      <c r="D290" s="17">
        <v>12142.0</v>
      </c>
      <c r="E290" s="36" t="s">
        <v>4141</v>
      </c>
      <c r="F290" s="48" t="s">
        <v>4142</v>
      </c>
      <c r="G290" s="47"/>
      <c r="H290" s="36" t="s">
        <v>4143</v>
      </c>
      <c r="I290" s="36" t="s">
        <v>2983</v>
      </c>
      <c r="J290" s="38" t="s">
        <v>4144</v>
      </c>
    </row>
    <row r="291" ht="26.25" customHeight="1">
      <c r="A291" s="113" t="s">
        <v>2736</v>
      </c>
      <c r="B291" s="17">
        <v>2024.0</v>
      </c>
      <c r="C291" s="17" t="s">
        <v>15</v>
      </c>
      <c r="D291" s="17">
        <v>12216.0</v>
      </c>
      <c r="E291" s="36" t="s">
        <v>4145</v>
      </c>
      <c r="F291" s="48" t="s">
        <v>4146</v>
      </c>
      <c r="G291" s="36" t="s">
        <v>4147</v>
      </c>
      <c r="H291" s="36" t="s">
        <v>4148</v>
      </c>
      <c r="I291" s="36" t="s">
        <v>2983</v>
      </c>
      <c r="J291" s="38" t="s">
        <v>4149</v>
      </c>
    </row>
    <row r="292" ht="26.25" customHeight="1">
      <c r="A292" s="113" t="s">
        <v>2741</v>
      </c>
      <c r="B292" s="17">
        <v>2024.0</v>
      </c>
      <c r="C292" s="17" t="s">
        <v>16</v>
      </c>
      <c r="D292" s="35">
        <v>3694.0</v>
      </c>
      <c r="E292" s="36" t="s">
        <v>3312</v>
      </c>
      <c r="F292" s="48" t="s">
        <v>4150</v>
      </c>
      <c r="G292" s="36" t="s">
        <v>3314</v>
      </c>
      <c r="H292" s="36" t="s">
        <v>4151</v>
      </c>
      <c r="I292" s="36" t="s">
        <v>2932</v>
      </c>
      <c r="J292" s="38" t="s">
        <v>3316</v>
      </c>
    </row>
    <row r="293" ht="26.25" customHeight="1">
      <c r="A293" s="113" t="s">
        <v>2744</v>
      </c>
      <c r="B293" s="17">
        <v>2024.0</v>
      </c>
      <c r="C293" s="17" t="s">
        <v>16</v>
      </c>
      <c r="D293" s="35">
        <v>11180.0</v>
      </c>
      <c r="E293" s="36" t="s">
        <v>4152</v>
      </c>
      <c r="F293" s="48" t="s">
        <v>4153</v>
      </c>
      <c r="G293" s="36" t="s">
        <v>4154</v>
      </c>
      <c r="H293" s="36" t="s">
        <v>4155</v>
      </c>
      <c r="I293" s="36" t="s">
        <v>2932</v>
      </c>
      <c r="J293" s="38" t="s">
        <v>4156</v>
      </c>
    </row>
    <row r="294" ht="26.25" customHeight="1">
      <c r="A294" s="113" t="s">
        <v>4157</v>
      </c>
      <c r="B294" s="17">
        <v>2024.0</v>
      </c>
      <c r="C294" s="17" t="s">
        <v>16</v>
      </c>
      <c r="D294" s="35">
        <v>12245.0</v>
      </c>
      <c r="E294" s="36" t="s">
        <v>4158</v>
      </c>
      <c r="F294" s="48" t="s">
        <v>4159</v>
      </c>
      <c r="G294" s="36" t="s">
        <v>4160</v>
      </c>
      <c r="H294" s="36" t="s">
        <v>4161</v>
      </c>
      <c r="I294" s="36" t="s">
        <v>3088</v>
      </c>
      <c r="J294" s="38" t="s">
        <v>4162</v>
      </c>
    </row>
    <row r="295" ht="26.25" customHeight="1">
      <c r="A295" s="113" t="s">
        <v>2750</v>
      </c>
      <c r="B295" s="17">
        <v>2024.0</v>
      </c>
      <c r="C295" s="17" t="s">
        <v>16</v>
      </c>
      <c r="D295" s="35">
        <v>7934.0</v>
      </c>
      <c r="E295" s="36" t="s">
        <v>4163</v>
      </c>
      <c r="F295" s="48" t="s">
        <v>4164</v>
      </c>
      <c r="G295" s="36" t="s">
        <v>3672</v>
      </c>
      <c r="H295" s="36" t="s">
        <v>4165</v>
      </c>
      <c r="I295" s="36" t="s">
        <v>2983</v>
      </c>
      <c r="J295" s="38" t="s">
        <v>4166</v>
      </c>
    </row>
    <row r="296" ht="26.25" customHeight="1">
      <c r="A296" s="113" t="s">
        <v>2753</v>
      </c>
      <c r="B296" s="17">
        <v>2024.0</v>
      </c>
      <c r="C296" s="17" t="s">
        <v>16</v>
      </c>
      <c r="D296" s="35">
        <v>8444.0</v>
      </c>
      <c r="E296" s="36" t="s">
        <v>3702</v>
      </c>
      <c r="F296" s="48" t="s">
        <v>3703</v>
      </c>
      <c r="G296" s="36" t="s">
        <v>3704</v>
      </c>
      <c r="H296" s="36" t="s">
        <v>4167</v>
      </c>
      <c r="I296" s="36" t="s">
        <v>2926</v>
      </c>
      <c r="J296" s="38" t="s">
        <v>4168</v>
      </c>
    </row>
    <row r="297" ht="26.25" customHeight="1">
      <c r="A297" s="113" t="s">
        <v>2759</v>
      </c>
      <c r="B297" s="17">
        <v>2024.0</v>
      </c>
      <c r="C297" s="17" t="s">
        <v>16</v>
      </c>
      <c r="D297" s="35">
        <v>12369.0</v>
      </c>
      <c r="E297" s="36" t="s">
        <v>4169</v>
      </c>
      <c r="F297" s="48" t="s">
        <v>4170</v>
      </c>
      <c r="G297" s="36" t="s">
        <v>4171</v>
      </c>
      <c r="H297" s="36" t="s">
        <v>4172</v>
      </c>
      <c r="I297" s="36" t="s">
        <v>633</v>
      </c>
      <c r="J297" s="38" t="s">
        <v>4173</v>
      </c>
    </row>
    <row r="298" ht="26.25" customHeight="1">
      <c r="A298" s="113" t="s">
        <v>2765</v>
      </c>
      <c r="B298" s="17">
        <v>2024.0</v>
      </c>
      <c r="C298" s="17" t="s">
        <v>16</v>
      </c>
      <c r="D298" s="35">
        <v>12289.0</v>
      </c>
      <c r="E298" s="36" t="s">
        <v>4174</v>
      </c>
      <c r="F298" s="48" t="s">
        <v>4175</v>
      </c>
      <c r="G298" s="36" t="s">
        <v>4176</v>
      </c>
      <c r="H298" s="36" t="s">
        <v>4177</v>
      </c>
      <c r="I298" s="36" t="s">
        <v>633</v>
      </c>
      <c r="J298" s="38" t="s">
        <v>4178</v>
      </c>
    </row>
    <row r="299" ht="26.25" customHeight="1">
      <c r="A299" s="113" t="s">
        <v>4179</v>
      </c>
      <c r="B299" s="17">
        <v>2024.0</v>
      </c>
      <c r="C299" s="17" t="s">
        <v>16</v>
      </c>
      <c r="D299" s="35">
        <v>12305.0</v>
      </c>
      <c r="E299" s="36" t="s">
        <v>4180</v>
      </c>
      <c r="F299" s="48" t="s">
        <v>4181</v>
      </c>
      <c r="G299" s="47"/>
      <c r="H299" s="36" t="s">
        <v>4182</v>
      </c>
      <c r="I299" s="36" t="s">
        <v>2983</v>
      </c>
      <c r="J299" s="38" t="s">
        <v>4183</v>
      </c>
    </row>
    <row r="300" ht="26.25" customHeight="1">
      <c r="A300" s="113" t="s">
        <v>2771</v>
      </c>
      <c r="B300" s="17">
        <v>2024.0</v>
      </c>
      <c r="C300" s="17" t="s">
        <v>16</v>
      </c>
      <c r="D300" s="35">
        <v>12327.0</v>
      </c>
      <c r="E300" s="36" t="s">
        <v>4184</v>
      </c>
      <c r="F300" s="48" t="s">
        <v>4185</v>
      </c>
      <c r="G300" s="47"/>
      <c r="H300" s="36" t="s">
        <v>4186</v>
      </c>
      <c r="I300" s="36" t="s">
        <v>633</v>
      </c>
      <c r="J300" s="38" t="s">
        <v>4187</v>
      </c>
    </row>
    <row r="301" ht="26.25" customHeight="1">
      <c r="A301" s="113" t="s">
        <v>2777</v>
      </c>
      <c r="B301" s="17">
        <v>2024.0</v>
      </c>
      <c r="C301" s="17" t="s">
        <v>16</v>
      </c>
      <c r="D301" s="35">
        <v>12347.0</v>
      </c>
      <c r="E301" s="36" t="s">
        <v>4188</v>
      </c>
      <c r="F301" s="48" t="s">
        <v>4189</v>
      </c>
      <c r="G301" s="36" t="s">
        <v>4190</v>
      </c>
      <c r="H301" s="36" t="s">
        <v>4191</v>
      </c>
      <c r="I301" s="36" t="s">
        <v>2926</v>
      </c>
      <c r="J301" s="38" t="s">
        <v>4192</v>
      </c>
    </row>
    <row r="302" ht="26.25" customHeight="1">
      <c r="A302" s="113" t="s">
        <v>2783</v>
      </c>
      <c r="B302" s="17">
        <v>2024.0</v>
      </c>
      <c r="C302" s="17" t="s">
        <v>16</v>
      </c>
      <c r="D302" s="35">
        <v>12180.0</v>
      </c>
      <c r="E302" s="36" t="s">
        <v>4193</v>
      </c>
      <c r="F302" s="48" t="s">
        <v>4194</v>
      </c>
      <c r="G302" s="36" t="s">
        <v>4195</v>
      </c>
      <c r="H302" s="36" t="s">
        <v>4193</v>
      </c>
      <c r="I302" s="36" t="s">
        <v>2932</v>
      </c>
      <c r="J302" s="38" t="s">
        <v>4196</v>
      </c>
    </row>
    <row r="303" ht="26.25" customHeight="1">
      <c r="A303" s="113" t="s">
        <v>4197</v>
      </c>
      <c r="B303" s="17">
        <v>2024.0</v>
      </c>
      <c r="C303" s="17" t="s">
        <v>16</v>
      </c>
      <c r="D303" s="35">
        <v>7090.0</v>
      </c>
      <c r="E303" s="36" t="s">
        <v>3578</v>
      </c>
      <c r="F303" s="48" t="s">
        <v>4198</v>
      </c>
      <c r="G303" s="36" t="s">
        <v>3580</v>
      </c>
      <c r="H303" s="122" t="s">
        <v>4199</v>
      </c>
      <c r="I303" s="36" t="s">
        <v>633</v>
      </c>
      <c r="J303" s="38" t="s">
        <v>4200</v>
      </c>
    </row>
    <row r="304" ht="26.25" customHeight="1">
      <c r="A304" s="113" t="s">
        <v>4201</v>
      </c>
      <c r="B304" s="17">
        <v>2024.0</v>
      </c>
      <c r="C304" s="17" t="s">
        <v>16</v>
      </c>
      <c r="D304" s="35">
        <v>12517.0</v>
      </c>
      <c r="E304" s="36" t="s">
        <v>4202</v>
      </c>
      <c r="F304" s="48" t="s">
        <v>4203</v>
      </c>
      <c r="G304" s="36" t="s">
        <v>4204</v>
      </c>
      <c r="H304" s="36" t="s">
        <v>4205</v>
      </c>
      <c r="I304" s="36" t="s">
        <v>3462</v>
      </c>
      <c r="J304" s="38" t="s">
        <v>4206</v>
      </c>
    </row>
    <row r="305" ht="26.25" customHeight="1">
      <c r="A305" s="113" t="s">
        <v>4207</v>
      </c>
      <c r="B305" s="17">
        <v>2024.0</v>
      </c>
      <c r="C305" s="17" t="s">
        <v>17</v>
      </c>
      <c r="D305" s="35">
        <v>12584.0</v>
      </c>
      <c r="E305" s="36" t="s">
        <v>4208</v>
      </c>
      <c r="F305" s="48" t="s">
        <v>4209</v>
      </c>
      <c r="G305" s="36" t="s">
        <v>4210</v>
      </c>
      <c r="H305" s="36" t="s">
        <v>4211</v>
      </c>
      <c r="I305" s="36" t="s">
        <v>2983</v>
      </c>
      <c r="J305" s="38" t="s">
        <v>4212</v>
      </c>
    </row>
    <row r="306" ht="26.25" customHeight="1">
      <c r="A306" s="113" t="s">
        <v>4213</v>
      </c>
      <c r="B306" s="17">
        <v>2024.0</v>
      </c>
      <c r="C306" s="17" t="s">
        <v>17</v>
      </c>
      <c r="D306" s="35">
        <v>10205.0</v>
      </c>
      <c r="E306" s="36" t="s">
        <v>3912</v>
      </c>
      <c r="F306" s="48" t="s">
        <v>3913</v>
      </c>
      <c r="G306" s="47"/>
      <c r="H306" s="36" t="s">
        <v>4214</v>
      </c>
      <c r="I306" s="36" t="s">
        <v>2944</v>
      </c>
      <c r="J306" s="38" t="s">
        <v>4215</v>
      </c>
    </row>
    <row r="307" ht="26.25" customHeight="1">
      <c r="A307" s="113" t="s">
        <v>4216</v>
      </c>
      <c r="B307" s="17">
        <v>2024.0</v>
      </c>
      <c r="C307" s="17" t="s">
        <v>17</v>
      </c>
      <c r="D307" s="35">
        <v>10205.0</v>
      </c>
      <c r="E307" s="37" t="s">
        <v>3912</v>
      </c>
      <c r="F307" s="72" t="s">
        <v>3913</v>
      </c>
      <c r="G307" s="123"/>
      <c r="H307" s="37" t="s">
        <v>4217</v>
      </c>
      <c r="I307" s="37" t="s">
        <v>2944</v>
      </c>
      <c r="J307" s="38" t="s">
        <v>4218</v>
      </c>
    </row>
    <row r="308" ht="26.25" customHeight="1">
      <c r="A308" s="113" t="s">
        <v>4219</v>
      </c>
      <c r="B308" s="17">
        <v>2024.0</v>
      </c>
      <c r="C308" s="17" t="s">
        <v>17</v>
      </c>
      <c r="D308" s="15">
        <v>10205.0</v>
      </c>
      <c r="E308" s="49" t="s">
        <v>3912</v>
      </c>
      <c r="F308" s="50" t="s">
        <v>3913</v>
      </c>
      <c r="G308" s="123"/>
      <c r="H308" s="49" t="s">
        <v>4220</v>
      </c>
      <c r="I308" s="49" t="s">
        <v>2944</v>
      </c>
      <c r="J308" s="38" t="s">
        <v>4215</v>
      </c>
    </row>
    <row r="309" ht="26.25" customHeight="1">
      <c r="A309" s="113" t="s">
        <v>4221</v>
      </c>
      <c r="B309" s="17">
        <v>2024.0</v>
      </c>
      <c r="C309" s="17" t="s">
        <v>17</v>
      </c>
      <c r="D309" s="57">
        <v>12686.0</v>
      </c>
      <c r="E309" s="58" t="s">
        <v>1805</v>
      </c>
      <c r="F309" s="91" t="s">
        <v>4222</v>
      </c>
      <c r="G309" s="37" t="s">
        <v>4223</v>
      </c>
      <c r="H309" s="58" t="s">
        <v>4224</v>
      </c>
      <c r="I309" s="58" t="s">
        <v>2932</v>
      </c>
      <c r="J309" s="38" t="s">
        <v>4225</v>
      </c>
    </row>
    <row r="310" ht="26.25" customHeight="1">
      <c r="A310" s="113" t="s">
        <v>4226</v>
      </c>
      <c r="B310" s="17">
        <v>2024.0</v>
      </c>
      <c r="C310" s="17" t="s">
        <v>17</v>
      </c>
      <c r="D310" s="15">
        <v>12601.0</v>
      </c>
      <c r="E310" s="49" t="s">
        <v>4227</v>
      </c>
      <c r="F310" s="50" t="s">
        <v>4228</v>
      </c>
      <c r="G310" s="37" t="s">
        <v>4229</v>
      </c>
      <c r="H310" s="49" t="s">
        <v>4230</v>
      </c>
      <c r="I310" s="49" t="s">
        <v>633</v>
      </c>
      <c r="J310" s="38" t="s">
        <v>4231</v>
      </c>
    </row>
    <row r="311" ht="26.25" customHeight="1">
      <c r="A311" s="113" t="s">
        <v>4232</v>
      </c>
      <c r="B311" s="17">
        <v>2024.0</v>
      </c>
      <c r="C311" s="17" t="s">
        <v>17</v>
      </c>
      <c r="D311" s="15">
        <v>12706.0</v>
      </c>
      <c r="E311" s="49" t="s">
        <v>4233</v>
      </c>
      <c r="F311" s="50" t="s">
        <v>4234</v>
      </c>
      <c r="G311" s="37" t="s">
        <v>4235</v>
      </c>
      <c r="H311" s="49" t="s">
        <v>4236</v>
      </c>
      <c r="I311" s="49" t="s">
        <v>633</v>
      </c>
      <c r="J311" s="38" t="s">
        <v>4237</v>
      </c>
    </row>
    <row r="312" ht="26.25" customHeight="1">
      <c r="A312" s="113" t="s">
        <v>4238</v>
      </c>
      <c r="B312" s="17">
        <v>2024.0</v>
      </c>
      <c r="C312" s="17" t="s">
        <v>17</v>
      </c>
      <c r="D312" s="15">
        <v>12704.0</v>
      </c>
      <c r="E312" s="49" t="s">
        <v>4239</v>
      </c>
      <c r="F312" s="50" t="s">
        <v>4240</v>
      </c>
      <c r="G312" s="49" t="s">
        <v>4241</v>
      </c>
      <c r="H312" s="49" t="s">
        <v>4242</v>
      </c>
      <c r="I312" s="49" t="s">
        <v>633</v>
      </c>
      <c r="J312" s="38" t="s">
        <v>4243</v>
      </c>
    </row>
    <row r="313" ht="26.25" customHeight="1">
      <c r="A313" s="113" t="s">
        <v>4244</v>
      </c>
      <c r="B313" s="17">
        <v>2024.0</v>
      </c>
      <c r="C313" s="17" t="s">
        <v>17</v>
      </c>
      <c r="D313" s="15">
        <v>4621.0</v>
      </c>
      <c r="E313" s="77" t="s">
        <v>3364</v>
      </c>
      <c r="F313" s="50" t="s">
        <v>3365</v>
      </c>
      <c r="G313" s="49" t="s">
        <v>3366</v>
      </c>
      <c r="H313" s="49" t="s">
        <v>4245</v>
      </c>
      <c r="I313" s="49" t="s">
        <v>2926</v>
      </c>
      <c r="J313" s="38" t="s">
        <v>4246</v>
      </c>
    </row>
    <row r="314" ht="26.25" customHeight="1">
      <c r="A314" s="113" t="s">
        <v>4247</v>
      </c>
      <c r="B314" s="17">
        <v>2024.0</v>
      </c>
      <c r="C314" s="17" t="s">
        <v>18</v>
      </c>
      <c r="D314" s="15">
        <v>4446.0</v>
      </c>
      <c r="E314" s="77" t="s">
        <v>4248</v>
      </c>
      <c r="F314" s="50" t="s">
        <v>4249</v>
      </c>
      <c r="G314" s="49" t="s">
        <v>3476</v>
      </c>
      <c r="H314" s="49" t="s">
        <v>4250</v>
      </c>
      <c r="I314" s="49" t="s">
        <v>2932</v>
      </c>
      <c r="J314" s="38" t="s">
        <v>4251</v>
      </c>
    </row>
    <row r="315" ht="26.25" customHeight="1">
      <c r="A315" s="113" t="s">
        <v>4252</v>
      </c>
      <c r="B315" s="17">
        <v>2024.0</v>
      </c>
      <c r="C315" s="17" t="s">
        <v>18</v>
      </c>
      <c r="D315" s="15">
        <v>12251.0</v>
      </c>
      <c r="E315" s="77" t="s">
        <v>4253</v>
      </c>
      <c r="F315" s="50" t="s">
        <v>4254</v>
      </c>
      <c r="G315" s="49" t="s">
        <v>4255</v>
      </c>
      <c r="H315" s="49" t="s">
        <v>4256</v>
      </c>
      <c r="I315" s="49" t="s">
        <v>3139</v>
      </c>
      <c r="J315" s="38" t="s">
        <v>4257</v>
      </c>
    </row>
    <row r="316" ht="26.25" customHeight="1">
      <c r="A316" s="113" t="s">
        <v>4258</v>
      </c>
      <c r="B316" s="17">
        <v>2024.0</v>
      </c>
      <c r="C316" s="17" t="s">
        <v>18</v>
      </c>
      <c r="D316" s="15">
        <v>9805.0</v>
      </c>
      <c r="E316" s="77" t="s">
        <v>4259</v>
      </c>
      <c r="F316" s="50" t="s">
        <v>3856</v>
      </c>
      <c r="G316" s="49" t="s">
        <v>3857</v>
      </c>
      <c r="H316" s="49" t="s">
        <v>4260</v>
      </c>
      <c r="I316" s="49" t="s">
        <v>2944</v>
      </c>
      <c r="J316" s="38" t="s">
        <v>3859</v>
      </c>
    </row>
    <row r="317" ht="26.25" customHeight="1">
      <c r="A317" s="113" t="s">
        <v>4261</v>
      </c>
      <c r="B317" s="17">
        <v>2024.0</v>
      </c>
      <c r="C317" s="17" t="s">
        <v>18</v>
      </c>
      <c r="D317" s="15">
        <v>11004.0</v>
      </c>
      <c r="E317" s="77" t="s">
        <v>3980</v>
      </c>
      <c r="F317" s="50" t="s">
        <v>3981</v>
      </c>
      <c r="G317" s="49" t="s">
        <v>3982</v>
      </c>
      <c r="H317" s="49" t="s">
        <v>4262</v>
      </c>
      <c r="I317" s="49" t="s">
        <v>3139</v>
      </c>
      <c r="J317" s="38" t="s">
        <v>3984</v>
      </c>
    </row>
    <row r="318" ht="26.25" customHeight="1">
      <c r="A318" s="113" t="s">
        <v>4263</v>
      </c>
      <c r="B318" s="17">
        <v>2024.0</v>
      </c>
      <c r="C318" s="17" t="s">
        <v>18</v>
      </c>
      <c r="D318" s="15">
        <v>12977.0</v>
      </c>
      <c r="E318" s="77" t="s">
        <v>4264</v>
      </c>
      <c r="F318" s="50" t="s">
        <v>4265</v>
      </c>
      <c r="G318" s="49"/>
      <c r="H318" s="49" t="s">
        <v>3906</v>
      </c>
      <c r="I318" s="49" t="s">
        <v>633</v>
      </c>
      <c r="J318" s="38" t="s">
        <v>4266</v>
      </c>
    </row>
    <row r="319" ht="26.25" customHeight="1">
      <c r="A319" s="113" t="s">
        <v>4267</v>
      </c>
      <c r="B319" s="17">
        <v>2024.0</v>
      </c>
      <c r="C319" s="17" t="s">
        <v>18</v>
      </c>
      <c r="D319" s="15">
        <v>11004.0</v>
      </c>
      <c r="E319" s="77" t="s">
        <v>3980</v>
      </c>
      <c r="F319" s="50" t="s">
        <v>3981</v>
      </c>
      <c r="G319" s="49" t="s">
        <v>3982</v>
      </c>
      <c r="H319" s="49" t="s">
        <v>3983</v>
      </c>
      <c r="I319" s="49" t="s">
        <v>3139</v>
      </c>
      <c r="J319" s="38"/>
    </row>
    <row r="320" ht="26.25" customHeight="1">
      <c r="A320" s="113" t="s">
        <v>4268</v>
      </c>
      <c r="B320" s="17">
        <v>2024.0</v>
      </c>
      <c r="C320" s="17" t="s">
        <v>19</v>
      </c>
      <c r="D320" s="15">
        <v>12126.0</v>
      </c>
      <c r="E320" s="77" t="s">
        <v>4269</v>
      </c>
      <c r="F320" s="50" t="s">
        <v>4270</v>
      </c>
      <c r="G320" s="49" t="s">
        <v>4271</v>
      </c>
      <c r="H320" s="49" t="s">
        <v>4272</v>
      </c>
      <c r="I320" s="49" t="s">
        <v>2926</v>
      </c>
      <c r="J320" s="38" t="s">
        <v>4273</v>
      </c>
    </row>
    <row r="321" ht="26.25" customHeight="1">
      <c r="A321" s="113" t="s">
        <v>4274</v>
      </c>
      <c r="B321" s="17">
        <v>2024.0</v>
      </c>
      <c r="C321" s="17" t="s">
        <v>19</v>
      </c>
      <c r="D321" s="15">
        <v>12986.0</v>
      </c>
      <c r="E321" s="49" t="s">
        <v>4275</v>
      </c>
      <c r="F321" s="50" t="s">
        <v>4276</v>
      </c>
      <c r="G321" s="49" t="s">
        <v>4277</v>
      </c>
      <c r="H321" s="49" t="s">
        <v>4278</v>
      </c>
      <c r="I321" s="49" t="s">
        <v>2938</v>
      </c>
      <c r="J321" s="38" t="s">
        <v>4279</v>
      </c>
    </row>
    <row r="322" ht="26.25" customHeight="1">
      <c r="A322" s="113" t="s">
        <v>4280</v>
      </c>
      <c r="B322" s="17">
        <v>2024.0</v>
      </c>
      <c r="C322" s="17" t="s">
        <v>19</v>
      </c>
      <c r="D322" s="15">
        <v>13317.0</v>
      </c>
      <c r="E322" s="49" t="s">
        <v>4281</v>
      </c>
      <c r="F322" s="50" t="s">
        <v>4282</v>
      </c>
      <c r="G322" s="49" t="s">
        <v>4283</v>
      </c>
      <c r="H322" s="49" t="s">
        <v>4284</v>
      </c>
      <c r="I322" s="49" t="s">
        <v>2983</v>
      </c>
      <c r="J322" s="38" t="s">
        <v>4285</v>
      </c>
    </row>
    <row r="323" ht="26.25" customHeight="1">
      <c r="A323" s="113" t="s">
        <v>4286</v>
      </c>
      <c r="B323" s="17">
        <v>2024.0</v>
      </c>
      <c r="C323" s="17" t="s">
        <v>19</v>
      </c>
      <c r="D323" s="15">
        <v>13241.0</v>
      </c>
      <c r="E323" s="49" t="s">
        <v>4287</v>
      </c>
      <c r="F323" s="50" t="s">
        <v>4288</v>
      </c>
      <c r="G323" s="49" t="s">
        <v>4289</v>
      </c>
      <c r="H323" s="49" t="s">
        <v>4290</v>
      </c>
      <c r="I323" s="49" t="s">
        <v>3305</v>
      </c>
      <c r="J323" s="38" t="s">
        <v>4291</v>
      </c>
    </row>
    <row r="324" ht="26.25" customHeight="1">
      <c r="A324" s="113" t="s">
        <v>4292</v>
      </c>
      <c r="B324" s="17">
        <v>2024.0</v>
      </c>
      <c r="C324" s="17" t="s">
        <v>19</v>
      </c>
      <c r="D324" s="15">
        <v>8444.0</v>
      </c>
      <c r="E324" s="49" t="s">
        <v>4293</v>
      </c>
      <c r="F324" s="50" t="s">
        <v>3703</v>
      </c>
      <c r="G324" s="49" t="s">
        <v>3704</v>
      </c>
      <c r="H324" s="49" t="s">
        <v>4294</v>
      </c>
      <c r="I324" s="49" t="s">
        <v>2926</v>
      </c>
      <c r="J324" s="38" t="s">
        <v>3706</v>
      </c>
    </row>
    <row r="325" ht="26.25" customHeight="1">
      <c r="A325" s="113" t="s">
        <v>4295</v>
      </c>
      <c r="B325" s="17">
        <v>2024.0</v>
      </c>
      <c r="C325" s="17" t="s">
        <v>19</v>
      </c>
      <c r="D325" s="15">
        <v>13270.0</v>
      </c>
      <c r="E325" s="49" t="s">
        <v>4296</v>
      </c>
      <c r="F325" s="50" t="s">
        <v>4297</v>
      </c>
      <c r="G325" s="49"/>
      <c r="H325" s="49" t="s">
        <v>4298</v>
      </c>
      <c r="I325" s="49" t="s">
        <v>2926</v>
      </c>
      <c r="J325" s="38" t="s">
        <v>4299</v>
      </c>
    </row>
    <row r="326" ht="26.25" customHeight="1">
      <c r="A326" s="113" t="s">
        <v>4300</v>
      </c>
      <c r="B326" s="17">
        <v>2024.0</v>
      </c>
      <c r="C326" s="17" t="s">
        <v>20</v>
      </c>
      <c r="D326" s="15">
        <v>13118.0</v>
      </c>
      <c r="E326" s="49" t="s">
        <v>4301</v>
      </c>
      <c r="F326" s="50" t="s">
        <v>4302</v>
      </c>
      <c r="G326" s="49"/>
      <c r="H326" s="49" t="s">
        <v>4303</v>
      </c>
      <c r="I326" s="49" t="s">
        <v>3133</v>
      </c>
      <c r="J326" s="38" t="s">
        <v>4304</v>
      </c>
    </row>
    <row r="327" ht="26.25" customHeight="1">
      <c r="A327" s="113" t="s">
        <v>4305</v>
      </c>
      <c r="B327" s="17">
        <v>2024.0</v>
      </c>
      <c r="C327" s="17" t="s">
        <v>20</v>
      </c>
      <c r="D327" s="15">
        <v>13408.0</v>
      </c>
      <c r="E327" s="49" t="s">
        <v>4306</v>
      </c>
      <c r="F327" s="50" t="s">
        <v>4307</v>
      </c>
      <c r="G327" s="49" t="s">
        <v>4308</v>
      </c>
      <c r="H327" s="49" t="s">
        <v>4306</v>
      </c>
      <c r="I327" s="49" t="s">
        <v>2944</v>
      </c>
      <c r="J327" s="38" t="s">
        <v>4309</v>
      </c>
    </row>
    <row r="328" ht="26.25" customHeight="1">
      <c r="A328" s="113" t="s">
        <v>4310</v>
      </c>
      <c r="B328" s="17">
        <v>2024.0</v>
      </c>
      <c r="C328" s="17" t="s">
        <v>20</v>
      </c>
      <c r="D328" s="15">
        <v>13397.0</v>
      </c>
      <c r="E328" s="49" t="s">
        <v>4311</v>
      </c>
      <c r="F328" s="50" t="s">
        <v>4312</v>
      </c>
      <c r="G328" s="49" t="s">
        <v>4313</v>
      </c>
      <c r="H328" s="49" t="s">
        <v>4314</v>
      </c>
      <c r="I328" s="49" t="s">
        <v>2926</v>
      </c>
      <c r="J328" s="38" t="s">
        <v>4315</v>
      </c>
    </row>
    <row r="329" ht="26.25" customHeight="1">
      <c r="A329" s="113" t="s">
        <v>4316</v>
      </c>
      <c r="B329" s="17">
        <v>2024.0</v>
      </c>
      <c r="C329" s="17" t="s">
        <v>20</v>
      </c>
      <c r="D329" s="15">
        <v>13317.0</v>
      </c>
      <c r="E329" s="49" t="s">
        <v>4281</v>
      </c>
      <c r="F329" s="50" t="s">
        <v>4282</v>
      </c>
      <c r="G329" s="49" t="s">
        <v>4283</v>
      </c>
      <c r="H329" s="49" t="s">
        <v>4317</v>
      </c>
      <c r="I329" s="49" t="s">
        <v>2983</v>
      </c>
      <c r="J329" s="38" t="s">
        <v>4285</v>
      </c>
    </row>
    <row r="330" ht="26.25" customHeight="1">
      <c r="A330" s="113" t="s">
        <v>4318</v>
      </c>
      <c r="B330" s="17">
        <v>2024.0</v>
      </c>
      <c r="C330" s="17" t="s">
        <v>20</v>
      </c>
      <c r="D330" s="15">
        <v>13502.0</v>
      </c>
      <c r="E330" s="49" t="s">
        <v>4319</v>
      </c>
      <c r="F330" s="50" t="s">
        <v>4320</v>
      </c>
      <c r="G330" s="49" t="s">
        <v>4321</v>
      </c>
      <c r="H330" s="124" t="s">
        <v>4322</v>
      </c>
      <c r="I330" s="49" t="s">
        <v>2983</v>
      </c>
      <c r="J330" s="38" t="s">
        <v>4323</v>
      </c>
    </row>
    <row r="331" ht="26.25" customHeight="1">
      <c r="A331" s="113" t="s">
        <v>4324</v>
      </c>
      <c r="B331" s="17">
        <v>2024.0</v>
      </c>
      <c r="C331" s="17" t="s">
        <v>20</v>
      </c>
      <c r="D331" s="15">
        <v>8813.0</v>
      </c>
      <c r="E331" s="49" t="s">
        <v>3772</v>
      </c>
      <c r="F331" s="50" t="s">
        <v>3773</v>
      </c>
      <c r="G331" s="49"/>
      <c r="H331" s="124" t="s">
        <v>4325</v>
      </c>
      <c r="I331" s="49" t="s">
        <v>2983</v>
      </c>
      <c r="J331" s="38" t="s">
        <v>3775</v>
      </c>
    </row>
    <row r="332" ht="26.25" customHeight="1">
      <c r="A332" s="113" t="s">
        <v>4326</v>
      </c>
      <c r="B332" s="17">
        <v>2024.0</v>
      </c>
      <c r="C332" s="17" t="s">
        <v>20</v>
      </c>
      <c r="D332" s="15">
        <v>3869.0</v>
      </c>
      <c r="E332" s="49" t="s">
        <v>4327</v>
      </c>
      <c r="F332" s="50" t="s">
        <v>4328</v>
      </c>
      <c r="G332" s="49" t="s">
        <v>4329</v>
      </c>
      <c r="H332" s="49" t="s">
        <v>4330</v>
      </c>
      <c r="I332" s="49" t="s">
        <v>2983</v>
      </c>
      <c r="J332" s="38" t="s">
        <v>3280</v>
      </c>
    </row>
    <row r="333" ht="26.25" customHeight="1">
      <c r="A333" s="113" t="s">
        <v>4331</v>
      </c>
      <c r="B333" s="17">
        <v>2024.0</v>
      </c>
      <c r="C333" s="17" t="s">
        <v>21</v>
      </c>
      <c r="D333" s="15">
        <v>13730.0</v>
      </c>
      <c r="E333" s="49" t="s">
        <v>4332</v>
      </c>
      <c r="F333" s="50" t="s">
        <v>4333</v>
      </c>
      <c r="G333" s="49" t="s">
        <v>4334</v>
      </c>
      <c r="H333" s="124" t="s">
        <v>2292</v>
      </c>
      <c r="I333" s="49" t="s">
        <v>2926</v>
      </c>
      <c r="J333" s="38" t="s">
        <v>4335</v>
      </c>
    </row>
    <row r="334" ht="26.25" customHeight="1">
      <c r="A334" s="113" t="s">
        <v>4336</v>
      </c>
      <c r="B334" s="17">
        <v>2024.0</v>
      </c>
      <c r="C334" s="17" t="s">
        <v>21</v>
      </c>
      <c r="D334" s="15">
        <v>13701.0</v>
      </c>
      <c r="E334" s="49" t="s">
        <v>4337</v>
      </c>
      <c r="F334" s="50" t="s">
        <v>4338</v>
      </c>
      <c r="G334" s="49" t="s">
        <v>4339</v>
      </c>
      <c r="H334" s="49" t="s">
        <v>4340</v>
      </c>
      <c r="I334" s="49" t="s">
        <v>3357</v>
      </c>
      <c r="J334" s="38" t="s">
        <v>4341</v>
      </c>
    </row>
    <row r="335" ht="26.25" customHeight="1">
      <c r="A335" s="113" t="s">
        <v>4326</v>
      </c>
      <c r="B335" s="17">
        <v>2024.0</v>
      </c>
      <c r="C335" s="17" t="s">
        <v>21</v>
      </c>
      <c r="D335" s="15">
        <v>13767.0</v>
      </c>
      <c r="E335" s="49" t="s">
        <v>4342</v>
      </c>
      <c r="F335" s="50" t="s">
        <v>4343</v>
      </c>
      <c r="G335" s="49" t="s">
        <v>4344</v>
      </c>
      <c r="H335" s="49" t="s">
        <v>4345</v>
      </c>
      <c r="I335" s="49" t="s">
        <v>2944</v>
      </c>
      <c r="J335" s="38" t="s">
        <v>4346</v>
      </c>
    </row>
    <row r="336" ht="26.25" customHeight="1">
      <c r="A336" s="113" t="s">
        <v>4331</v>
      </c>
      <c r="B336" s="17">
        <v>2024.0</v>
      </c>
      <c r="C336" s="17" t="s">
        <v>21</v>
      </c>
      <c r="D336" s="15">
        <v>10703.0</v>
      </c>
      <c r="E336" s="49" t="s">
        <v>4347</v>
      </c>
      <c r="F336" s="50" t="s">
        <v>4348</v>
      </c>
      <c r="G336" s="49" t="s">
        <v>3967</v>
      </c>
      <c r="H336" s="49" t="s">
        <v>4349</v>
      </c>
      <c r="I336" s="49" t="s">
        <v>3133</v>
      </c>
      <c r="J336" s="38" t="s">
        <v>4350</v>
      </c>
    </row>
    <row r="337" ht="26.25" customHeight="1">
      <c r="A337" s="113" t="s">
        <v>4351</v>
      </c>
      <c r="B337" s="17">
        <v>2024.0</v>
      </c>
      <c r="C337" s="17" t="s">
        <v>21</v>
      </c>
      <c r="D337" s="15">
        <v>13724.0</v>
      </c>
      <c r="E337" s="49" t="s">
        <v>4352</v>
      </c>
      <c r="F337" s="50" t="s">
        <v>4353</v>
      </c>
      <c r="G337" s="49" t="s">
        <v>4354</v>
      </c>
      <c r="H337" s="49" t="s">
        <v>4355</v>
      </c>
      <c r="I337" s="49" t="s">
        <v>3357</v>
      </c>
      <c r="J337" s="38" t="s">
        <v>4356</v>
      </c>
    </row>
    <row r="338" ht="26.25" customHeight="1">
      <c r="A338" s="113" t="s">
        <v>4357</v>
      </c>
      <c r="B338" s="17">
        <v>2024.0</v>
      </c>
      <c r="C338" s="17" t="s">
        <v>21</v>
      </c>
      <c r="D338" s="15">
        <v>13608.0</v>
      </c>
      <c r="E338" s="49" t="s">
        <v>4358</v>
      </c>
      <c r="F338" s="50" t="s">
        <v>4359</v>
      </c>
      <c r="G338" s="49" t="s">
        <v>4360</v>
      </c>
      <c r="H338" s="49" t="s">
        <v>4361</v>
      </c>
      <c r="I338" s="49" t="s">
        <v>3028</v>
      </c>
      <c r="J338" s="38"/>
    </row>
    <row r="339" ht="26.25" customHeight="1">
      <c r="A339" s="113" t="s">
        <v>4362</v>
      </c>
      <c r="B339" s="17">
        <v>2024.0</v>
      </c>
      <c r="C339" s="17" t="s">
        <v>21</v>
      </c>
      <c r="D339" s="15">
        <v>13608.0</v>
      </c>
      <c r="E339" s="49" t="s">
        <v>4358</v>
      </c>
      <c r="F339" s="50" t="s">
        <v>4359</v>
      </c>
      <c r="G339" s="49" t="s">
        <v>4360</v>
      </c>
      <c r="H339" s="49" t="s">
        <v>4363</v>
      </c>
      <c r="I339" s="49" t="s">
        <v>3028</v>
      </c>
      <c r="J339" s="38" t="s">
        <v>4364</v>
      </c>
    </row>
    <row r="340" ht="26.25" customHeight="1">
      <c r="A340" s="113" t="s">
        <v>4365</v>
      </c>
      <c r="B340" s="17">
        <v>2024.0</v>
      </c>
      <c r="C340" s="17" t="s">
        <v>22</v>
      </c>
      <c r="D340" s="15">
        <v>14098.0</v>
      </c>
      <c r="E340" s="49" t="s">
        <v>4366</v>
      </c>
      <c r="F340" s="50" t="s">
        <v>4367</v>
      </c>
      <c r="G340" s="49" t="s">
        <v>4368</v>
      </c>
      <c r="H340" s="49" t="s">
        <v>4369</v>
      </c>
      <c r="I340" s="49" t="s">
        <v>2983</v>
      </c>
      <c r="J340" s="38" t="s">
        <v>4370</v>
      </c>
    </row>
    <row r="341" ht="26.25" customHeight="1">
      <c r="A341" s="113" t="s">
        <v>4371</v>
      </c>
      <c r="B341" s="17">
        <v>2024.0</v>
      </c>
      <c r="C341" s="17" t="s">
        <v>22</v>
      </c>
      <c r="D341" s="15">
        <v>13963.0</v>
      </c>
      <c r="E341" s="49" t="s">
        <v>4372</v>
      </c>
      <c r="F341" s="50" t="s">
        <v>4373</v>
      </c>
      <c r="G341" s="49" t="s">
        <v>4374</v>
      </c>
      <c r="H341" s="49" t="s">
        <v>4375</v>
      </c>
      <c r="I341" s="49" t="s">
        <v>2926</v>
      </c>
      <c r="J341" s="38" t="s">
        <v>4376</v>
      </c>
    </row>
    <row r="342" ht="26.25" customHeight="1">
      <c r="A342" s="113" t="s">
        <v>4377</v>
      </c>
      <c r="B342" s="17">
        <v>2024.0</v>
      </c>
      <c r="C342" s="17" t="s">
        <v>22</v>
      </c>
      <c r="D342" s="15">
        <v>13971.0</v>
      </c>
      <c r="E342" s="49" t="s">
        <v>4378</v>
      </c>
      <c r="F342" s="50" t="s">
        <v>4379</v>
      </c>
      <c r="G342" s="49"/>
      <c r="H342" s="49" t="s">
        <v>4380</v>
      </c>
      <c r="I342" s="49" t="s">
        <v>633</v>
      </c>
      <c r="J342" s="38" t="s">
        <v>4381</v>
      </c>
    </row>
    <row r="343" ht="26.25" customHeight="1">
      <c r="A343" s="113" t="s">
        <v>4382</v>
      </c>
      <c r="B343" s="17">
        <v>2024.0</v>
      </c>
      <c r="C343" s="17" t="s">
        <v>22</v>
      </c>
      <c r="D343" s="15">
        <v>5942.0</v>
      </c>
      <c r="E343" s="49" t="s">
        <v>4383</v>
      </c>
      <c r="F343" s="50" t="s">
        <v>4384</v>
      </c>
      <c r="G343" s="49" t="s">
        <v>4385</v>
      </c>
      <c r="H343" s="49" t="s">
        <v>4386</v>
      </c>
      <c r="I343" s="49" t="s">
        <v>2926</v>
      </c>
      <c r="J343" s="38" t="s">
        <v>4387</v>
      </c>
    </row>
    <row r="344" ht="26.25" customHeight="1">
      <c r="A344" s="113" t="s">
        <v>4388</v>
      </c>
      <c r="B344" s="17">
        <v>2024.0</v>
      </c>
      <c r="C344" s="17" t="s">
        <v>22</v>
      </c>
      <c r="D344" s="15">
        <v>12996.0</v>
      </c>
      <c r="E344" s="49" t="s">
        <v>4389</v>
      </c>
      <c r="F344" s="50" t="s">
        <v>4390</v>
      </c>
      <c r="G344" s="49" t="s">
        <v>4391</v>
      </c>
      <c r="H344" s="49" t="s">
        <v>4392</v>
      </c>
      <c r="I344" s="49" t="s">
        <v>2938</v>
      </c>
      <c r="J344" s="38" t="s">
        <v>4393</v>
      </c>
    </row>
    <row r="345" ht="26.25" customHeight="1">
      <c r="A345" s="113" t="s">
        <v>4394</v>
      </c>
      <c r="B345" s="17">
        <v>2024.0</v>
      </c>
      <c r="C345" s="17" t="s">
        <v>22</v>
      </c>
      <c r="D345" s="15">
        <v>13915.0</v>
      </c>
      <c r="E345" s="49" t="s">
        <v>4395</v>
      </c>
      <c r="F345" s="50" t="s">
        <v>4396</v>
      </c>
      <c r="G345" s="49" t="s">
        <v>4397</v>
      </c>
      <c r="H345" s="49" t="s">
        <v>4398</v>
      </c>
      <c r="I345" s="49" t="s">
        <v>633</v>
      </c>
      <c r="J345" s="38" t="s">
        <v>4399</v>
      </c>
    </row>
    <row r="346" ht="26.25" customHeight="1">
      <c r="A346" s="113" t="s">
        <v>4400</v>
      </c>
      <c r="B346" s="17">
        <v>2024.0</v>
      </c>
      <c r="C346" s="17" t="s">
        <v>22</v>
      </c>
      <c r="D346" s="15">
        <v>14115.0</v>
      </c>
      <c r="E346" s="49" t="s">
        <v>4401</v>
      </c>
      <c r="F346" s="50" t="s">
        <v>4402</v>
      </c>
      <c r="G346" s="49" t="s">
        <v>4403</v>
      </c>
      <c r="H346" s="49" t="s">
        <v>4404</v>
      </c>
      <c r="I346" s="49" t="s">
        <v>3088</v>
      </c>
      <c r="J346" s="38" t="s">
        <v>4405</v>
      </c>
    </row>
    <row r="347" ht="26.25" customHeight="1">
      <c r="A347" s="113" t="s">
        <v>4406</v>
      </c>
      <c r="B347" s="17">
        <v>2024.0</v>
      </c>
      <c r="C347" s="17" t="s">
        <v>22</v>
      </c>
      <c r="D347" s="15">
        <v>14110.0</v>
      </c>
      <c r="E347" s="49" t="s">
        <v>4407</v>
      </c>
      <c r="F347" s="50" t="s">
        <v>4408</v>
      </c>
      <c r="G347" s="49" t="s">
        <v>4409</v>
      </c>
      <c r="H347" s="49" t="s">
        <v>4410</v>
      </c>
      <c r="I347" s="49" t="s">
        <v>2983</v>
      </c>
      <c r="J347" s="38" t="s">
        <v>4411</v>
      </c>
    </row>
    <row r="348" ht="26.25" customHeight="1">
      <c r="A348" s="113" t="s">
        <v>4412</v>
      </c>
      <c r="B348" s="17">
        <v>2025.0</v>
      </c>
      <c r="C348" s="17" t="s">
        <v>11</v>
      </c>
      <c r="D348" s="15">
        <v>14201.0</v>
      </c>
      <c r="E348" s="49" t="s">
        <v>4413</v>
      </c>
      <c r="F348" s="50" t="s">
        <v>4414</v>
      </c>
      <c r="G348" s="49" t="s">
        <v>4415</v>
      </c>
      <c r="H348" s="49" t="s">
        <v>4416</v>
      </c>
      <c r="I348" s="49" t="s">
        <v>3088</v>
      </c>
      <c r="J348" s="38" t="s">
        <v>4417</v>
      </c>
    </row>
    <row r="349" ht="26.25" customHeight="1">
      <c r="A349" s="113" t="s">
        <v>4418</v>
      </c>
      <c r="B349" s="17">
        <v>2025.0</v>
      </c>
      <c r="C349" s="17" t="s">
        <v>11</v>
      </c>
      <c r="D349" s="15">
        <v>14142.0</v>
      </c>
      <c r="E349" s="49" t="s">
        <v>4419</v>
      </c>
      <c r="F349" s="50" t="s">
        <v>4420</v>
      </c>
      <c r="G349" s="49" t="s">
        <v>4421</v>
      </c>
      <c r="H349" s="49" t="s">
        <v>4422</v>
      </c>
      <c r="I349" s="49" t="s">
        <v>2926</v>
      </c>
      <c r="J349" s="38" t="s">
        <v>4423</v>
      </c>
    </row>
    <row r="350" ht="26.25" customHeight="1">
      <c r="A350" s="113" t="s">
        <v>4424</v>
      </c>
      <c r="B350" s="17">
        <v>2025.0</v>
      </c>
      <c r="C350" s="17" t="s">
        <v>11</v>
      </c>
      <c r="D350" s="15">
        <v>14481.0</v>
      </c>
      <c r="E350" s="49" t="s">
        <v>4425</v>
      </c>
      <c r="F350" s="50" t="s">
        <v>4426</v>
      </c>
      <c r="G350" s="49"/>
      <c r="H350" s="49" t="s">
        <v>4427</v>
      </c>
      <c r="I350" s="49" t="s">
        <v>2938</v>
      </c>
      <c r="J350" s="38" t="s">
        <v>4428</v>
      </c>
    </row>
    <row r="351" ht="26.25" customHeight="1">
      <c r="A351" s="113" t="s">
        <v>4429</v>
      </c>
      <c r="B351" s="17">
        <v>2025.0</v>
      </c>
      <c r="C351" s="17" t="s">
        <v>11</v>
      </c>
      <c r="D351" s="15">
        <v>14547.0</v>
      </c>
      <c r="E351" s="49" t="s">
        <v>4430</v>
      </c>
      <c r="F351" s="50" t="s">
        <v>4431</v>
      </c>
      <c r="G351" s="49" t="s">
        <v>4432</v>
      </c>
      <c r="H351" s="49" t="s">
        <v>4433</v>
      </c>
      <c r="I351" s="49" t="s">
        <v>2983</v>
      </c>
      <c r="J351" s="38" t="s">
        <v>4434</v>
      </c>
    </row>
    <row r="352" ht="26.25" customHeight="1">
      <c r="A352" s="113" t="s">
        <v>4435</v>
      </c>
      <c r="B352" s="17">
        <v>2025.0</v>
      </c>
      <c r="C352" s="17" t="s">
        <v>12</v>
      </c>
      <c r="D352" s="15">
        <v>14477.0</v>
      </c>
      <c r="E352" s="49" t="s">
        <v>4436</v>
      </c>
      <c r="F352" s="50" t="s">
        <v>4437</v>
      </c>
      <c r="G352" s="49" t="s">
        <v>4438</v>
      </c>
      <c r="H352" s="49" t="s">
        <v>4439</v>
      </c>
      <c r="I352" s="49" t="s">
        <v>633</v>
      </c>
      <c r="J352" s="38" t="s">
        <v>4440</v>
      </c>
    </row>
    <row r="353" ht="26.25" customHeight="1">
      <c r="A353" s="113" t="s">
        <v>4441</v>
      </c>
      <c r="B353" s="17">
        <v>2025.0</v>
      </c>
      <c r="C353" s="17" t="s">
        <v>12</v>
      </c>
      <c r="D353" s="15">
        <v>9822.0</v>
      </c>
      <c r="E353" s="49" t="s">
        <v>4442</v>
      </c>
      <c r="F353" s="50" t="s">
        <v>4443</v>
      </c>
      <c r="G353" s="49" t="s">
        <v>4444</v>
      </c>
      <c r="H353" s="49" t="s">
        <v>4445</v>
      </c>
      <c r="I353" s="49" t="s">
        <v>2983</v>
      </c>
      <c r="J353" s="38" t="s">
        <v>4446</v>
      </c>
    </row>
    <row r="354" ht="26.25" customHeight="1">
      <c r="A354" s="113" t="s">
        <v>4447</v>
      </c>
      <c r="B354" s="17">
        <v>2025.0</v>
      </c>
      <c r="C354" s="17" t="s">
        <v>12</v>
      </c>
      <c r="D354" s="15">
        <v>14514.0</v>
      </c>
      <c r="E354" s="49" t="s">
        <v>4448</v>
      </c>
      <c r="F354" s="50" t="s">
        <v>4449</v>
      </c>
      <c r="G354" s="49" t="s">
        <v>4450</v>
      </c>
      <c r="H354" s="49" t="s">
        <v>4451</v>
      </c>
      <c r="I354" s="49" t="s">
        <v>633</v>
      </c>
      <c r="J354" s="38" t="s">
        <v>4452</v>
      </c>
    </row>
    <row r="355" ht="26.25" customHeight="1">
      <c r="A355" s="113" t="s">
        <v>4453</v>
      </c>
      <c r="B355" s="17">
        <v>2025.0</v>
      </c>
      <c r="C355" s="17" t="s">
        <v>12</v>
      </c>
      <c r="D355" s="15">
        <v>4621.0</v>
      </c>
      <c r="E355" s="49" t="s">
        <v>3364</v>
      </c>
      <c r="F355" s="50" t="s">
        <v>3365</v>
      </c>
      <c r="G355" s="49" t="s">
        <v>3366</v>
      </c>
      <c r="H355" s="49" t="s">
        <v>4454</v>
      </c>
      <c r="I355" s="49" t="s">
        <v>2926</v>
      </c>
      <c r="J355" s="38" t="s">
        <v>4455</v>
      </c>
    </row>
    <row r="356" ht="26.25" customHeight="1">
      <c r="A356" s="113" t="s">
        <v>4456</v>
      </c>
      <c r="B356" s="17">
        <v>2025.0</v>
      </c>
      <c r="C356" s="17" t="s">
        <v>12</v>
      </c>
      <c r="D356" s="15">
        <v>14524.0</v>
      </c>
      <c r="E356" s="49" t="s">
        <v>4457</v>
      </c>
      <c r="F356" s="50" t="s">
        <v>4458</v>
      </c>
      <c r="G356" s="49" t="s">
        <v>4459</v>
      </c>
      <c r="H356" s="49" t="s">
        <v>4460</v>
      </c>
      <c r="I356" s="49" t="s">
        <v>633</v>
      </c>
      <c r="J356" s="38" t="s">
        <v>4461</v>
      </c>
    </row>
    <row r="357" ht="26.25" customHeight="1">
      <c r="A357" s="113" t="s">
        <v>4462</v>
      </c>
      <c r="B357" s="17">
        <v>2025.0</v>
      </c>
      <c r="C357" s="17" t="s">
        <v>12</v>
      </c>
      <c r="D357" s="15">
        <v>14588.0</v>
      </c>
      <c r="E357" s="49" t="s">
        <v>4463</v>
      </c>
      <c r="F357" s="50" t="s">
        <v>4464</v>
      </c>
      <c r="G357" s="49"/>
      <c r="H357" s="49" t="s">
        <v>4465</v>
      </c>
      <c r="I357" s="49" t="s">
        <v>2938</v>
      </c>
      <c r="J357" s="38" t="s">
        <v>4466</v>
      </c>
    </row>
    <row r="358" ht="26.25" customHeight="1">
      <c r="A358" s="113" t="s">
        <v>4467</v>
      </c>
      <c r="B358" s="17">
        <v>2025.0</v>
      </c>
      <c r="C358" s="17" t="s">
        <v>13</v>
      </c>
      <c r="D358" s="15">
        <v>14636.0</v>
      </c>
      <c r="E358" s="49" t="s">
        <v>4468</v>
      </c>
      <c r="F358" s="54" t="s">
        <v>4469</v>
      </c>
      <c r="G358" s="77" t="s">
        <v>4470</v>
      </c>
      <c r="H358" s="49" t="s">
        <v>4471</v>
      </c>
      <c r="I358" s="49" t="s">
        <v>2926</v>
      </c>
      <c r="J358" s="38" t="s">
        <v>4472</v>
      </c>
    </row>
    <row r="359" ht="26.25" customHeight="1">
      <c r="A359" s="113" t="s">
        <v>4473</v>
      </c>
      <c r="B359" s="17">
        <v>2025.0</v>
      </c>
      <c r="C359" s="17" t="s">
        <v>13</v>
      </c>
      <c r="D359" s="15">
        <v>14817.0</v>
      </c>
      <c r="E359" s="49" t="s">
        <v>4474</v>
      </c>
      <c r="F359" s="54" t="s">
        <v>4475</v>
      </c>
      <c r="G359" s="77" t="s">
        <v>4476</v>
      </c>
      <c r="H359" s="49" t="s">
        <v>4477</v>
      </c>
      <c r="I359" s="49" t="s">
        <v>2926</v>
      </c>
      <c r="J359" s="38" t="s">
        <v>4478</v>
      </c>
    </row>
    <row r="360" ht="26.25" customHeight="1">
      <c r="A360" s="113" t="s">
        <v>4479</v>
      </c>
      <c r="B360" s="17">
        <v>2025.0</v>
      </c>
      <c r="C360" s="17" t="s">
        <v>13</v>
      </c>
      <c r="D360" s="15">
        <v>14797.0</v>
      </c>
      <c r="E360" s="77" t="s">
        <v>4480</v>
      </c>
      <c r="F360" s="125" t="s">
        <v>4481</v>
      </c>
      <c r="G360" s="77" t="s">
        <v>4482</v>
      </c>
      <c r="H360" s="77" t="s">
        <v>4483</v>
      </c>
      <c r="I360" s="49" t="s">
        <v>2983</v>
      </c>
      <c r="J360" s="38" t="s">
        <v>4484</v>
      </c>
    </row>
    <row r="361" ht="26.25" customHeight="1">
      <c r="A361" s="113" t="s">
        <v>4485</v>
      </c>
      <c r="B361" s="17">
        <v>2025.0</v>
      </c>
      <c r="C361" s="17" t="s">
        <v>13</v>
      </c>
      <c r="D361" s="126">
        <v>1552.0</v>
      </c>
      <c r="E361" s="127" t="s">
        <v>3014</v>
      </c>
      <c r="F361" s="128" t="s">
        <v>4486</v>
      </c>
      <c r="G361" s="77" t="s">
        <v>3016</v>
      </c>
      <c r="H361" s="77" t="s">
        <v>4487</v>
      </c>
      <c r="I361" s="49" t="s">
        <v>633</v>
      </c>
      <c r="J361" s="38" t="s">
        <v>4488</v>
      </c>
    </row>
    <row r="362" ht="26.25" customHeight="1">
      <c r="A362" s="113" t="s">
        <v>4489</v>
      </c>
      <c r="B362" s="17">
        <v>2025.0</v>
      </c>
      <c r="C362" s="17" t="s">
        <v>14</v>
      </c>
      <c r="D362" s="15">
        <v>14998.0</v>
      </c>
      <c r="E362" s="49" t="s">
        <v>4490</v>
      </c>
      <c r="F362" s="54" t="s">
        <v>4491</v>
      </c>
      <c r="G362" s="49" t="s">
        <v>4492</v>
      </c>
      <c r="H362" s="49" t="s">
        <v>4493</v>
      </c>
      <c r="I362" s="49" t="s">
        <v>2932</v>
      </c>
      <c r="J362" s="38" t="s">
        <v>4494</v>
      </c>
    </row>
    <row r="363" ht="26.25" customHeight="1">
      <c r="A363" s="113" t="s">
        <v>4495</v>
      </c>
      <c r="B363" s="17">
        <v>2025.0</v>
      </c>
      <c r="C363" s="17" t="s">
        <v>14</v>
      </c>
      <c r="D363" s="15">
        <v>15109.0</v>
      </c>
      <c r="E363" s="49" t="s">
        <v>4496</v>
      </c>
      <c r="F363" s="54" t="s">
        <v>4497</v>
      </c>
      <c r="G363" s="49"/>
      <c r="H363" s="49" t="s">
        <v>4498</v>
      </c>
      <c r="I363" s="49" t="s">
        <v>2932</v>
      </c>
      <c r="J363" s="38" t="s">
        <v>4499</v>
      </c>
    </row>
    <row r="364" ht="26.25" customHeight="1">
      <c r="A364" s="113" t="s">
        <v>4500</v>
      </c>
      <c r="B364" s="17">
        <v>2025.0</v>
      </c>
      <c r="C364" s="17" t="s">
        <v>14</v>
      </c>
      <c r="D364" s="15">
        <v>10027.0</v>
      </c>
      <c r="E364" s="49" t="s">
        <v>3893</v>
      </c>
      <c r="F364" s="54" t="s">
        <v>4501</v>
      </c>
      <c r="G364" s="49" t="s">
        <v>3895</v>
      </c>
      <c r="H364" s="49" t="s">
        <v>4502</v>
      </c>
      <c r="I364" s="49" t="s">
        <v>2983</v>
      </c>
      <c r="J364" s="38" t="s">
        <v>4503</v>
      </c>
    </row>
    <row r="365" ht="26.25" customHeight="1">
      <c r="A365" s="113" t="s">
        <v>4504</v>
      </c>
      <c r="B365" s="17">
        <v>2025.0</v>
      </c>
      <c r="C365" s="17" t="s">
        <v>14</v>
      </c>
      <c r="D365" s="15">
        <v>15338.0</v>
      </c>
      <c r="E365" s="49" t="s">
        <v>4505</v>
      </c>
      <c r="F365" s="54" t="s">
        <v>4506</v>
      </c>
      <c r="G365" s="49" t="s">
        <v>4507</v>
      </c>
      <c r="H365" s="49" t="s">
        <v>4508</v>
      </c>
      <c r="I365" s="49" t="s">
        <v>633</v>
      </c>
      <c r="J365" s="38" t="s">
        <v>4509</v>
      </c>
    </row>
    <row r="366" ht="26.25" customHeight="1">
      <c r="A366" s="113" t="s">
        <v>4510</v>
      </c>
      <c r="B366" s="17">
        <v>2025.0</v>
      </c>
      <c r="C366" s="17" t="s">
        <v>14</v>
      </c>
      <c r="D366" s="15">
        <v>12996.0</v>
      </c>
      <c r="E366" s="49" t="s">
        <v>4511</v>
      </c>
      <c r="F366" s="54" t="s">
        <v>4390</v>
      </c>
      <c r="G366" s="49" t="s">
        <v>4391</v>
      </c>
      <c r="H366" s="49" t="s">
        <v>4512</v>
      </c>
      <c r="I366" s="49" t="s">
        <v>2926</v>
      </c>
      <c r="J366" s="38" t="s">
        <v>4513</v>
      </c>
    </row>
    <row r="367" ht="26.25" customHeight="1">
      <c r="A367" s="113" t="s">
        <v>4514</v>
      </c>
      <c r="B367" s="17">
        <v>2025.0</v>
      </c>
      <c r="C367" s="17" t="s">
        <v>15</v>
      </c>
      <c r="D367" s="15">
        <v>11004.0</v>
      </c>
      <c r="E367" s="49" t="s">
        <v>3980</v>
      </c>
      <c r="F367" s="54" t="s">
        <v>3981</v>
      </c>
      <c r="G367" s="49" t="s">
        <v>3982</v>
      </c>
      <c r="H367" s="49" t="s">
        <v>4515</v>
      </c>
      <c r="I367" s="49" t="s">
        <v>3139</v>
      </c>
      <c r="J367" s="38" t="s">
        <v>4516</v>
      </c>
    </row>
    <row r="368" ht="26.25" customHeight="1">
      <c r="A368" s="113" t="s">
        <v>4517</v>
      </c>
      <c r="B368" s="17">
        <v>2025.0</v>
      </c>
      <c r="C368" s="17" t="s">
        <v>15</v>
      </c>
      <c r="D368" s="15">
        <v>15292.0</v>
      </c>
      <c r="E368" s="77" t="s">
        <v>4518</v>
      </c>
      <c r="F368" s="54" t="s">
        <v>4519</v>
      </c>
      <c r="G368" s="49" t="s">
        <v>4520</v>
      </c>
      <c r="H368" s="49" t="s">
        <v>4521</v>
      </c>
      <c r="I368" s="49" t="s">
        <v>2926</v>
      </c>
      <c r="J368" s="38" t="s">
        <v>4522</v>
      </c>
    </row>
    <row r="369" ht="26.25" customHeight="1">
      <c r="A369" s="113" t="s">
        <v>4523</v>
      </c>
      <c r="B369" s="17">
        <v>2025.0</v>
      </c>
      <c r="C369" s="17" t="s">
        <v>15</v>
      </c>
      <c r="D369" s="17">
        <v>14547.0</v>
      </c>
      <c r="E369" s="36" t="s">
        <v>4430</v>
      </c>
      <c r="F369" s="12" t="s">
        <v>4431</v>
      </c>
      <c r="G369" s="36" t="s">
        <v>4432</v>
      </c>
      <c r="H369" s="38" t="s">
        <v>4524</v>
      </c>
      <c r="I369" s="36" t="s">
        <v>2983</v>
      </c>
      <c r="J369" s="36" t="s">
        <v>4434</v>
      </c>
    </row>
    <row r="370" ht="26.25" customHeight="1">
      <c r="A370" s="113" t="s">
        <v>4525</v>
      </c>
      <c r="B370" s="17">
        <v>2025.0</v>
      </c>
      <c r="C370" s="17" t="s">
        <v>15</v>
      </c>
      <c r="D370" s="15">
        <v>15178.0</v>
      </c>
      <c r="E370" s="49" t="s">
        <v>4526</v>
      </c>
      <c r="F370" s="54" t="s">
        <v>4527</v>
      </c>
      <c r="G370" s="49"/>
      <c r="H370" s="49" t="s">
        <v>4528</v>
      </c>
      <c r="I370" s="49" t="s">
        <v>633</v>
      </c>
      <c r="J370" s="38" t="s">
        <v>4529</v>
      </c>
    </row>
    <row r="371" ht="26.25" customHeight="1">
      <c r="A371" s="113" t="s">
        <v>4530</v>
      </c>
      <c r="B371" s="17">
        <v>2025.0</v>
      </c>
      <c r="C371" s="17" t="s">
        <v>15</v>
      </c>
      <c r="D371" s="15">
        <v>15382.0</v>
      </c>
      <c r="E371" s="49" t="s">
        <v>4531</v>
      </c>
      <c r="F371" s="54" t="s">
        <v>4532</v>
      </c>
      <c r="G371" s="49" t="s">
        <v>4533</v>
      </c>
      <c r="H371" s="49" t="s">
        <v>2633</v>
      </c>
      <c r="I371" s="49" t="s">
        <v>633</v>
      </c>
      <c r="J371" s="38" t="s">
        <v>4534</v>
      </c>
    </row>
    <row r="372" ht="26.25" customHeight="1">
      <c r="A372" s="113" t="s">
        <v>4535</v>
      </c>
      <c r="B372" s="17">
        <v>2025.0</v>
      </c>
      <c r="C372" s="17" t="s">
        <v>15</v>
      </c>
      <c r="D372" s="15">
        <v>15042.0</v>
      </c>
      <c r="E372" s="49" t="s">
        <v>4536</v>
      </c>
      <c r="F372" s="54" t="s">
        <v>4537</v>
      </c>
      <c r="G372" s="49" t="s">
        <v>4538</v>
      </c>
      <c r="H372" s="49" t="s">
        <v>4539</v>
      </c>
      <c r="I372" s="49" t="s">
        <v>633</v>
      </c>
      <c r="J372" s="38" t="s">
        <v>4540</v>
      </c>
    </row>
    <row r="373" ht="26.25" customHeight="1">
      <c r="A373" s="113" t="s">
        <v>4541</v>
      </c>
      <c r="B373" s="17">
        <v>2025.0</v>
      </c>
      <c r="C373" s="17" t="s">
        <v>15</v>
      </c>
      <c r="D373" s="15">
        <v>15438.0</v>
      </c>
      <c r="E373" s="49" t="s">
        <v>4542</v>
      </c>
      <c r="F373" s="54" t="s">
        <v>4543</v>
      </c>
      <c r="G373" s="49"/>
      <c r="H373" s="49" t="s">
        <v>4544</v>
      </c>
      <c r="I373" s="49" t="s">
        <v>633</v>
      </c>
      <c r="J373" s="38" t="s">
        <v>4545</v>
      </c>
    </row>
    <row r="374" ht="26.25" customHeight="1">
      <c r="A374" s="113" t="s">
        <v>4546</v>
      </c>
      <c r="B374" s="17">
        <v>2025.0</v>
      </c>
      <c r="C374" s="17" t="s">
        <v>15</v>
      </c>
      <c r="D374" s="15">
        <v>15352.0</v>
      </c>
      <c r="E374" s="49" t="s">
        <v>4547</v>
      </c>
      <c r="F374" s="54" t="s">
        <v>4548</v>
      </c>
      <c r="G374" s="49" t="s">
        <v>4549</v>
      </c>
      <c r="H374" s="49" t="s">
        <v>4550</v>
      </c>
      <c r="I374" s="49" t="s">
        <v>633</v>
      </c>
      <c r="J374" s="38" t="s">
        <v>4551</v>
      </c>
    </row>
    <row r="375" ht="26.25" customHeight="1">
      <c r="A375" s="113" t="s">
        <v>4552</v>
      </c>
      <c r="B375" s="17">
        <v>2025.0</v>
      </c>
      <c r="C375" s="17" t="s">
        <v>15</v>
      </c>
      <c r="D375" s="15">
        <v>15571.0</v>
      </c>
      <c r="E375" s="49" t="s">
        <v>4553</v>
      </c>
      <c r="F375" s="54" t="s">
        <v>4554</v>
      </c>
      <c r="G375" s="49" t="s">
        <v>4555</v>
      </c>
      <c r="H375" s="49" t="s">
        <v>4556</v>
      </c>
      <c r="I375" s="49" t="s">
        <v>2932</v>
      </c>
      <c r="J375" s="38" t="s">
        <v>4557</v>
      </c>
    </row>
    <row r="376" ht="26.25" customHeight="1">
      <c r="A376" s="113" t="s">
        <v>4558</v>
      </c>
      <c r="B376" s="17">
        <v>2025.0</v>
      </c>
      <c r="C376" s="17" t="s">
        <v>15</v>
      </c>
      <c r="D376" s="15">
        <v>15571.0</v>
      </c>
      <c r="E376" s="49" t="s">
        <v>4553</v>
      </c>
      <c r="F376" s="54" t="s">
        <v>4554</v>
      </c>
      <c r="G376" s="49" t="s">
        <v>4555</v>
      </c>
      <c r="H376" s="49" t="s">
        <v>4559</v>
      </c>
      <c r="I376" s="49" t="s">
        <v>3139</v>
      </c>
      <c r="J376" s="38" t="s">
        <v>4560</v>
      </c>
    </row>
    <row r="377" ht="26.25" customHeight="1">
      <c r="A377" s="113" t="s">
        <v>4561</v>
      </c>
      <c r="B377" s="17">
        <v>2025.0</v>
      </c>
      <c r="C377" s="17" t="s">
        <v>16</v>
      </c>
      <c r="D377" s="15">
        <v>15590.0</v>
      </c>
      <c r="E377" s="49" t="s">
        <v>4562</v>
      </c>
      <c r="F377" s="54" t="s">
        <v>4563</v>
      </c>
      <c r="G377" s="49" t="s">
        <v>4564</v>
      </c>
      <c r="H377" s="77" t="s">
        <v>4565</v>
      </c>
      <c r="I377" s="49" t="s">
        <v>2926</v>
      </c>
      <c r="J377" s="38" t="s">
        <v>4566</v>
      </c>
    </row>
    <row r="378" ht="26.25" customHeight="1">
      <c r="A378" s="113" t="s">
        <v>4567</v>
      </c>
      <c r="B378" s="17">
        <v>2025.0</v>
      </c>
      <c r="C378" s="17" t="s">
        <v>16</v>
      </c>
      <c r="D378" s="15">
        <v>15542.0</v>
      </c>
      <c r="E378" s="49" t="s">
        <v>4568</v>
      </c>
      <c r="F378" s="54" t="s">
        <v>4569</v>
      </c>
      <c r="G378" s="49" t="s">
        <v>4570</v>
      </c>
      <c r="H378" s="49" t="s">
        <v>4571</v>
      </c>
      <c r="I378" s="49" t="s">
        <v>2983</v>
      </c>
      <c r="J378" s="38" t="s">
        <v>3172</v>
      </c>
    </row>
    <row r="379" ht="26.25" customHeight="1">
      <c r="A379" s="113" t="s">
        <v>4572</v>
      </c>
      <c r="B379" s="17">
        <v>2025.0</v>
      </c>
      <c r="C379" s="17" t="s">
        <v>16</v>
      </c>
      <c r="D379" s="15">
        <v>15493.0</v>
      </c>
      <c r="E379" s="49" t="s">
        <v>2569</v>
      </c>
      <c r="F379" s="54" t="s">
        <v>2570</v>
      </c>
      <c r="G379" s="38" t="s">
        <v>2571</v>
      </c>
      <c r="H379" s="49" t="s">
        <v>4573</v>
      </c>
      <c r="I379" s="49" t="s">
        <v>2983</v>
      </c>
      <c r="J379" s="38" t="s">
        <v>4574</v>
      </c>
    </row>
    <row r="380" ht="26.25" customHeight="1">
      <c r="A380" s="113" t="s">
        <v>4575</v>
      </c>
      <c r="B380" s="17">
        <v>2025.0</v>
      </c>
      <c r="C380" s="17" t="s">
        <v>17</v>
      </c>
      <c r="D380" s="15">
        <v>13997.0</v>
      </c>
      <c r="E380" s="49" t="s">
        <v>4576</v>
      </c>
      <c r="F380" s="54" t="s">
        <v>4577</v>
      </c>
      <c r="G380" s="49" t="s">
        <v>4578</v>
      </c>
      <c r="H380" s="49" t="s">
        <v>4579</v>
      </c>
      <c r="I380" s="49" t="s">
        <v>2926</v>
      </c>
      <c r="J380" s="38" t="s">
        <v>4580</v>
      </c>
    </row>
    <row r="381" ht="26.25" customHeight="1">
      <c r="A381" s="113" t="s">
        <v>4581</v>
      </c>
      <c r="B381" s="17">
        <v>2025.0</v>
      </c>
      <c r="C381" s="17" t="s">
        <v>17</v>
      </c>
      <c r="D381" s="15">
        <v>15566.0</v>
      </c>
      <c r="E381" s="49" t="s">
        <v>4582</v>
      </c>
      <c r="F381" s="54" t="s">
        <v>4583</v>
      </c>
      <c r="G381" s="49"/>
      <c r="H381" s="49" t="s">
        <v>4584</v>
      </c>
      <c r="I381" s="49" t="s">
        <v>2983</v>
      </c>
      <c r="J381" s="38" t="s">
        <v>4585</v>
      </c>
    </row>
    <row r="382" ht="26.25" customHeight="1">
      <c r="A382" s="113" t="s">
        <v>4586</v>
      </c>
      <c r="B382" s="17">
        <v>2025.0</v>
      </c>
      <c r="C382" s="17" t="s">
        <v>17</v>
      </c>
      <c r="D382" s="15">
        <v>15680.0</v>
      </c>
      <c r="E382" s="49" t="s">
        <v>4587</v>
      </c>
      <c r="F382" s="125" t="s">
        <v>4588</v>
      </c>
      <c r="G382" s="49" t="s">
        <v>4589</v>
      </c>
      <c r="H382" s="49" t="s">
        <v>4590</v>
      </c>
      <c r="I382" s="49" t="s">
        <v>2983</v>
      </c>
      <c r="J382" s="38" t="s">
        <v>4591</v>
      </c>
    </row>
    <row r="383" ht="26.25" customHeight="1">
      <c r="A383" s="113" t="s">
        <v>4592</v>
      </c>
      <c r="B383" s="17">
        <v>2025.0</v>
      </c>
      <c r="C383" s="17" t="s">
        <v>17</v>
      </c>
      <c r="D383" s="15">
        <v>11165.0</v>
      </c>
      <c r="E383" s="49" t="s">
        <v>3999</v>
      </c>
      <c r="F383" s="54" t="s">
        <v>4000</v>
      </c>
      <c r="G383" s="49"/>
      <c r="H383" s="49" t="s">
        <v>4593</v>
      </c>
      <c r="I383" s="49" t="s">
        <v>2983</v>
      </c>
      <c r="J383" s="38" t="s">
        <v>4594</v>
      </c>
    </row>
    <row r="384" ht="26.25" customHeight="1">
      <c r="A384" s="113" t="s">
        <v>4595</v>
      </c>
      <c r="B384" s="17">
        <v>2025.0</v>
      </c>
      <c r="C384" s="17" t="s">
        <v>17</v>
      </c>
      <c r="D384" s="15">
        <v>15622.0</v>
      </c>
      <c r="E384" s="49" t="s">
        <v>4596</v>
      </c>
      <c r="F384" s="54" t="s">
        <v>4597</v>
      </c>
      <c r="G384" s="49" t="s">
        <v>4598</v>
      </c>
      <c r="H384" s="49" t="s">
        <v>4599</v>
      </c>
      <c r="I384" s="49" t="s">
        <v>2944</v>
      </c>
      <c r="J384" s="38" t="s">
        <v>4600</v>
      </c>
    </row>
    <row r="385" ht="26.25" customHeight="1">
      <c r="A385" s="113" t="s">
        <v>4601</v>
      </c>
      <c r="B385" s="17">
        <v>2025.0</v>
      </c>
      <c r="C385" s="17" t="s">
        <v>17</v>
      </c>
      <c r="D385" s="15">
        <v>15854.0</v>
      </c>
      <c r="E385" s="49" t="s">
        <v>4602</v>
      </c>
      <c r="F385" s="54" t="s">
        <v>4603</v>
      </c>
      <c r="G385" s="49" t="s">
        <v>4604</v>
      </c>
      <c r="H385" s="49" t="s">
        <v>4605</v>
      </c>
      <c r="I385" s="49" t="s">
        <v>633</v>
      </c>
      <c r="J385" s="38" t="s">
        <v>4606</v>
      </c>
    </row>
    <row r="386" ht="26.25" customHeight="1">
      <c r="A386" s="113" t="s">
        <v>4607</v>
      </c>
      <c r="B386" s="17">
        <v>2025.0</v>
      </c>
      <c r="C386" s="17" t="s">
        <v>18</v>
      </c>
      <c r="D386" s="15">
        <v>16025.0</v>
      </c>
      <c r="E386" s="49" t="s">
        <v>4608</v>
      </c>
      <c r="F386" s="54" t="s">
        <v>4609</v>
      </c>
      <c r="G386" s="49" t="s">
        <v>4610</v>
      </c>
      <c r="H386" s="49" t="s">
        <v>4611</v>
      </c>
      <c r="I386" s="49" t="s">
        <v>2983</v>
      </c>
      <c r="J386" s="38" t="s">
        <v>4612</v>
      </c>
    </row>
    <row r="387" ht="26.25" customHeight="1">
      <c r="A387" s="113" t="s">
        <v>4613</v>
      </c>
      <c r="B387" s="17">
        <v>2025.0</v>
      </c>
      <c r="C387" s="17" t="s">
        <v>18</v>
      </c>
      <c r="D387" s="15">
        <v>3002.0</v>
      </c>
      <c r="E387" s="49" t="s">
        <v>4614</v>
      </c>
      <c r="F387" s="54" t="s">
        <v>4615</v>
      </c>
      <c r="G387" s="49" t="s">
        <v>3175</v>
      </c>
      <c r="H387" s="49" t="s">
        <v>4616</v>
      </c>
      <c r="I387" s="49" t="s">
        <v>2983</v>
      </c>
      <c r="J387" s="38" t="s">
        <v>4617</v>
      </c>
    </row>
    <row r="388" ht="26.25" customHeight="1">
      <c r="A388" s="113" t="s">
        <v>4618</v>
      </c>
      <c r="B388" s="17">
        <v>2025.0</v>
      </c>
      <c r="C388" s="17" t="s">
        <v>18</v>
      </c>
      <c r="D388" s="15">
        <v>16083.0</v>
      </c>
      <c r="E388" s="49" t="s">
        <v>4619</v>
      </c>
      <c r="F388" s="54" t="s">
        <v>4620</v>
      </c>
      <c r="G388" s="49" t="s">
        <v>4621</v>
      </c>
      <c r="H388" s="49" t="s">
        <v>4622</v>
      </c>
      <c r="I388" s="49" t="s">
        <v>4623</v>
      </c>
      <c r="J388" s="38" t="s">
        <v>4624</v>
      </c>
    </row>
    <row r="389" ht="26.25" customHeight="1">
      <c r="A389" s="113" t="s">
        <v>4625</v>
      </c>
      <c r="B389" s="17">
        <v>2025.0</v>
      </c>
      <c r="C389" s="17" t="s">
        <v>19</v>
      </c>
      <c r="D389" s="15">
        <v>16222.0</v>
      </c>
      <c r="E389" s="49" t="s">
        <v>4626</v>
      </c>
      <c r="F389" s="54" t="s">
        <v>4025</v>
      </c>
      <c r="G389" s="49" t="s">
        <v>4627</v>
      </c>
      <c r="H389" s="49" t="s">
        <v>4628</v>
      </c>
      <c r="I389" s="49" t="s">
        <v>2926</v>
      </c>
      <c r="J389" s="38" t="s">
        <v>4629</v>
      </c>
    </row>
    <row r="390" ht="26.25" customHeight="1">
      <c r="A390" s="113" t="s">
        <v>4630</v>
      </c>
      <c r="B390" s="17">
        <v>2025.0</v>
      </c>
      <c r="C390" s="17" t="s">
        <v>19</v>
      </c>
      <c r="D390" s="15">
        <v>15309.0</v>
      </c>
      <c r="E390" s="49" t="s">
        <v>4631</v>
      </c>
      <c r="F390" s="54" t="s">
        <v>4632</v>
      </c>
      <c r="G390" s="49" t="s">
        <v>4633</v>
      </c>
      <c r="H390" s="49" t="s">
        <v>4634</v>
      </c>
      <c r="I390" s="49" t="s">
        <v>2956</v>
      </c>
      <c r="J390" s="38" t="s">
        <v>4635</v>
      </c>
    </row>
    <row r="391" ht="26.25" customHeight="1">
      <c r="A391" s="113" t="s">
        <v>4636</v>
      </c>
      <c r="B391" s="17">
        <v>2025.0</v>
      </c>
      <c r="C391" s="17" t="s">
        <v>19</v>
      </c>
      <c r="D391" s="15">
        <v>16126.0</v>
      </c>
      <c r="E391" s="49" t="s">
        <v>4637</v>
      </c>
      <c r="F391" s="54" t="s">
        <v>4638</v>
      </c>
      <c r="G391" s="49" t="s">
        <v>2614</v>
      </c>
      <c r="H391" s="49" t="s">
        <v>4639</v>
      </c>
      <c r="I391" s="49" t="s">
        <v>3088</v>
      </c>
      <c r="J391" s="38" t="s">
        <v>4640</v>
      </c>
    </row>
    <row r="392" ht="26.25" customHeight="1">
      <c r="A392" s="113" t="s">
        <v>4641</v>
      </c>
      <c r="B392" s="17">
        <v>2025.0</v>
      </c>
      <c r="C392" s="17" t="s">
        <v>19</v>
      </c>
      <c r="D392" s="15">
        <v>16277.0</v>
      </c>
      <c r="E392" s="49" t="s">
        <v>4642</v>
      </c>
      <c r="F392" s="54" t="s">
        <v>4643</v>
      </c>
      <c r="G392" s="49"/>
      <c r="H392" s="49" t="s">
        <v>4644</v>
      </c>
      <c r="I392" s="49" t="s">
        <v>2983</v>
      </c>
      <c r="J392" s="38" t="s">
        <v>4645</v>
      </c>
    </row>
    <row r="393" ht="26.25" customHeight="1">
      <c r="A393" s="113" t="s">
        <v>4646</v>
      </c>
      <c r="B393" s="17">
        <v>2025.0</v>
      </c>
      <c r="C393" s="17" t="s">
        <v>19</v>
      </c>
      <c r="D393" s="15">
        <v>7067.0</v>
      </c>
      <c r="E393" s="49" t="s">
        <v>4008</v>
      </c>
      <c r="F393" s="54" t="s">
        <v>4009</v>
      </c>
      <c r="G393" s="49" t="s">
        <v>4010</v>
      </c>
      <c r="H393" s="49" t="s">
        <v>4647</v>
      </c>
      <c r="I393" s="49" t="s">
        <v>2926</v>
      </c>
      <c r="J393" s="38" t="s">
        <v>4648</v>
      </c>
    </row>
    <row r="394" ht="26.25" customHeight="1">
      <c r="A394" s="113" t="s">
        <v>4649</v>
      </c>
      <c r="B394" s="17">
        <v>2025.0</v>
      </c>
      <c r="C394" s="17" t="s">
        <v>20</v>
      </c>
      <c r="D394" s="15">
        <v>16575.0</v>
      </c>
      <c r="E394" s="49" t="s">
        <v>4650</v>
      </c>
      <c r="F394" s="54" t="s">
        <v>4651</v>
      </c>
      <c r="G394" s="49" t="s">
        <v>4652</v>
      </c>
      <c r="H394" s="49" t="s">
        <v>4653</v>
      </c>
      <c r="I394" s="55" t="s">
        <v>2926</v>
      </c>
      <c r="J394" s="38" t="s">
        <v>4654</v>
      </c>
    </row>
    <row r="395" ht="26.25" customHeight="1">
      <c r="A395" s="113" t="s">
        <v>4655</v>
      </c>
      <c r="B395" s="17">
        <v>2025.0</v>
      </c>
      <c r="C395" s="17" t="s">
        <v>20</v>
      </c>
      <c r="D395" s="15">
        <v>16541.0</v>
      </c>
      <c r="E395" s="49" t="s">
        <v>4656</v>
      </c>
      <c r="F395" s="54" t="s">
        <v>4657</v>
      </c>
      <c r="G395" s="49" t="s">
        <v>4658</v>
      </c>
      <c r="H395" s="49" t="s">
        <v>4659</v>
      </c>
      <c r="I395" s="55" t="s">
        <v>2926</v>
      </c>
      <c r="J395" s="38" t="s">
        <v>4660</v>
      </c>
    </row>
    <row r="396" ht="26.25" customHeight="1">
      <c r="A396" s="113" t="s">
        <v>4661</v>
      </c>
      <c r="B396" s="17">
        <v>2025.0</v>
      </c>
      <c r="C396" s="17" t="s">
        <v>20</v>
      </c>
      <c r="D396" s="15">
        <v>16475.0</v>
      </c>
      <c r="E396" s="49" t="s">
        <v>4662</v>
      </c>
      <c r="F396" s="54" t="s">
        <v>4663</v>
      </c>
      <c r="G396" s="49" t="s">
        <v>4664</v>
      </c>
      <c r="H396" s="49" t="s">
        <v>4665</v>
      </c>
      <c r="I396" s="55" t="s">
        <v>4666</v>
      </c>
      <c r="J396" s="38" t="s">
        <v>4667</v>
      </c>
    </row>
    <row r="397" ht="26.25" customHeight="1">
      <c r="A397" s="113" t="s">
        <v>4668</v>
      </c>
      <c r="B397" s="17">
        <v>2025.0</v>
      </c>
      <c r="C397" s="17" t="s">
        <v>21</v>
      </c>
      <c r="D397" s="15">
        <v>16743.0</v>
      </c>
      <c r="E397" s="49" t="s">
        <v>4536</v>
      </c>
      <c r="F397" s="54" t="s">
        <v>4669</v>
      </c>
      <c r="G397" s="49" t="s">
        <v>4670</v>
      </c>
      <c r="H397" s="49" t="s">
        <v>4539</v>
      </c>
      <c r="I397" s="49" t="s">
        <v>2926</v>
      </c>
      <c r="J397" s="38" t="s">
        <v>4671</v>
      </c>
    </row>
    <row r="398" ht="26.25" customHeight="1">
      <c r="A398" s="113" t="s">
        <v>4672</v>
      </c>
      <c r="B398" s="17">
        <v>2025.0</v>
      </c>
      <c r="C398" s="17" t="s">
        <v>21</v>
      </c>
      <c r="D398" s="15">
        <v>16682.0</v>
      </c>
      <c r="E398" s="49" t="s">
        <v>4673</v>
      </c>
      <c r="F398" s="54" t="s">
        <v>4674</v>
      </c>
      <c r="G398" s="49" t="s">
        <v>4675</v>
      </c>
      <c r="H398" s="49" t="s">
        <v>4676</v>
      </c>
      <c r="I398" s="49" t="s">
        <v>2932</v>
      </c>
      <c r="J398" s="38" t="s">
        <v>4677</v>
      </c>
    </row>
    <row r="399" ht="26.25" customHeight="1">
      <c r="A399" s="113" t="s">
        <v>4678</v>
      </c>
      <c r="B399" s="17">
        <v>2025.0</v>
      </c>
      <c r="C399" s="17" t="s">
        <v>21</v>
      </c>
      <c r="D399" s="15">
        <v>16666.0</v>
      </c>
      <c r="E399" s="49" t="s">
        <v>4679</v>
      </c>
      <c r="F399" s="54" t="s">
        <v>4680</v>
      </c>
      <c r="G399" s="49" t="s">
        <v>4681</v>
      </c>
      <c r="H399" s="78" t="s">
        <v>4682</v>
      </c>
      <c r="I399" s="49" t="s">
        <v>633</v>
      </c>
      <c r="J399" s="38" t="s">
        <v>4683</v>
      </c>
    </row>
    <row r="400" ht="26.25" customHeight="1">
      <c r="A400" s="113" t="s">
        <v>4684</v>
      </c>
      <c r="B400" s="17">
        <v>2025.0</v>
      </c>
      <c r="C400" s="17" t="s">
        <v>21</v>
      </c>
      <c r="D400" s="15">
        <v>14098.0</v>
      </c>
      <c r="E400" s="49" t="s">
        <v>4366</v>
      </c>
      <c r="F400" s="54" t="s">
        <v>4367</v>
      </c>
      <c r="G400" s="49" t="s">
        <v>4368</v>
      </c>
      <c r="H400" s="49" t="s">
        <v>4685</v>
      </c>
      <c r="I400" s="49" t="s">
        <v>2983</v>
      </c>
      <c r="J400" s="38" t="s">
        <v>4370</v>
      </c>
    </row>
    <row r="401" ht="26.25" customHeight="1">
      <c r="A401" s="113" t="s">
        <v>4686</v>
      </c>
      <c r="B401" s="20">
        <v>2026.0</v>
      </c>
      <c r="C401" s="17" t="s">
        <v>11</v>
      </c>
      <c r="D401" s="57">
        <v>15747.0</v>
      </c>
      <c r="E401" s="58" t="s">
        <v>4687</v>
      </c>
      <c r="F401" s="59" t="s">
        <v>4688</v>
      </c>
      <c r="G401" s="49" t="s">
        <v>4689</v>
      </c>
      <c r="H401" s="58" t="s">
        <v>4690</v>
      </c>
      <c r="I401" s="58" t="s">
        <v>2938</v>
      </c>
      <c r="J401" s="38" t="s">
        <v>4691</v>
      </c>
    </row>
    <row r="402" ht="26.25" customHeight="1">
      <c r="A402" s="113" t="s">
        <v>4692</v>
      </c>
      <c r="B402" s="20">
        <v>2026.0</v>
      </c>
      <c r="C402" s="17" t="s">
        <v>11</v>
      </c>
      <c r="D402" s="57">
        <v>17401.0</v>
      </c>
      <c r="E402" s="58" t="s">
        <v>4693</v>
      </c>
      <c r="F402" s="59" t="s">
        <v>4694</v>
      </c>
      <c r="G402" s="49" t="s">
        <v>4695</v>
      </c>
      <c r="H402" s="129" t="s">
        <v>4696</v>
      </c>
      <c r="I402" s="58" t="s">
        <v>2926</v>
      </c>
      <c r="J402" s="38" t="s">
        <v>4697</v>
      </c>
    </row>
    <row r="403" ht="26.25" customHeight="1">
      <c r="A403" s="113" t="s">
        <v>4698</v>
      </c>
      <c r="B403" s="20">
        <v>2026.0</v>
      </c>
      <c r="C403" s="17" t="s">
        <v>11</v>
      </c>
      <c r="D403" s="57">
        <v>17261.0</v>
      </c>
      <c r="E403" s="58" t="s">
        <v>4699</v>
      </c>
      <c r="F403" s="59" t="s">
        <v>4700</v>
      </c>
      <c r="G403" s="49" t="s">
        <v>4701</v>
      </c>
      <c r="H403" s="58" t="s">
        <v>4702</v>
      </c>
      <c r="I403" s="58" t="s">
        <v>2926</v>
      </c>
      <c r="J403" s="38" t="s">
        <v>4703</v>
      </c>
    </row>
    <row r="404" ht="26.25" customHeight="1">
      <c r="A404" s="113" t="s">
        <v>4704</v>
      </c>
      <c r="B404" s="20">
        <v>2026.0</v>
      </c>
      <c r="C404" s="20" t="s">
        <v>12</v>
      </c>
      <c r="D404" s="15">
        <v>14481.0</v>
      </c>
      <c r="E404" s="58" t="s">
        <v>4425</v>
      </c>
      <c r="F404" s="59" t="s">
        <v>4705</v>
      </c>
      <c r="G404" s="49"/>
      <c r="H404" s="58" t="s">
        <v>4706</v>
      </c>
      <c r="I404" s="58" t="s">
        <v>2938</v>
      </c>
      <c r="J404" s="96" t="s">
        <v>4428</v>
      </c>
    </row>
    <row r="405" ht="26.25" customHeight="1">
      <c r="A405" s="12" t="s">
        <v>4707</v>
      </c>
      <c r="B405" s="20">
        <v>2026.0</v>
      </c>
      <c r="C405" s="20" t="s">
        <v>12</v>
      </c>
      <c r="D405" s="57">
        <v>4723.0</v>
      </c>
      <c r="E405" s="49" t="s">
        <v>4708</v>
      </c>
      <c r="F405" s="54" t="s">
        <v>3628</v>
      </c>
      <c r="G405" s="61" t="s">
        <v>3655</v>
      </c>
      <c r="H405" s="49" t="s">
        <v>4709</v>
      </c>
      <c r="I405" s="49" t="s">
        <v>2944</v>
      </c>
      <c r="J405" s="96" t="s">
        <v>3378</v>
      </c>
    </row>
    <row r="406" ht="26.25" customHeight="1">
      <c r="A406" s="113" t="s">
        <v>4710</v>
      </c>
      <c r="B406" s="20">
        <v>2026.0</v>
      </c>
      <c r="C406" s="20" t="s">
        <v>13</v>
      </c>
      <c r="D406" s="15">
        <v>18009.0</v>
      </c>
      <c r="E406" s="58" t="s">
        <v>4711</v>
      </c>
      <c r="F406" s="59" t="s">
        <v>4712</v>
      </c>
      <c r="G406" s="61" t="s">
        <v>4713</v>
      </c>
      <c r="H406" s="58" t="s">
        <v>4714</v>
      </c>
      <c r="I406" s="58" t="s">
        <v>4666</v>
      </c>
      <c r="J406" s="96" t="s">
        <v>4715</v>
      </c>
    </row>
    <row r="407" ht="26.25" customHeight="1">
      <c r="A407" s="12" t="s">
        <v>4716</v>
      </c>
      <c r="B407" s="20">
        <v>2026.0</v>
      </c>
      <c r="C407" s="20" t="s">
        <v>13</v>
      </c>
      <c r="D407" s="57">
        <v>2719.0</v>
      </c>
      <c r="E407" s="58" t="s">
        <v>3447</v>
      </c>
      <c r="F407" s="59" t="s">
        <v>4717</v>
      </c>
      <c r="G407" s="61" t="s">
        <v>3071</v>
      </c>
      <c r="H407" s="58" t="s">
        <v>4718</v>
      </c>
      <c r="I407" s="58" t="s">
        <v>633</v>
      </c>
      <c r="J407" s="96" t="s">
        <v>3073</v>
      </c>
    </row>
    <row r="408" ht="26.25" customHeight="1">
      <c r="A408" s="113" t="s">
        <v>4719</v>
      </c>
      <c r="B408" s="20">
        <v>2026.0</v>
      </c>
      <c r="C408" s="20" t="s">
        <v>13</v>
      </c>
      <c r="D408" s="15">
        <v>18018.0</v>
      </c>
      <c r="E408" s="49" t="s">
        <v>4720</v>
      </c>
      <c r="F408" s="54" t="s">
        <v>4721</v>
      </c>
      <c r="G408" s="61" t="s">
        <v>4722</v>
      </c>
      <c r="H408" s="49" t="s">
        <v>4723</v>
      </c>
      <c r="I408" s="49" t="s">
        <v>2938</v>
      </c>
      <c r="J408" s="96" t="s">
        <v>4724</v>
      </c>
    </row>
    <row r="409" ht="26.25" customHeight="1">
      <c r="A409" s="12" t="s">
        <v>4725</v>
      </c>
      <c r="B409" s="20">
        <v>2026.0</v>
      </c>
      <c r="C409" s="20" t="s">
        <v>14</v>
      </c>
      <c r="D409" s="15">
        <v>18197.0</v>
      </c>
      <c r="E409" s="49" t="s">
        <v>4726</v>
      </c>
      <c r="F409" s="54" t="s">
        <v>4727</v>
      </c>
      <c r="G409" s="61" t="s">
        <v>4728</v>
      </c>
      <c r="H409" s="49" t="s">
        <v>4729</v>
      </c>
      <c r="I409" s="49" t="s">
        <v>3063</v>
      </c>
      <c r="J409" s="96" t="s">
        <v>4730</v>
      </c>
    </row>
    <row r="410" ht="26.25" customHeight="1">
      <c r="A410" s="113" t="s">
        <v>4731</v>
      </c>
      <c r="B410" s="20">
        <v>2026.0</v>
      </c>
      <c r="C410" s="20" t="s">
        <v>14</v>
      </c>
      <c r="D410" s="15">
        <v>18197.0</v>
      </c>
      <c r="E410" s="49" t="s">
        <v>4732</v>
      </c>
      <c r="F410" s="54" t="s">
        <v>4727</v>
      </c>
      <c r="G410" s="61" t="s">
        <v>4728</v>
      </c>
      <c r="H410" s="61" t="s">
        <v>4733</v>
      </c>
      <c r="I410" s="49" t="s">
        <v>3063</v>
      </c>
      <c r="J410" s="96" t="s">
        <v>4730</v>
      </c>
    </row>
    <row r="411" ht="26.25" customHeight="1">
      <c r="A411" s="12" t="s">
        <v>4734</v>
      </c>
      <c r="B411" s="20">
        <v>2026.0</v>
      </c>
      <c r="C411" s="20" t="s">
        <v>14</v>
      </c>
      <c r="D411" s="15">
        <v>18171.0</v>
      </c>
      <c r="E411" s="49" t="s">
        <v>4735</v>
      </c>
      <c r="F411" s="54" t="s">
        <v>4736</v>
      </c>
      <c r="G411" s="61" t="s">
        <v>4737</v>
      </c>
      <c r="H411" s="130" t="s">
        <v>4738</v>
      </c>
      <c r="I411" s="49" t="s">
        <v>3139</v>
      </c>
      <c r="J411" s="96" t="s">
        <v>4739</v>
      </c>
    </row>
    <row r="412" ht="26.25" customHeight="1">
      <c r="A412" s="113" t="s">
        <v>4740</v>
      </c>
      <c r="B412" s="20">
        <v>2026.0</v>
      </c>
      <c r="C412" s="20" t="s">
        <v>15</v>
      </c>
      <c r="D412" s="15">
        <v>18490.0</v>
      </c>
      <c r="E412" s="49" t="s">
        <v>4741</v>
      </c>
      <c r="F412" s="54" t="s">
        <v>4742</v>
      </c>
      <c r="G412" s="61" t="s">
        <v>4743</v>
      </c>
      <c r="H412" s="130" t="s">
        <v>4744</v>
      </c>
      <c r="I412" s="49" t="s">
        <v>2983</v>
      </c>
      <c r="J412" s="96" t="s">
        <v>4745</v>
      </c>
    </row>
    <row r="413" ht="26.25" customHeight="1">
      <c r="A413" s="12" t="s">
        <v>4746</v>
      </c>
      <c r="B413" s="20">
        <v>2026.0</v>
      </c>
      <c r="C413" s="20" t="s">
        <v>15</v>
      </c>
      <c r="D413" s="15">
        <v>18450.0</v>
      </c>
      <c r="E413" s="49" t="s">
        <v>4747</v>
      </c>
      <c r="F413" s="54" t="s">
        <v>4748</v>
      </c>
      <c r="G413" s="61" t="s">
        <v>4749</v>
      </c>
      <c r="H413" s="130" t="s">
        <v>4750</v>
      </c>
      <c r="I413" s="49" t="s">
        <v>2932</v>
      </c>
      <c r="J413" s="96" t="s">
        <v>4751</v>
      </c>
    </row>
    <row r="414" ht="26.25" customHeight="1">
      <c r="A414" s="113" t="s">
        <v>4752</v>
      </c>
      <c r="B414" s="20">
        <v>2026.0</v>
      </c>
      <c r="C414" s="20" t="s">
        <v>15</v>
      </c>
      <c r="D414" s="15">
        <v>18487.0</v>
      </c>
      <c r="E414" s="49" t="s">
        <v>4753</v>
      </c>
      <c r="F414" s="54" t="s">
        <v>4754</v>
      </c>
      <c r="G414" s="61" t="s">
        <v>4755</v>
      </c>
      <c r="H414" s="130" t="s">
        <v>4756</v>
      </c>
      <c r="I414" s="49" t="s">
        <v>633</v>
      </c>
      <c r="J414" s="96" t="s">
        <v>4757</v>
      </c>
    </row>
    <row r="415" ht="26.25" customHeight="1">
      <c r="A415" s="12" t="s">
        <v>4758</v>
      </c>
      <c r="B415" s="20">
        <v>2026.0</v>
      </c>
      <c r="C415" s="20" t="s">
        <v>15</v>
      </c>
      <c r="D415" s="65">
        <v>18624.0</v>
      </c>
      <c r="E415" s="66" t="s">
        <v>4759</v>
      </c>
      <c r="F415" s="67" t="s">
        <v>4760</v>
      </c>
      <c r="G415" s="61"/>
      <c r="H415" s="131" t="s">
        <v>4761</v>
      </c>
      <c r="I415" s="66" t="s">
        <v>2938</v>
      </c>
      <c r="J415" s="132" t="s">
        <v>4762</v>
      </c>
    </row>
    <row r="416" ht="26.25" customHeight="1">
      <c r="A416" s="113" t="s">
        <v>4763</v>
      </c>
      <c r="B416" s="20">
        <v>2026.0</v>
      </c>
      <c r="C416" s="20" t="s">
        <v>15</v>
      </c>
      <c r="D416" s="15">
        <v>14115.0</v>
      </c>
      <c r="E416" s="49" t="s">
        <v>4764</v>
      </c>
      <c r="F416" s="54" t="s">
        <v>4402</v>
      </c>
      <c r="G416" s="133" t="s">
        <v>4765</v>
      </c>
      <c r="H416" s="130" t="s">
        <v>4766</v>
      </c>
      <c r="I416" s="49" t="s">
        <v>3088</v>
      </c>
      <c r="J416" s="132" t="s">
        <v>4405</v>
      </c>
    </row>
    <row r="417" ht="26.25" customHeight="1">
      <c r="A417" s="12" t="s">
        <v>4767</v>
      </c>
      <c r="B417" s="20">
        <v>2026.0</v>
      </c>
      <c r="C417" s="20" t="s">
        <v>15</v>
      </c>
      <c r="D417" s="15">
        <v>18655.0</v>
      </c>
      <c r="E417" s="93" t="s">
        <v>4768</v>
      </c>
      <c r="F417" s="54" t="s">
        <v>4769</v>
      </c>
      <c r="G417" s="134" t="s">
        <v>4770</v>
      </c>
      <c r="H417" s="130" t="s">
        <v>4771</v>
      </c>
      <c r="I417" s="49" t="s">
        <v>2926</v>
      </c>
      <c r="J417" s="132" t="s">
        <v>4772</v>
      </c>
    </row>
    <row r="418" ht="26.25" customHeight="1">
      <c r="A418" s="113" t="s">
        <v>4773</v>
      </c>
      <c r="B418" s="20">
        <v>2026.0</v>
      </c>
      <c r="C418" s="20" t="s">
        <v>15</v>
      </c>
      <c r="D418" s="62">
        <v>18737.0</v>
      </c>
      <c r="E418" s="135" t="s">
        <v>4774</v>
      </c>
      <c r="F418" s="64" t="s">
        <v>4775</v>
      </c>
      <c r="G418" s="134"/>
      <c r="H418" s="99" t="s">
        <v>4776</v>
      </c>
      <c r="I418" s="63" t="s">
        <v>2983</v>
      </c>
      <c r="J418" s="132" t="s">
        <v>4777</v>
      </c>
    </row>
    <row r="419" ht="26.25" customHeight="1">
      <c r="A419" s="12" t="s">
        <v>4778</v>
      </c>
      <c r="B419" s="20">
        <v>2026.0</v>
      </c>
      <c r="C419" s="20" t="s">
        <v>15</v>
      </c>
      <c r="D419" s="62">
        <v>18728.0</v>
      </c>
      <c r="E419" s="135" t="s">
        <v>4779</v>
      </c>
      <c r="F419" s="64" t="s">
        <v>4780</v>
      </c>
      <c r="G419" s="134" t="s">
        <v>4781</v>
      </c>
      <c r="H419" s="99" t="s">
        <v>4782</v>
      </c>
      <c r="I419" s="63" t="s">
        <v>3357</v>
      </c>
      <c r="J419" s="132" t="s">
        <v>4783</v>
      </c>
    </row>
    <row r="420" ht="26.25" customHeight="1">
      <c r="A420" s="113" t="s">
        <v>4784</v>
      </c>
      <c r="B420" s="20">
        <v>2026.0</v>
      </c>
      <c r="C420" s="20" t="s">
        <v>15</v>
      </c>
      <c r="D420" s="62">
        <v>13408.0</v>
      </c>
      <c r="E420" s="135" t="s">
        <v>4306</v>
      </c>
      <c r="F420" s="64" t="s">
        <v>4785</v>
      </c>
      <c r="G420" s="134" t="s">
        <v>4308</v>
      </c>
      <c r="H420" s="99" t="s">
        <v>4786</v>
      </c>
      <c r="I420" s="63" t="s">
        <v>2944</v>
      </c>
      <c r="J420" s="132" t="s">
        <v>4787</v>
      </c>
    </row>
    <row r="421" ht="26.25" customHeight="1">
      <c r="A421" s="100" t="s">
        <v>4788</v>
      </c>
      <c r="B421" s="101">
        <v>2026.0</v>
      </c>
      <c r="C421" s="101" t="s">
        <v>16</v>
      </c>
      <c r="D421" s="102">
        <v>18753.0</v>
      </c>
      <c r="E421" s="136" t="s">
        <v>4789</v>
      </c>
      <c r="F421" s="104" t="s">
        <v>4790</v>
      </c>
      <c r="G421" s="137"/>
      <c r="H421" s="106" t="s">
        <v>4791</v>
      </c>
      <c r="I421" s="103" t="s">
        <v>3139</v>
      </c>
      <c r="J421" s="138" t="s">
        <v>4792</v>
      </c>
    </row>
    <row r="422" ht="26.25" customHeight="1">
      <c r="A422" s="100" t="s">
        <v>4793</v>
      </c>
      <c r="B422" s="101">
        <v>2026.0</v>
      </c>
      <c r="C422" s="101" t="s">
        <v>16</v>
      </c>
      <c r="D422" s="102">
        <v>14797.0</v>
      </c>
      <c r="E422" s="136" t="s">
        <v>1805</v>
      </c>
      <c r="F422" s="104" t="s">
        <v>4794</v>
      </c>
      <c r="G422" s="137" t="s">
        <v>4482</v>
      </c>
      <c r="H422" s="106" t="s">
        <v>4795</v>
      </c>
      <c r="I422" s="103" t="s">
        <v>2983</v>
      </c>
      <c r="J422" s="138" t="s">
        <v>4484</v>
      </c>
    </row>
    <row r="423" ht="26.25" customHeight="1">
      <c r="A423" s="100" t="s">
        <v>4796</v>
      </c>
      <c r="B423" s="101">
        <v>2026.0</v>
      </c>
      <c r="C423" s="101" t="s">
        <v>16</v>
      </c>
      <c r="D423" s="102">
        <v>3338.0</v>
      </c>
      <c r="E423" s="136" t="s">
        <v>4797</v>
      </c>
      <c r="F423" s="104" t="s">
        <v>3267</v>
      </c>
      <c r="G423" s="137" t="s">
        <v>3268</v>
      </c>
      <c r="H423" s="106" t="s">
        <v>4798</v>
      </c>
      <c r="I423" s="103" t="s">
        <v>2983</v>
      </c>
      <c r="J423" s="138" t="s">
        <v>4799</v>
      </c>
    </row>
    <row r="424" ht="26.25" customHeight="1">
      <c r="A424" s="100" t="s">
        <v>4800</v>
      </c>
      <c r="B424" s="101">
        <v>2026.0</v>
      </c>
      <c r="C424" s="101" t="s">
        <v>16</v>
      </c>
      <c r="D424" s="102">
        <v>11351.0</v>
      </c>
      <c r="E424" s="136" t="s">
        <v>4801</v>
      </c>
      <c r="F424" s="104" t="s">
        <v>4802</v>
      </c>
      <c r="G424" s="137" t="s">
        <v>4084</v>
      </c>
      <c r="H424" s="106" t="s">
        <v>4803</v>
      </c>
      <c r="I424" s="103" t="s">
        <v>2944</v>
      </c>
      <c r="J424" s="138" t="s">
        <v>4086</v>
      </c>
    </row>
    <row r="425" ht="26.25" customHeight="1">
      <c r="A425" s="100" t="s">
        <v>4804</v>
      </c>
      <c r="B425" s="101">
        <v>2026.0</v>
      </c>
      <c r="C425" s="101" t="s">
        <v>16</v>
      </c>
      <c r="D425" s="102">
        <v>10703.0</v>
      </c>
      <c r="E425" s="136" t="s">
        <v>4347</v>
      </c>
      <c r="F425" s="104" t="s">
        <v>4348</v>
      </c>
      <c r="G425" s="137" t="s">
        <v>3967</v>
      </c>
      <c r="H425" s="106" t="s">
        <v>4805</v>
      </c>
      <c r="I425" s="103" t="s">
        <v>3133</v>
      </c>
      <c r="J425" s="138" t="s">
        <v>3969</v>
      </c>
    </row>
    <row r="426" ht="26.25" customHeight="1">
      <c r="A426" s="100" t="s">
        <v>4806</v>
      </c>
      <c r="B426" s="101">
        <v>2026.0</v>
      </c>
      <c r="C426" s="101" t="s">
        <v>16</v>
      </c>
      <c r="D426" s="102">
        <v>14481.0</v>
      </c>
      <c r="E426" s="136" t="s">
        <v>4807</v>
      </c>
      <c r="F426" s="104" t="s">
        <v>4705</v>
      </c>
      <c r="G426" s="137"/>
      <c r="H426" s="106" t="s">
        <v>4808</v>
      </c>
      <c r="I426" s="103" t="s">
        <v>2938</v>
      </c>
      <c r="J426" s="138" t="s">
        <v>4428</v>
      </c>
    </row>
    <row r="427" ht="26.25" customHeight="1">
      <c r="A427" s="100" t="s">
        <v>4809</v>
      </c>
      <c r="B427" s="101">
        <v>2026.0</v>
      </c>
      <c r="C427" s="101" t="s">
        <v>16</v>
      </c>
      <c r="D427" s="102">
        <v>18450.0</v>
      </c>
      <c r="E427" s="136" t="s">
        <v>4747</v>
      </c>
      <c r="F427" s="104" t="s">
        <v>4748</v>
      </c>
      <c r="G427" s="137" t="s">
        <v>4749</v>
      </c>
      <c r="H427" s="106" t="s">
        <v>4810</v>
      </c>
      <c r="I427" s="103" t="s">
        <v>2932</v>
      </c>
      <c r="J427" s="138" t="s">
        <v>4751</v>
      </c>
    </row>
    <row r="428" ht="26.25" customHeight="1">
      <c r="A428" s="100" t="s">
        <v>4811</v>
      </c>
      <c r="B428" s="100" t="s">
        <v>4812</v>
      </c>
      <c r="C428" s="101" t="s">
        <v>16</v>
      </c>
      <c r="D428" s="102">
        <v>18420.0</v>
      </c>
      <c r="E428" s="136" t="s">
        <v>4813</v>
      </c>
      <c r="F428" s="104" t="s">
        <v>4814</v>
      </c>
      <c r="G428" s="137" t="s">
        <v>4815</v>
      </c>
      <c r="H428" s="106" t="s">
        <v>4816</v>
      </c>
      <c r="I428" s="103" t="s">
        <v>2944</v>
      </c>
      <c r="J428" s="138" t="s">
        <v>4817</v>
      </c>
    </row>
    <row r="429" ht="26.25" customHeight="1">
      <c r="A429" s="100" t="s">
        <v>4812</v>
      </c>
      <c r="B429" s="100" t="s">
        <v>4818</v>
      </c>
      <c r="C429" s="101" t="s">
        <v>16</v>
      </c>
      <c r="D429" s="102">
        <v>18420.0</v>
      </c>
      <c r="E429" s="136" t="s">
        <v>4813</v>
      </c>
      <c r="F429" s="104" t="s">
        <v>4814</v>
      </c>
      <c r="G429" s="137" t="s">
        <v>4815</v>
      </c>
      <c r="H429" s="106" t="s">
        <v>4816</v>
      </c>
      <c r="I429" s="103" t="s">
        <v>2944</v>
      </c>
      <c r="J429" s="138" t="s">
        <v>4819</v>
      </c>
    </row>
    <row r="430" ht="26.25" customHeight="1">
      <c r="A430" s="113" t="s">
        <v>4818</v>
      </c>
      <c r="B430" s="20">
        <v>2026.0</v>
      </c>
      <c r="C430" s="20" t="s">
        <v>17</v>
      </c>
      <c r="D430" s="62">
        <v>12986.0</v>
      </c>
      <c r="E430" s="135" t="s">
        <v>4820</v>
      </c>
      <c r="F430" s="64" t="s">
        <v>4821</v>
      </c>
      <c r="G430" s="134" t="s">
        <v>4277</v>
      </c>
      <c r="H430" s="98" t="s">
        <v>4822</v>
      </c>
      <c r="I430" s="98" t="s">
        <v>2938</v>
      </c>
      <c r="J430" s="139" t="s">
        <v>4279</v>
      </c>
    </row>
    <row r="431" ht="26.25" customHeight="1">
      <c r="A431" s="12" t="s">
        <v>4823</v>
      </c>
      <c r="B431" s="20">
        <v>2026.0</v>
      </c>
      <c r="C431" s="20" t="s">
        <v>17</v>
      </c>
      <c r="D431" s="108">
        <v>11418.0</v>
      </c>
      <c r="E431" s="140" t="s">
        <v>4096</v>
      </c>
      <c r="F431" s="110" t="s">
        <v>4097</v>
      </c>
      <c r="G431" s="134" t="s">
        <v>4098</v>
      </c>
      <c r="H431" s="141" t="s">
        <v>4824</v>
      </c>
      <c r="I431" s="141" t="s">
        <v>2983</v>
      </c>
      <c r="J431" s="139" t="s">
        <v>4100</v>
      </c>
    </row>
    <row r="432" ht="26.25" customHeight="1">
      <c r="A432" s="51" t="s">
        <v>222</v>
      </c>
      <c r="C432" s="52"/>
      <c r="D432" s="52"/>
      <c r="E432" s="53">
        <f t="array" ref="E432">sum(1/countif(E401:E420,E401:E420))</f>
        <v>20</v>
      </c>
      <c r="F432" s="52"/>
      <c r="G432" s="52"/>
      <c r="H432" s="53">
        <f t="array" ref="H432">sum(1/countif(H401:H420,H401:H420))</f>
        <v>19</v>
      </c>
      <c r="I432" s="53">
        <f t="array" ref="I432">sum(1/countif(I348:I397,I348:I397))</f>
        <v>11</v>
      </c>
      <c r="J432" s="53"/>
    </row>
    <row r="433" ht="26.25" customHeight="1">
      <c r="A433" s="51" t="s">
        <v>223</v>
      </c>
      <c r="C433" s="52"/>
      <c r="E433" s="53">
        <f t="array" ref="E433">sum(1/countif(E5:E420,E5:E420))</f>
        <v>343</v>
      </c>
      <c r="F433" s="52"/>
      <c r="G433" s="52"/>
      <c r="H433" s="53">
        <f t="array" ref="H433">sum(1/countif(H5:H420,H5:H420))</f>
        <v>409</v>
      </c>
      <c r="I433" s="53">
        <f t="array" ref="I433">sum(1/countif(I253:I397,I253:I397))</f>
        <v>17</v>
      </c>
      <c r="J433" s="53"/>
    </row>
  </sheetData>
  <mergeCells count="6">
    <mergeCell ref="A1:J1"/>
    <mergeCell ref="A2:J2"/>
    <mergeCell ref="A3:J3"/>
    <mergeCell ref="A432:B432"/>
    <mergeCell ref="A433:B433"/>
    <mergeCell ref="C433:D433"/>
  </mergeCells>
  <hyperlinks>
    <hyperlink r:id="rId1" ref="H155"/>
    <hyperlink r:id="rId2" ref="G162"/>
    <hyperlink r:id="rId3" ref="H303"/>
  </hyperlinks>
  <drawing r:id="rId4"/>
  <tableParts count="4">
    <tablePart r:id="rId9"/>
    <tablePart r:id="rId10"/>
    <tablePart r:id="rId11"/>
    <tablePart r:id="rId1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40" t="s">
        <v>16</v>
      </c>
      <c r="D5" s="40">
        <v>982.0</v>
      </c>
      <c r="E5" s="39" t="s">
        <v>4825</v>
      </c>
      <c r="F5" s="40" t="s">
        <v>4826</v>
      </c>
      <c r="G5" s="39" t="s">
        <v>4827</v>
      </c>
      <c r="H5" s="38" t="s">
        <v>4828</v>
      </c>
      <c r="I5" s="39" t="s">
        <v>4829</v>
      </c>
      <c r="J5" s="39" t="s">
        <v>4830</v>
      </c>
    </row>
    <row r="6" ht="26.25" customHeight="1">
      <c r="A6" s="12" t="s">
        <v>80</v>
      </c>
      <c r="B6" s="17">
        <v>2021.0</v>
      </c>
      <c r="C6" s="35" t="s">
        <v>16</v>
      </c>
      <c r="D6" s="35">
        <v>1283.0</v>
      </c>
      <c r="E6" s="37" t="s">
        <v>4831</v>
      </c>
      <c r="F6" s="35" t="s">
        <v>4832</v>
      </c>
      <c r="G6" s="37" t="s">
        <v>4833</v>
      </c>
      <c r="H6" s="38" t="s">
        <v>4834</v>
      </c>
      <c r="I6" s="39" t="s">
        <v>4835</v>
      </c>
      <c r="J6" s="39" t="s">
        <v>4836</v>
      </c>
    </row>
    <row r="7" ht="26.25" customHeight="1">
      <c r="A7" s="12" t="s">
        <v>87</v>
      </c>
      <c r="B7" s="17">
        <v>2021.0</v>
      </c>
      <c r="C7" s="35" t="s">
        <v>16</v>
      </c>
      <c r="D7" s="35">
        <v>989.0</v>
      </c>
      <c r="E7" s="37" t="s">
        <v>4837</v>
      </c>
      <c r="F7" s="35" t="s">
        <v>4838</v>
      </c>
      <c r="G7" s="37" t="s">
        <v>4839</v>
      </c>
      <c r="H7" s="36" t="s">
        <v>4840</v>
      </c>
      <c r="I7" s="39" t="s">
        <v>4841</v>
      </c>
      <c r="J7" s="39" t="s">
        <v>4842</v>
      </c>
    </row>
    <row r="8" ht="26.25" customHeight="1">
      <c r="A8" s="12" t="s">
        <v>94</v>
      </c>
      <c r="B8" s="17">
        <v>2021.0</v>
      </c>
      <c r="C8" s="35" t="s">
        <v>16</v>
      </c>
      <c r="D8" s="35">
        <v>998.0</v>
      </c>
      <c r="E8" s="37" t="s">
        <v>4843</v>
      </c>
      <c r="F8" s="35" t="s">
        <v>4844</v>
      </c>
      <c r="G8" s="37" t="s">
        <v>4845</v>
      </c>
      <c r="H8" s="36" t="s">
        <v>4846</v>
      </c>
      <c r="I8" s="39" t="s">
        <v>4847</v>
      </c>
      <c r="J8" s="39" t="s">
        <v>4848</v>
      </c>
    </row>
    <row r="9" ht="26.25" customHeight="1">
      <c r="A9" s="12" t="s">
        <v>101</v>
      </c>
      <c r="B9" s="17">
        <v>2021.0</v>
      </c>
      <c r="C9" s="35" t="s">
        <v>17</v>
      </c>
      <c r="D9" s="35">
        <v>1632.0</v>
      </c>
      <c r="E9" s="37" t="s">
        <v>4849</v>
      </c>
      <c r="F9" s="35" t="s">
        <v>4850</v>
      </c>
      <c r="G9" s="37" t="s">
        <v>4851</v>
      </c>
      <c r="H9" s="36" t="s">
        <v>4852</v>
      </c>
      <c r="I9" s="39" t="s">
        <v>4853</v>
      </c>
      <c r="J9" s="39" t="s">
        <v>4854</v>
      </c>
    </row>
    <row r="10" ht="26.25" customHeight="1">
      <c r="A10" s="12" t="s">
        <v>108</v>
      </c>
      <c r="B10" s="17">
        <v>2021.0</v>
      </c>
      <c r="C10" s="35" t="s">
        <v>17</v>
      </c>
      <c r="D10" s="35">
        <v>1517.0</v>
      </c>
      <c r="E10" s="37" t="s">
        <v>4855</v>
      </c>
      <c r="F10" s="35" t="s">
        <v>4856</v>
      </c>
      <c r="G10" s="37" t="s">
        <v>4857</v>
      </c>
      <c r="H10" s="122" t="s">
        <v>4858</v>
      </c>
      <c r="I10" s="39" t="s">
        <v>4829</v>
      </c>
      <c r="J10" s="39" t="s">
        <v>4859</v>
      </c>
    </row>
    <row r="11" ht="26.25" customHeight="1">
      <c r="A11" s="12" t="s">
        <v>113</v>
      </c>
      <c r="B11" s="17">
        <v>2021.0</v>
      </c>
      <c r="C11" s="35" t="s">
        <v>17</v>
      </c>
      <c r="D11" s="35">
        <v>1486.0</v>
      </c>
      <c r="E11" s="37" t="s">
        <v>4860</v>
      </c>
      <c r="F11" s="35" t="s">
        <v>4861</v>
      </c>
      <c r="G11" s="37" t="s">
        <v>4862</v>
      </c>
      <c r="H11" s="36" t="s">
        <v>4863</v>
      </c>
      <c r="I11" s="39" t="s">
        <v>4864</v>
      </c>
      <c r="J11" s="39" t="s">
        <v>4865</v>
      </c>
    </row>
    <row r="12" ht="26.25" customHeight="1">
      <c r="A12" s="12" t="s">
        <v>120</v>
      </c>
      <c r="B12" s="17">
        <v>2021.0</v>
      </c>
      <c r="C12" s="40" t="s">
        <v>18</v>
      </c>
      <c r="D12" s="40">
        <v>2074.0</v>
      </c>
      <c r="E12" s="39" t="s">
        <v>4866</v>
      </c>
      <c r="F12" s="40" t="s">
        <v>4867</v>
      </c>
      <c r="G12" s="39" t="s">
        <v>4868</v>
      </c>
      <c r="H12" s="38" t="s">
        <v>4869</v>
      </c>
      <c r="I12" s="39" t="s">
        <v>4870</v>
      </c>
      <c r="J12" s="39" t="s">
        <v>4871</v>
      </c>
    </row>
    <row r="13" ht="26.25" customHeight="1">
      <c r="A13" s="12" t="s">
        <v>126</v>
      </c>
      <c r="B13" s="17">
        <v>2021.0</v>
      </c>
      <c r="C13" s="40" t="s">
        <v>18</v>
      </c>
      <c r="D13" s="40">
        <v>688.0</v>
      </c>
      <c r="E13" s="39" t="s">
        <v>4872</v>
      </c>
      <c r="F13" s="40" t="s">
        <v>4873</v>
      </c>
      <c r="G13" s="39" t="s">
        <v>4874</v>
      </c>
      <c r="H13" s="38" t="s">
        <v>4875</v>
      </c>
      <c r="I13" s="39" t="s">
        <v>4876</v>
      </c>
      <c r="J13" s="39" t="s">
        <v>4877</v>
      </c>
    </row>
    <row r="14" ht="26.25" customHeight="1">
      <c r="A14" s="12" t="s">
        <v>132</v>
      </c>
      <c r="B14" s="17">
        <v>2021.0</v>
      </c>
      <c r="C14" s="35" t="s">
        <v>18</v>
      </c>
      <c r="D14" s="35">
        <v>738.0</v>
      </c>
      <c r="E14" s="37" t="s">
        <v>4878</v>
      </c>
      <c r="F14" s="35" t="s">
        <v>4879</v>
      </c>
      <c r="G14" s="37" t="s">
        <v>4880</v>
      </c>
      <c r="H14" s="36" t="s">
        <v>4881</v>
      </c>
      <c r="I14" s="39" t="s">
        <v>4882</v>
      </c>
      <c r="J14" s="39" t="s">
        <v>4883</v>
      </c>
    </row>
    <row r="15" ht="26.25" customHeight="1">
      <c r="A15" s="12" t="s">
        <v>138</v>
      </c>
      <c r="B15" s="17">
        <v>2021.0</v>
      </c>
      <c r="C15" s="35" t="s">
        <v>18</v>
      </c>
      <c r="D15" s="35">
        <v>1084.0</v>
      </c>
      <c r="E15" s="37" t="s">
        <v>4884</v>
      </c>
      <c r="F15" s="35" t="s">
        <v>4885</v>
      </c>
      <c r="G15" s="37" t="s">
        <v>4886</v>
      </c>
      <c r="H15" s="36" t="s">
        <v>4887</v>
      </c>
      <c r="I15" s="39" t="s">
        <v>4888</v>
      </c>
      <c r="J15" s="39" t="s">
        <v>4889</v>
      </c>
    </row>
    <row r="16" ht="26.25" customHeight="1">
      <c r="A16" s="12" t="s">
        <v>144</v>
      </c>
      <c r="B16" s="17">
        <v>2021.0</v>
      </c>
      <c r="C16" s="17" t="s">
        <v>18</v>
      </c>
      <c r="D16" s="17">
        <v>1829.0</v>
      </c>
      <c r="E16" s="36" t="s">
        <v>4890</v>
      </c>
      <c r="F16" s="17" t="s">
        <v>4891</v>
      </c>
      <c r="G16" s="36" t="s">
        <v>4892</v>
      </c>
      <c r="H16" s="36" t="s">
        <v>4893</v>
      </c>
      <c r="I16" s="38" t="s">
        <v>4829</v>
      </c>
      <c r="J16" s="38" t="s">
        <v>4894</v>
      </c>
    </row>
    <row r="17" ht="26.25" customHeight="1">
      <c r="A17" s="12" t="s">
        <v>146</v>
      </c>
      <c r="B17" s="17">
        <v>2021.0</v>
      </c>
      <c r="C17" s="40" t="s">
        <v>19</v>
      </c>
      <c r="D17" s="40">
        <v>2315.0</v>
      </c>
      <c r="E17" s="39" t="s">
        <v>4895</v>
      </c>
      <c r="F17" s="40" t="s">
        <v>4896</v>
      </c>
      <c r="G17" s="39" t="s">
        <v>4897</v>
      </c>
      <c r="H17" s="38" t="s">
        <v>4898</v>
      </c>
      <c r="I17" s="39" t="s">
        <v>4899</v>
      </c>
      <c r="J17" s="39" t="s">
        <v>4900</v>
      </c>
    </row>
    <row r="18" ht="26.25" customHeight="1">
      <c r="A18" s="12" t="s">
        <v>151</v>
      </c>
      <c r="B18" s="17">
        <v>2021.0</v>
      </c>
      <c r="C18" s="35" t="s">
        <v>20</v>
      </c>
      <c r="D18" s="35">
        <v>2843.0</v>
      </c>
      <c r="E18" s="37" t="s">
        <v>4901</v>
      </c>
      <c r="F18" s="40" t="s">
        <v>4902</v>
      </c>
      <c r="G18" s="39" t="s">
        <v>4903</v>
      </c>
      <c r="H18" s="38" t="s">
        <v>4904</v>
      </c>
      <c r="I18" s="39" t="s">
        <v>4829</v>
      </c>
      <c r="J18" s="39" t="s">
        <v>4905</v>
      </c>
    </row>
    <row r="19" ht="26.25" customHeight="1">
      <c r="A19" s="12" t="s">
        <v>153</v>
      </c>
      <c r="B19" s="17">
        <v>2021.0</v>
      </c>
      <c r="C19" s="42" t="s">
        <v>20</v>
      </c>
      <c r="D19" s="42">
        <v>2122.0</v>
      </c>
      <c r="E19" s="38" t="s">
        <v>4906</v>
      </c>
      <c r="F19" s="43" t="s">
        <v>4907</v>
      </c>
      <c r="G19" s="36" t="s">
        <v>4908</v>
      </c>
      <c r="H19" s="36" t="s">
        <v>4909</v>
      </c>
      <c r="I19" s="38" t="s">
        <v>4910</v>
      </c>
      <c r="J19" s="38" t="s">
        <v>4911</v>
      </c>
    </row>
    <row r="20" ht="26.25" customHeight="1">
      <c r="A20" s="12" t="s">
        <v>159</v>
      </c>
      <c r="B20" s="17">
        <v>2021.0</v>
      </c>
      <c r="C20" s="40" t="s">
        <v>21</v>
      </c>
      <c r="D20" s="40">
        <v>2391.0</v>
      </c>
      <c r="E20" s="39" t="s">
        <v>4912</v>
      </c>
      <c r="F20" s="40" t="s">
        <v>4913</v>
      </c>
      <c r="G20" s="39" t="s">
        <v>4914</v>
      </c>
      <c r="H20" s="38" t="s">
        <v>4915</v>
      </c>
      <c r="I20" s="39" t="s">
        <v>4841</v>
      </c>
      <c r="J20" s="39" t="s">
        <v>4916</v>
      </c>
    </row>
    <row r="21" ht="26.25" customHeight="1">
      <c r="A21" s="12" t="s">
        <v>165</v>
      </c>
      <c r="B21" s="17">
        <v>2021.0</v>
      </c>
      <c r="C21" s="35" t="s">
        <v>22</v>
      </c>
      <c r="D21" s="35">
        <v>3796.0</v>
      </c>
      <c r="E21" s="37" t="s">
        <v>4917</v>
      </c>
      <c r="F21" s="40" t="s">
        <v>4918</v>
      </c>
      <c r="G21" s="39" t="s">
        <v>4919</v>
      </c>
      <c r="H21" s="38" t="s">
        <v>4920</v>
      </c>
      <c r="I21" s="39" t="s">
        <v>4841</v>
      </c>
      <c r="J21" s="39" t="s">
        <v>4921</v>
      </c>
    </row>
    <row r="22" ht="26.25" customHeight="1">
      <c r="A22" s="12" t="s">
        <v>171</v>
      </c>
      <c r="B22" s="17">
        <v>2021.0</v>
      </c>
      <c r="C22" s="35" t="s">
        <v>22</v>
      </c>
      <c r="D22" s="35">
        <v>3316.0</v>
      </c>
      <c r="E22" s="37" t="s">
        <v>4922</v>
      </c>
      <c r="F22" s="35" t="s">
        <v>4923</v>
      </c>
      <c r="G22" s="39" t="s">
        <v>4924</v>
      </c>
      <c r="H22" s="38" t="s">
        <v>4925</v>
      </c>
      <c r="I22" s="39" t="s">
        <v>4926</v>
      </c>
      <c r="J22" s="39" t="s">
        <v>4927</v>
      </c>
    </row>
    <row r="23" ht="26.25" customHeight="1">
      <c r="A23" s="12" t="s">
        <v>173</v>
      </c>
      <c r="B23" s="17">
        <v>2021.0</v>
      </c>
      <c r="C23" s="35" t="s">
        <v>22</v>
      </c>
      <c r="D23" s="35">
        <v>1794.0</v>
      </c>
      <c r="E23" s="37" t="s">
        <v>4928</v>
      </c>
      <c r="F23" s="40" t="s">
        <v>4929</v>
      </c>
      <c r="G23" s="39" t="s">
        <v>4930</v>
      </c>
      <c r="H23" s="38" t="s">
        <v>4931</v>
      </c>
      <c r="I23" s="39" t="s">
        <v>4932</v>
      </c>
      <c r="J23" s="39" t="s">
        <v>4933</v>
      </c>
    </row>
    <row r="24" ht="26.25" customHeight="1">
      <c r="A24" s="12" t="s">
        <v>178</v>
      </c>
      <c r="B24" s="17">
        <v>2021.0</v>
      </c>
      <c r="C24" s="35" t="s">
        <v>22</v>
      </c>
      <c r="D24" s="35">
        <v>3440.0</v>
      </c>
      <c r="E24" s="37" t="s">
        <v>4934</v>
      </c>
      <c r="F24" s="40" t="s">
        <v>4935</v>
      </c>
      <c r="G24" s="39" t="s">
        <v>4936</v>
      </c>
      <c r="H24" s="38" t="s">
        <v>4937</v>
      </c>
      <c r="I24" s="39" t="s">
        <v>4938</v>
      </c>
      <c r="J24" s="39" t="s">
        <v>4939</v>
      </c>
    </row>
    <row r="25" ht="26.25" customHeight="1">
      <c r="A25" s="12" t="s">
        <v>184</v>
      </c>
      <c r="B25" s="17">
        <v>2021.0</v>
      </c>
      <c r="C25" s="35" t="s">
        <v>22</v>
      </c>
      <c r="D25" s="35">
        <v>3124.0</v>
      </c>
      <c r="E25" s="37" t="s">
        <v>4940</v>
      </c>
      <c r="F25" s="35" t="s">
        <v>4941</v>
      </c>
      <c r="G25" s="39" t="s">
        <v>4942</v>
      </c>
      <c r="H25" s="36" t="s">
        <v>4943</v>
      </c>
      <c r="I25" s="39" t="s">
        <v>4888</v>
      </c>
      <c r="J25" s="39" t="s">
        <v>4944</v>
      </c>
    </row>
    <row r="26" ht="26.25" customHeight="1">
      <c r="A26" s="12" t="s">
        <v>190</v>
      </c>
      <c r="B26" s="17">
        <v>2021.0</v>
      </c>
      <c r="C26" s="35" t="s">
        <v>22</v>
      </c>
      <c r="D26" s="35">
        <v>3268.0</v>
      </c>
      <c r="E26" s="37" t="s">
        <v>4945</v>
      </c>
      <c r="F26" s="72" t="s">
        <v>4946</v>
      </c>
      <c r="G26" s="39" t="s">
        <v>4947</v>
      </c>
      <c r="H26" s="36" t="s">
        <v>4948</v>
      </c>
      <c r="I26" s="39" t="s">
        <v>4949</v>
      </c>
      <c r="J26" s="39" t="s">
        <v>4950</v>
      </c>
    </row>
    <row r="27" ht="26.25" customHeight="1">
      <c r="A27" s="12" t="s">
        <v>196</v>
      </c>
      <c r="B27" s="17">
        <v>2022.0</v>
      </c>
      <c r="C27" s="40" t="s">
        <v>11</v>
      </c>
      <c r="D27" s="40">
        <v>3835.0</v>
      </c>
      <c r="E27" s="39" t="s">
        <v>4951</v>
      </c>
      <c r="F27" s="40" t="s">
        <v>4952</v>
      </c>
      <c r="G27" s="36" t="s">
        <v>4953</v>
      </c>
      <c r="H27" s="38" t="s">
        <v>4954</v>
      </c>
      <c r="I27" s="39" t="s">
        <v>4955</v>
      </c>
      <c r="J27" s="39" t="s">
        <v>4956</v>
      </c>
    </row>
    <row r="28" ht="26.25" customHeight="1">
      <c r="A28" s="12" t="s">
        <v>202</v>
      </c>
      <c r="B28" s="17">
        <v>2022.0</v>
      </c>
      <c r="C28" s="40" t="s">
        <v>11</v>
      </c>
      <c r="D28" s="40">
        <v>3583.0</v>
      </c>
      <c r="E28" s="38" t="s">
        <v>4957</v>
      </c>
      <c r="F28" s="40" t="s">
        <v>4958</v>
      </c>
      <c r="G28" s="36" t="s">
        <v>4959</v>
      </c>
      <c r="H28" s="38" t="s">
        <v>4960</v>
      </c>
      <c r="I28" s="39" t="s">
        <v>4961</v>
      </c>
      <c r="J28" s="39" t="s">
        <v>4962</v>
      </c>
    </row>
    <row r="29" ht="26.25" customHeight="1">
      <c r="A29" s="12" t="s">
        <v>208</v>
      </c>
      <c r="B29" s="17">
        <v>2022.0</v>
      </c>
      <c r="C29" s="40" t="s">
        <v>11</v>
      </c>
      <c r="D29" s="40">
        <v>313.0</v>
      </c>
      <c r="E29" s="39" t="s">
        <v>4963</v>
      </c>
      <c r="F29" s="40" t="s">
        <v>4964</v>
      </c>
      <c r="G29" s="36" t="s">
        <v>4965</v>
      </c>
      <c r="H29" s="38" t="s">
        <v>4966</v>
      </c>
      <c r="I29" s="39" t="s">
        <v>4835</v>
      </c>
      <c r="J29" s="39" t="s">
        <v>4967</v>
      </c>
    </row>
    <row r="30" ht="26.25" customHeight="1">
      <c r="A30" s="12" t="s">
        <v>213</v>
      </c>
      <c r="B30" s="17">
        <v>2022.0</v>
      </c>
      <c r="C30" s="40" t="s">
        <v>11</v>
      </c>
      <c r="D30" s="40">
        <v>3339.0</v>
      </c>
      <c r="E30" s="39" t="s">
        <v>4968</v>
      </c>
      <c r="F30" s="40" t="s">
        <v>4969</v>
      </c>
      <c r="G30" s="36" t="s">
        <v>4970</v>
      </c>
      <c r="H30" s="38" t="s">
        <v>4971</v>
      </c>
      <c r="I30" s="39" t="s">
        <v>4829</v>
      </c>
      <c r="J30" s="39" t="s">
        <v>4972</v>
      </c>
    </row>
    <row r="31" ht="26.25" customHeight="1">
      <c r="A31" s="12" t="s">
        <v>215</v>
      </c>
      <c r="B31" s="17">
        <v>2022.0</v>
      </c>
      <c r="C31" s="40" t="s">
        <v>11</v>
      </c>
      <c r="D31" s="40">
        <v>3793.0</v>
      </c>
      <c r="E31" s="39" t="s">
        <v>4973</v>
      </c>
      <c r="F31" s="40" t="s">
        <v>4974</v>
      </c>
      <c r="G31" s="36" t="s">
        <v>4975</v>
      </c>
      <c r="H31" s="38" t="s">
        <v>4976</v>
      </c>
      <c r="I31" s="39" t="s">
        <v>4977</v>
      </c>
      <c r="J31" s="39" t="s">
        <v>4978</v>
      </c>
    </row>
    <row r="32" ht="26.25" customHeight="1">
      <c r="A32" s="12" t="s">
        <v>354</v>
      </c>
      <c r="B32" s="17">
        <v>2022.0</v>
      </c>
      <c r="C32" s="40" t="s">
        <v>11</v>
      </c>
      <c r="D32" s="40">
        <v>3929.0</v>
      </c>
      <c r="E32" s="39" t="s">
        <v>4979</v>
      </c>
      <c r="F32" s="40" t="s">
        <v>4980</v>
      </c>
      <c r="G32" s="36" t="s">
        <v>4981</v>
      </c>
      <c r="H32" s="38" t="s">
        <v>4982</v>
      </c>
      <c r="I32" s="39" t="s">
        <v>4983</v>
      </c>
      <c r="J32" s="39" t="s">
        <v>4984</v>
      </c>
    </row>
    <row r="33" ht="26.25" customHeight="1">
      <c r="A33" s="12" t="s">
        <v>358</v>
      </c>
      <c r="B33" s="17">
        <v>2022.0</v>
      </c>
      <c r="C33" s="40" t="s">
        <v>13</v>
      </c>
      <c r="D33" s="40">
        <v>4912.0</v>
      </c>
      <c r="E33" s="39" t="s">
        <v>4985</v>
      </c>
      <c r="F33" s="40" t="s">
        <v>4986</v>
      </c>
      <c r="G33" s="39" t="s">
        <v>4987</v>
      </c>
      <c r="H33" s="38" t="s">
        <v>4985</v>
      </c>
      <c r="I33" s="39" t="s">
        <v>4926</v>
      </c>
      <c r="J33" s="39" t="s">
        <v>4988</v>
      </c>
    </row>
    <row r="34" ht="26.25" customHeight="1">
      <c r="A34" s="12" t="s">
        <v>360</v>
      </c>
      <c r="B34" s="17">
        <v>2022.0</v>
      </c>
      <c r="C34" s="40" t="s">
        <v>13</v>
      </c>
      <c r="D34" s="40">
        <v>4234.0</v>
      </c>
      <c r="E34" s="39" t="s">
        <v>4989</v>
      </c>
      <c r="F34" s="40" t="s">
        <v>4990</v>
      </c>
      <c r="G34" s="36" t="s">
        <v>4991</v>
      </c>
      <c r="H34" s="38" t="s">
        <v>4992</v>
      </c>
      <c r="I34" s="39" t="s">
        <v>4841</v>
      </c>
      <c r="J34" s="39" t="s">
        <v>4993</v>
      </c>
    </row>
    <row r="35" ht="26.25" customHeight="1">
      <c r="A35" s="12" t="s">
        <v>366</v>
      </c>
      <c r="B35" s="17">
        <v>2022.0</v>
      </c>
      <c r="C35" s="40" t="s">
        <v>13</v>
      </c>
      <c r="D35" s="40">
        <v>4804.0</v>
      </c>
      <c r="E35" s="39" t="s">
        <v>4994</v>
      </c>
      <c r="F35" s="40" t="s">
        <v>4995</v>
      </c>
      <c r="G35" s="36" t="s">
        <v>4996</v>
      </c>
      <c r="H35" s="38" t="s">
        <v>4997</v>
      </c>
      <c r="I35" s="39" t="s">
        <v>4977</v>
      </c>
      <c r="J35" s="39" t="s">
        <v>4998</v>
      </c>
    </row>
    <row r="36" ht="26.25" customHeight="1">
      <c r="A36" s="12" t="s">
        <v>372</v>
      </c>
      <c r="B36" s="17">
        <v>2022.0</v>
      </c>
      <c r="C36" s="40" t="s">
        <v>13</v>
      </c>
      <c r="D36" s="40">
        <v>4799.0</v>
      </c>
      <c r="E36" s="39" t="s">
        <v>4999</v>
      </c>
      <c r="F36" s="40" t="s">
        <v>5000</v>
      </c>
      <c r="G36" s="39" t="s">
        <v>5001</v>
      </c>
      <c r="H36" s="38" t="s">
        <v>5002</v>
      </c>
      <c r="I36" s="39" t="s">
        <v>5003</v>
      </c>
      <c r="J36" s="39" t="s">
        <v>5004</v>
      </c>
    </row>
    <row r="37" ht="26.25" customHeight="1">
      <c r="A37" s="12" t="s">
        <v>377</v>
      </c>
      <c r="B37" s="17">
        <v>2022.0</v>
      </c>
      <c r="C37" s="40" t="s">
        <v>13</v>
      </c>
      <c r="D37" s="40">
        <v>4732.0</v>
      </c>
      <c r="E37" s="39" t="s">
        <v>5005</v>
      </c>
      <c r="F37" s="40" t="s">
        <v>5006</v>
      </c>
      <c r="G37" s="36" t="s">
        <v>5007</v>
      </c>
      <c r="H37" s="38" t="s">
        <v>5008</v>
      </c>
      <c r="I37" s="39" t="s">
        <v>4841</v>
      </c>
      <c r="J37" s="39" t="s">
        <v>5009</v>
      </c>
    </row>
    <row r="38" ht="26.25" customHeight="1">
      <c r="A38" s="12" t="s">
        <v>383</v>
      </c>
      <c r="B38" s="17">
        <v>2022.0</v>
      </c>
      <c r="C38" s="40" t="s">
        <v>13</v>
      </c>
      <c r="D38" s="40">
        <v>2369.0</v>
      </c>
      <c r="E38" s="39" t="s">
        <v>5010</v>
      </c>
      <c r="F38" s="40" t="s">
        <v>5011</v>
      </c>
      <c r="G38" s="39" t="s">
        <v>5012</v>
      </c>
      <c r="H38" s="38" t="s">
        <v>5013</v>
      </c>
      <c r="I38" s="39" t="s">
        <v>4888</v>
      </c>
      <c r="J38" s="39" t="s">
        <v>5014</v>
      </c>
    </row>
    <row r="39" ht="26.25" customHeight="1">
      <c r="A39" s="12" t="s">
        <v>390</v>
      </c>
      <c r="B39" s="17">
        <v>2022.0</v>
      </c>
      <c r="C39" s="40" t="s">
        <v>14</v>
      </c>
      <c r="D39" s="40">
        <v>5169.0</v>
      </c>
      <c r="E39" s="39" t="s">
        <v>5015</v>
      </c>
      <c r="F39" s="40" t="s">
        <v>5016</v>
      </c>
      <c r="G39" s="39" t="s">
        <v>5017</v>
      </c>
      <c r="H39" s="38" t="s">
        <v>5018</v>
      </c>
      <c r="I39" s="39" t="s">
        <v>4853</v>
      </c>
      <c r="J39" s="39" t="s">
        <v>5019</v>
      </c>
    </row>
    <row r="40" ht="26.25" customHeight="1">
      <c r="A40" s="12" t="s">
        <v>393</v>
      </c>
      <c r="B40" s="17">
        <v>2022.0</v>
      </c>
      <c r="C40" s="40" t="s">
        <v>14</v>
      </c>
      <c r="D40" s="40">
        <v>5254.0</v>
      </c>
      <c r="E40" s="39" t="s">
        <v>5020</v>
      </c>
      <c r="F40" s="40" t="s">
        <v>5021</v>
      </c>
      <c r="G40" s="39" t="s">
        <v>5022</v>
      </c>
      <c r="H40" s="38" t="s">
        <v>5023</v>
      </c>
      <c r="I40" s="39" t="s">
        <v>4853</v>
      </c>
      <c r="J40" s="39" t="s">
        <v>5024</v>
      </c>
    </row>
    <row r="41" ht="26.25" customHeight="1">
      <c r="A41" s="12" t="s">
        <v>399</v>
      </c>
      <c r="B41" s="17">
        <v>2022.0</v>
      </c>
      <c r="C41" s="40" t="s">
        <v>14</v>
      </c>
      <c r="D41" s="40">
        <v>5109.0</v>
      </c>
      <c r="E41" s="39" t="s">
        <v>5025</v>
      </c>
      <c r="F41" s="40" t="s">
        <v>5026</v>
      </c>
      <c r="G41" s="39" t="s">
        <v>5027</v>
      </c>
      <c r="H41" s="38" t="s">
        <v>5028</v>
      </c>
      <c r="I41" s="39" t="s">
        <v>5029</v>
      </c>
      <c r="J41" s="39" t="s">
        <v>5030</v>
      </c>
    </row>
    <row r="42" ht="26.25" customHeight="1">
      <c r="A42" s="12" t="s">
        <v>404</v>
      </c>
      <c r="B42" s="17">
        <v>2022.0</v>
      </c>
      <c r="C42" s="40" t="s">
        <v>5031</v>
      </c>
      <c r="D42" s="40">
        <v>5224.0</v>
      </c>
      <c r="E42" s="39" t="s">
        <v>5032</v>
      </c>
      <c r="F42" s="40" t="s">
        <v>5033</v>
      </c>
      <c r="G42" s="39" t="s">
        <v>5034</v>
      </c>
      <c r="H42" s="38" t="s">
        <v>5035</v>
      </c>
      <c r="I42" s="39" t="s">
        <v>4829</v>
      </c>
      <c r="J42" s="39" t="s">
        <v>5036</v>
      </c>
    </row>
    <row r="43" ht="26.25" customHeight="1">
      <c r="A43" s="12" t="s">
        <v>409</v>
      </c>
      <c r="B43" s="17">
        <v>2022.0</v>
      </c>
      <c r="C43" s="42" t="s">
        <v>15</v>
      </c>
      <c r="D43" s="42">
        <v>5437.0</v>
      </c>
      <c r="E43" s="38" t="s">
        <v>5037</v>
      </c>
      <c r="F43" s="42" t="s">
        <v>5038</v>
      </c>
      <c r="G43" s="38" t="s">
        <v>5039</v>
      </c>
      <c r="H43" s="38" t="s">
        <v>5040</v>
      </c>
      <c r="I43" s="38" t="s">
        <v>4949</v>
      </c>
      <c r="J43" s="38" t="s">
        <v>5041</v>
      </c>
    </row>
    <row r="44" ht="26.25" customHeight="1">
      <c r="A44" s="12" t="s">
        <v>415</v>
      </c>
      <c r="B44" s="17">
        <v>2022.0</v>
      </c>
      <c r="C44" s="40" t="s">
        <v>15</v>
      </c>
      <c r="D44" s="40">
        <v>5459.0</v>
      </c>
      <c r="E44" s="39" t="s">
        <v>5042</v>
      </c>
      <c r="F44" s="40" t="s">
        <v>5043</v>
      </c>
      <c r="G44" s="39" t="s">
        <v>5044</v>
      </c>
      <c r="H44" s="38" t="s">
        <v>5045</v>
      </c>
      <c r="I44" s="39" t="s">
        <v>5029</v>
      </c>
      <c r="J44" s="39" t="s">
        <v>5046</v>
      </c>
    </row>
    <row r="45" ht="26.25" customHeight="1">
      <c r="A45" s="12" t="s">
        <v>421</v>
      </c>
      <c r="B45" s="17">
        <v>2022.0</v>
      </c>
      <c r="C45" s="40" t="s">
        <v>16</v>
      </c>
      <c r="D45" s="40">
        <v>4715.0</v>
      </c>
      <c r="E45" s="39" t="s">
        <v>5047</v>
      </c>
      <c r="F45" s="40" t="s">
        <v>5048</v>
      </c>
      <c r="G45" s="39" t="s">
        <v>5049</v>
      </c>
      <c r="H45" s="38" t="s">
        <v>5050</v>
      </c>
      <c r="I45" s="39" t="s">
        <v>4949</v>
      </c>
      <c r="J45" s="39" t="s">
        <v>5051</v>
      </c>
    </row>
    <row r="46" ht="26.25" customHeight="1">
      <c r="A46" s="12" t="s">
        <v>426</v>
      </c>
      <c r="B46" s="17">
        <v>2022.0</v>
      </c>
      <c r="C46" s="40" t="s">
        <v>16</v>
      </c>
      <c r="D46" s="40">
        <v>4816.0</v>
      </c>
      <c r="E46" s="39" t="s">
        <v>5052</v>
      </c>
      <c r="F46" s="40" t="s">
        <v>5053</v>
      </c>
      <c r="G46" s="36" t="s">
        <v>5054</v>
      </c>
      <c r="H46" s="38" t="s">
        <v>5055</v>
      </c>
      <c r="I46" s="39" t="s">
        <v>4938</v>
      </c>
      <c r="J46" s="39" t="s">
        <v>5056</v>
      </c>
    </row>
    <row r="47" ht="26.25" customHeight="1">
      <c r="A47" s="12" t="s">
        <v>432</v>
      </c>
      <c r="B47" s="17">
        <v>2022.0</v>
      </c>
      <c r="C47" s="42" t="s">
        <v>16</v>
      </c>
      <c r="D47" s="42">
        <v>5967.0</v>
      </c>
      <c r="E47" s="38" t="s">
        <v>5057</v>
      </c>
      <c r="F47" s="42" t="s">
        <v>5058</v>
      </c>
      <c r="G47" s="38" t="s">
        <v>5059</v>
      </c>
      <c r="H47" s="38" t="s">
        <v>5060</v>
      </c>
      <c r="I47" s="38" t="s">
        <v>5061</v>
      </c>
      <c r="J47" s="38" t="s">
        <v>5062</v>
      </c>
    </row>
    <row r="48" ht="26.25" customHeight="1">
      <c r="A48" s="12" t="s">
        <v>437</v>
      </c>
      <c r="B48" s="17">
        <v>2022.0</v>
      </c>
      <c r="C48" s="42" t="s">
        <v>17</v>
      </c>
      <c r="D48" s="42">
        <v>6043.0</v>
      </c>
      <c r="E48" s="36" t="s">
        <v>5063</v>
      </c>
      <c r="F48" s="43" t="s">
        <v>5064</v>
      </c>
      <c r="G48" s="38" t="s">
        <v>5065</v>
      </c>
      <c r="H48" s="38" t="s">
        <v>5066</v>
      </c>
      <c r="I48" s="39" t="s">
        <v>4977</v>
      </c>
      <c r="J48" s="38" t="s">
        <v>5067</v>
      </c>
    </row>
    <row r="49" ht="26.25" customHeight="1">
      <c r="A49" s="12" t="s">
        <v>441</v>
      </c>
      <c r="B49" s="17">
        <v>2022.0</v>
      </c>
      <c r="C49" s="35" t="s">
        <v>17</v>
      </c>
      <c r="D49" s="35">
        <v>3316.0</v>
      </c>
      <c r="E49" s="37" t="s">
        <v>4922</v>
      </c>
      <c r="F49" s="35" t="s">
        <v>4923</v>
      </c>
      <c r="G49" s="39" t="s">
        <v>4924</v>
      </c>
      <c r="H49" s="38" t="s">
        <v>5068</v>
      </c>
      <c r="I49" s="39" t="s">
        <v>4926</v>
      </c>
      <c r="J49" s="39" t="s">
        <v>4927</v>
      </c>
    </row>
    <row r="50" ht="26.25" customHeight="1">
      <c r="A50" s="12" t="s">
        <v>445</v>
      </c>
      <c r="B50" s="17">
        <v>2022.0</v>
      </c>
      <c r="C50" s="42" t="s">
        <v>17</v>
      </c>
      <c r="D50" s="42">
        <v>6065.0</v>
      </c>
      <c r="E50" s="38" t="s">
        <v>4306</v>
      </c>
      <c r="F50" s="42" t="s">
        <v>5069</v>
      </c>
      <c r="G50" s="38" t="s">
        <v>5070</v>
      </c>
      <c r="H50" s="38" t="s">
        <v>5071</v>
      </c>
      <c r="I50" s="38" t="s">
        <v>4829</v>
      </c>
      <c r="J50" s="38" t="s">
        <v>5072</v>
      </c>
    </row>
    <row r="51" ht="26.25" customHeight="1">
      <c r="A51" s="12" t="s">
        <v>451</v>
      </c>
      <c r="B51" s="17">
        <v>2022.0</v>
      </c>
      <c r="C51" s="40" t="s">
        <v>18</v>
      </c>
      <c r="D51" s="40">
        <v>6385.0</v>
      </c>
      <c r="E51" s="39" t="s">
        <v>5073</v>
      </c>
      <c r="F51" s="41" t="s">
        <v>5074</v>
      </c>
      <c r="G51" s="37"/>
      <c r="H51" s="38" t="s">
        <v>5075</v>
      </c>
      <c r="I51" s="39" t="s">
        <v>4829</v>
      </c>
      <c r="J51" s="39" t="s">
        <v>5076</v>
      </c>
    </row>
    <row r="52" ht="26.25" customHeight="1">
      <c r="A52" s="12" t="s">
        <v>457</v>
      </c>
      <c r="B52" s="17">
        <v>2022.0</v>
      </c>
      <c r="C52" s="40" t="s">
        <v>18</v>
      </c>
      <c r="D52" s="40">
        <v>6592.0</v>
      </c>
      <c r="E52" s="39" t="s">
        <v>5077</v>
      </c>
      <c r="F52" s="41" t="s">
        <v>5078</v>
      </c>
      <c r="G52" s="37"/>
      <c r="H52" s="38" t="s">
        <v>5079</v>
      </c>
      <c r="I52" s="39" t="s">
        <v>4829</v>
      </c>
      <c r="J52" s="39" t="s">
        <v>5080</v>
      </c>
    </row>
    <row r="53" ht="26.25" customHeight="1">
      <c r="A53" s="12" t="s">
        <v>463</v>
      </c>
      <c r="B53" s="17">
        <v>2022.0</v>
      </c>
      <c r="C53" s="40" t="s">
        <v>19</v>
      </c>
      <c r="D53" s="40">
        <v>6941.0</v>
      </c>
      <c r="E53" s="39" t="s">
        <v>5081</v>
      </c>
      <c r="F53" s="41" t="s">
        <v>5082</v>
      </c>
      <c r="G53" s="39" t="s">
        <v>5083</v>
      </c>
      <c r="H53" s="38" t="s">
        <v>5084</v>
      </c>
      <c r="I53" s="39" t="s">
        <v>5085</v>
      </c>
      <c r="J53" s="39" t="s">
        <v>5086</v>
      </c>
    </row>
    <row r="54" ht="26.25" customHeight="1">
      <c r="A54" s="12" t="s">
        <v>468</v>
      </c>
      <c r="B54" s="17">
        <v>2022.0</v>
      </c>
      <c r="C54" s="40" t="s">
        <v>20</v>
      </c>
      <c r="D54" s="40">
        <v>7313.0</v>
      </c>
      <c r="E54" s="39" t="s">
        <v>5087</v>
      </c>
      <c r="F54" s="41" t="s">
        <v>5088</v>
      </c>
      <c r="G54" s="37"/>
      <c r="H54" s="38" t="s">
        <v>5089</v>
      </c>
      <c r="I54" s="39" t="s">
        <v>4926</v>
      </c>
      <c r="J54" s="39" t="s">
        <v>5090</v>
      </c>
    </row>
    <row r="55" ht="26.25" customHeight="1">
      <c r="A55" s="12" t="s">
        <v>473</v>
      </c>
      <c r="B55" s="17">
        <v>2022.0</v>
      </c>
      <c r="C55" s="40" t="s">
        <v>20</v>
      </c>
      <c r="D55" s="40">
        <v>7313.0</v>
      </c>
      <c r="E55" s="39" t="s">
        <v>5087</v>
      </c>
      <c r="F55" s="41" t="s">
        <v>5088</v>
      </c>
      <c r="G55" s="37"/>
      <c r="H55" s="38" t="s">
        <v>5091</v>
      </c>
      <c r="I55" s="39" t="s">
        <v>4926</v>
      </c>
      <c r="J55" s="39" t="s">
        <v>5090</v>
      </c>
    </row>
    <row r="56" ht="26.25" customHeight="1">
      <c r="A56" s="12" t="s">
        <v>479</v>
      </c>
      <c r="B56" s="17">
        <v>2022.0</v>
      </c>
      <c r="C56" s="40" t="s">
        <v>21</v>
      </c>
      <c r="D56" s="17">
        <v>7340.0</v>
      </c>
      <c r="E56" s="36" t="s">
        <v>5092</v>
      </c>
      <c r="F56" s="43" t="s">
        <v>5093</v>
      </c>
      <c r="G56" s="39" t="s">
        <v>5094</v>
      </c>
      <c r="H56" s="38" t="s">
        <v>5095</v>
      </c>
      <c r="I56" s="39" t="s">
        <v>4829</v>
      </c>
      <c r="J56" s="39" t="s">
        <v>5096</v>
      </c>
    </row>
    <row r="57" ht="26.25" customHeight="1">
      <c r="A57" s="12" t="s">
        <v>485</v>
      </c>
      <c r="B57" s="17">
        <v>2022.0</v>
      </c>
      <c r="C57" s="17" t="s">
        <v>21</v>
      </c>
      <c r="D57" s="17">
        <v>7485.0</v>
      </c>
      <c r="E57" s="39" t="s">
        <v>5097</v>
      </c>
      <c r="F57" s="41" t="s">
        <v>5098</v>
      </c>
      <c r="G57" s="39" t="s">
        <v>5099</v>
      </c>
      <c r="H57" s="38" t="s">
        <v>5100</v>
      </c>
      <c r="I57" s="39" t="s">
        <v>5085</v>
      </c>
      <c r="J57" s="39" t="s">
        <v>5101</v>
      </c>
    </row>
    <row r="58" ht="26.25" customHeight="1">
      <c r="A58" s="12" t="s">
        <v>487</v>
      </c>
      <c r="B58" s="17">
        <v>2022.0</v>
      </c>
      <c r="C58" s="40" t="s">
        <v>21</v>
      </c>
      <c r="D58" s="40">
        <v>3929.0</v>
      </c>
      <c r="E58" s="39" t="s">
        <v>4979</v>
      </c>
      <c r="F58" s="40" t="s">
        <v>4980</v>
      </c>
      <c r="G58" s="36" t="s">
        <v>4981</v>
      </c>
      <c r="H58" s="38" t="s">
        <v>5102</v>
      </c>
      <c r="I58" s="39" t="s">
        <v>4983</v>
      </c>
      <c r="J58" s="39" t="s">
        <v>4984</v>
      </c>
    </row>
    <row r="59" ht="26.25" customHeight="1">
      <c r="A59" s="12" t="s">
        <v>493</v>
      </c>
      <c r="B59" s="17">
        <v>2023.0</v>
      </c>
      <c r="C59" s="35" t="s">
        <v>11</v>
      </c>
      <c r="D59" s="35">
        <v>3316.0</v>
      </c>
      <c r="E59" s="37" t="s">
        <v>4922</v>
      </c>
      <c r="F59" s="35" t="s">
        <v>4923</v>
      </c>
      <c r="G59" s="39" t="s">
        <v>4924</v>
      </c>
      <c r="H59" s="38" t="s">
        <v>5103</v>
      </c>
      <c r="I59" s="39" t="s">
        <v>4926</v>
      </c>
      <c r="J59" s="39" t="s">
        <v>4927</v>
      </c>
    </row>
    <row r="60" ht="26.25" customHeight="1">
      <c r="A60" s="12" t="s">
        <v>498</v>
      </c>
      <c r="B60" s="17">
        <v>2023.0</v>
      </c>
      <c r="C60" s="40" t="s">
        <v>11</v>
      </c>
      <c r="D60" s="40">
        <v>7313.0</v>
      </c>
      <c r="E60" s="39" t="s">
        <v>5087</v>
      </c>
      <c r="F60" s="41" t="s">
        <v>5088</v>
      </c>
      <c r="G60" s="37"/>
      <c r="H60" s="38" t="s">
        <v>5104</v>
      </c>
      <c r="I60" s="39" t="s">
        <v>4926</v>
      </c>
      <c r="J60" s="39" t="s">
        <v>5090</v>
      </c>
    </row>
    <row r="61" ht="26.25" customHeight="1">
      <c r="A61" s="12" t="s">
        <v>504</v>
      </c>
      <c r="B61" s="17">
        <v>2023.0</v>
      </c>
      <c r="C61" s="35" t="s">
        <v>12</v>
      </c>
      <c r="D61" s="35">
        <v>3316.0</v>
      </c>
      <c r="E61" s="37" t="s">
        <v>4922</v>
      </c>
      <c r="F61" s="35" t="s">
        <v>4923</v>
      </c>
      <c r="G61" s="39" t="s">
        <v>4924</v>
      </c>
      <c r="H61" s="38" t="s">
        <v>5105</v>
      </c>
      <c r="I61" s="39" t="s">
        <v>4926</v>
      </c>
      <c r="J61" s="39" t="s">
        <v>4927</v>
      </c>
    </row>
    <row r="62" ht="26.25" customHeight="1">
      <c r="A62" s="12" t="s">
        <v>797</v>
      </c>
      <c r="B62" s="17">
        <v>2023.0</v>
      </c>
      <c r="C62" s="17" t="s">
        <v>13</v>
      </c>
      <c r="D62" s="17">
        <v>7485.0</v>
      </c>
      <c r="E62" s="39" t="s">
        <v>5097</v>
      </c>
      <c r="F62" s="41" t="s">
        <v>5098</v>
      </c>
      <c r="G62" s="39" t="s">
        <v>5099</v>
      </c>
      <c r="H62" s="38" t="s">
        <v>5106</v>
      </c>
      <c r="I62" s="39" t="s">
        <v>5085</v>
      </c>
      <c r="J62" s="39" t="s">
        <v>5101</v>
      </c>
    </row>
    <row r="63" ht="26.25" customHeight="1">
      <c r="A63" s="12" t="s">
        <v>803</v>
      </c>
      <c r="B63" s="17">
        <v>2023.0</v>
      </c>
      <c r="C63" s="40" t="s">
        <v>13</v>
      </c>
      <c r="D63" s="40">
        <v>8249.0</v>
      </c>
      <c r="E63" s="39" t="s">
        <v>5107</v>
      </c>
      <c r="F63" s="41" t="s">
        <v>5108</v>
      </c>
      <c r="G63" s="39" t="s">
        <v>5109</v>
      </c>
      <c r="H63" s="38" t="s">
        <v>5110</v>
      </c>
      <c r="I63" s="39" t="s">
        <v>4829</v>
      </c>
      <c r="J63" s="39" t="s">
        <v>5111</v>
      </c>
    </row>
    <row r="64" ht="26.25" customHeight="1">
      <c r="A64" s="12" t="s">
        <v>807</v>
      </c>
      <c r="B64" s="17">
        <v>2023.0</v>
      </c>
      <c r="C64" s="40" t="s">
        <v>13</v>
      </c>
      <c r="D64" s="40">
        <v>3929.0</v>
      </c>
      <c r="E64" s="39" t="s">
        <v>4979</v>
      </c>
      <c r="F64" s="40" t="s">
        <v>4980</v>
      </c>
      <c r="G64" s="36" t="s">
        <v>4981</v>
      </c>
      <c r="H64" s="38" t="s">
        <v>5112</v>
      </c>
      <c r="I64" s="39" t="s">
        <v>4983</v>
      </c>
      <c r="J64" s="39" t="s">
        <v>4984</v>
      </c>
    </row>
    <row r="65" ht="26.25" customHeight="1">
      <c r="A65" s="12" t="s">
        <v>811</v>
      </c>
      <c r="B65" s="17">
        <v>2023.0</v>
      </c>
      <c r="C65" s="40" t="s">
        <v>13</v>
      </c>
      <c r="D65" s="40">
        <v>8115.0</v>
      </c>
      <c r="E65" s="39" t="s">
        <v>5113</v>
      </c>
      <c r="F65" s="41" t="s">
        <v>5114</v>
      </c>
      <c r="G65" s="39" t="s">
        <v>5115</v>
      </c>
      <c r="H65" s="38" t="s">
        <v>5116</v>
      </c>
      <c r="I65" s="39" t="s">
        <v>4829</v>
      </c>
      <c r="J65" s="39" t="s">
        <v>5117</v>
      </c>
    </row>
    <row r="66" ht="26.25" customHeight="1">
      <c r="A66" s="12" t="s">
        <v>817</v>
      </c>
      <c r="B66" s="17">
        <v>2023.0</v>
      </c>
      <c r="C66" s="40" t="s">
        <v>14</v>
      </c>
      <c r="D66" s="40">
        <v>8115.0</v>
      </c>
      <c r="E66" s="39" t="s">
        <v>5113</v>
      </c>
      <c r="F66" s="41" t="s">
        <v>5114</v>
      </c>
      <c r="G66" s="39" t="s">
        <v>5115</v>
      </c>
      <c r="H66" s="38" t="s">
        <v>5118</v>
      </c>
      <c r="I66" s="39" t="s">
        <v>4829</v>
      </c>
      <c r="J66" s="39" t="s">
        <v>5117</v>
      </c>
    </row>
    <row r="67" ht="26.25" customHeight="1">
      <c r="A67" s="12" t="s">
        <v>823</v>
      </c>
      <c r="B67" s="17">
        <v>2023.0</v>
      </c>
      <c r="C67" s="40" t="s">
        <v>14</v>
      </c>
      <c r="D67" s="40">
        <v>8115.0</v>
      </c>
      <c r="E67" s="39" t="s">
        <v>5113</v>
      </c>
      <c r="F67" s="41" t="s">
        <v>5114</v>
      </c>
      <c r="G67" s="39" t="s">
        <v>5115</v>
      </c>
      <c r="H67" s="38" t="s">
        <v>5119</v>
      </c>
      <c r="I67" s="39" t="s">
        <v>4829</v>
      </c>
      <c r="J67" s="39" t="s">
        <v>5117</v>
      </c>
    </row>
    <row r="68" ht="26.25" customHeight="1">
      <c r="A68" s="12" t="s">
        <v>829</v>
      </c>
      <c r="B68" s="17">
        <v>2023.0</v>
      </c>
      <c r="C68" s="40" t="s">
        <v>14</v>
      </c>
      <c r="D68" s="40">
        <v>8613.0</v>
      </c>
      <c r="E68" s="39" t="s">
        <v>5120</v>
      </c>
      <c r="F68" s="41" t="s">
        <v>5121</v>
      </c>
      <c r="G68" s="39" t="s">
        <v>5122</v>
      </c>
      <c r="H68" s="38" t="s">
        <v>5123</v>
      </c>
      <c r="I68" s="39" t="s">
        <v>4841</v>
      </c>
      <c r="J68" s="39" t="s">
        <v>5124</v>
      </c>
    </row>
    <row r="69" ht="26.25" customHeight="1">
      <c r="A69" s="12" t="s">
        <v>831</v>
      </c>
      <c r="B69" s="17">
        <v>2023.0</v>
      </c>
      <c r="C69" s="40" t="s">
        <v>14</v>
      </c>
      <c r="D69" s="40">
        <v>4816.0</v>
      </c>
      <c r="E69" s="39" t="s">
        <v>5052</v>
      </c>
      <c r="F69" s="40" t="s">
        <v>5053</v>
      </c>
      <c r="G69" s="36" t="s">
        <v>5054</v>
      </c>
      <c r="H69" s="38" t="s">
        <v>5125</v>
      </c>
      <c r="I69" s="39" t="s">
        <v>4938</v>
      </c>
      <c r="J69" s="39" t="s">
        <v>5056</v>
      </c>
    </row>
    <row r="70" ht="26.25" customHeight="1">
      <c r="A70" s="12" t="s">
        <v>833</v>
      </c>
      <c r="B70" s="17">
        <v>2023.0</v>
      </c>
      <c r="C70" s="40" t="s">
        <v>14</v>
      </c>
      <c r="D70" s="40">
        <v>8748.0</v>
      </c>
      <c r="E70" s="39" t="s">
        <v>5126</v>
      </c>
      <c r="F70" s="41" t="s">
        <v>5127</v>
      </c>
      <c r="G70" s="39" t="s">
        <v>5128</v>
      </c>
      <c r="H70" s="38" t="s">
        <v>5129</v>
      </c>
      <c r="I70" s="39" t="s">
        <v>4977</v>
      </c>
      <c r="J70" s="39" t="s">
        <v>5130</v>
      </c>
    </row>
    <row r="71" ht="26.25" customHeight="1">
      <c r="A71" s="12" t="s">
        <v>835</v>
      </c>
      <c r="B71" s="17">
        <v>2023.0</v>
      </c>
      <c r="C71" s="40" t="s">
        <v>15</v>
      </c>
      <c r="D71" s="40">
        <v>8881.0</v>
      </c>
      <c r="E71" s="39" t="s">
        <v>5131</v>
      </c>
      <c r="F71" s="41" t="s">
        <v>5132</v>
      </c>
      <c r="G71" s="39" t="s">
        <v>5133</v>
      </c>
      <c r="H71" s="38" t="s">
        <v>5134</v>
      </c>
      <c r="I71" s="39" t="s">
        <v>5061</v>
      </c>
      <c r="J71" s="39" t="s">
        <v>5135</v>
      </c>
    </row>
    <row r="72" ht="26.25" customHeight="1">
      <c r="A72" s="12" t="s">
        <v>840</v>
      </c>
      <c r="B72" s="17">
        <v>2023.0</v>
      </c>
      <c r="C72" s="40" t="s">
        <v>15</v>
      </c>
      <c r="D72" s="40">
        <v>8912.0</v>
      </c>
      <c r="E72" s="75">
        <v>1.0</v>
      </c>
      <c r="F72" s="41" t="s">
        <v>5136</v>
      </c>
      <c r="G72" s="39" t="s">
        <v>5137</v>
      </c>
      <c r="H72" s="38" t="s">
        <v>5138</v>
      </c>
      <c r="I72" s="39" t="s">
        <v>4841</v>
      </c>
      <c r="J72" s="39" t="s">
        <v>5139</v>
      </c>
    </row>
    <row r="73" ht="26.25" customHeight="1">
      <c r="A73" s="12" t="s">
        <v>846</v>
      </c>
      <c r="B73" s="17">
        <v>2023.0</v>
      </c>
      <c r="C73" s="40" t="s">
        <v>15</v>
      </c>
      <c r="D73" s="42">
        <v>9053.0</v>
      </c>
      <c r="E73" s="36" t="s">
        <v>5140</v>
      </c>
      <c r="F73" s="48" t="s">
        <v>5141</v>
      </c>
      <c r="G73" s="39" t="s">
        <v>5142</v>
      </c>
      <c r="H73" s="36" t="s">
        <v>5143</v>
      </c>
      <c r="I73" s="39" t="s">
        <v>4829</v>
      </c>
      <c r="J73" s="39" t="s">
        <v>5144</v>
      </c>
    </row>
    <row r="74" ht="26.25" customHeight="1">
      <c r="A74" s="12" t="s">
        <v>849</v>
      </c>
      <c r="B74" s="17">
        <v>2023.0</v>
      </c>
      <c r="C74" s="40" t="s">
        <v>15</v>
      </c>
      <c r="D74" s="40">
        <v>8848.0</v>
      </c>
      <c r="E74" s="39" t="s">
        <v>5145</v>
      </c>
      <c r="F74" s="41" t="s">
        <v>5146</v>
      </c>
      <c r="G74" s="39" t="s">
        <v>5147</v>
      </c>
      <c r="H74" s="38" t="s">
        <v>5148</v>
      </c>
      <c r="I74" s="39" t="s">
        <v>5085</v>
      </c>
      <c r="J74" s="39" t="s">
        <v>5149</v>
      </c>
    </row>
    <row r="75" ht="26.25" customHeight="1">
      <c r="A75" s="12" t="s">
        <v>854</v>
      </c>
      <c r="B75" s="17">
        <v>2023.0</v>
      </c>
      <c r="C75" s="40" t="s">
        <v>15</v>
      </c>
      <c r="D75" s="40">
        <v>8817.0</v>
      </c>
      <c r="E75" s="39" t="s">
        <v>5150</v>
      </c>
      <c r="F75" s="41" t="s">
        <v>5151</v>
      </c>
      <c r="G75" s="37"/>
      <c r="H75" s="38" t="s">
        <v>5152</v>
      </c>
      <c r="I75" s="39" t="s">
        <v>4829</v>
      </c>
      <c r="J75" s="39" t="s">
        <v>5153</v>
      </c>
    </row>
    <row r="76" ht="26.25" customHeight="1">
      <c r="A76" s="12" t="s">
        <v>860</v>
      </c>
      <c r="B76" s="17">
        <v>2023.0</v>
      </c>
      <c r="C76" s="40" t="s">
        <v>16</v>
      </c>
      <c r="D76" s="40">
        <v>9096.0</v>
      </c>
      <c r="E76" s="39" t="s">
        <v>5154</v>
      </c>
      <c r="F76" s="41" t="s">
        <v>5155</v>
      </c>
      <c r="G76" s="39" t="s">
        <v>5156</v>
      </c>
      <c r="H76" s="38" t="s">
        <v>5157</v>
      </c>
      <c r="I76" s="39" t="s">
        <v>4841</v>
      </c>
      <c r="J76" s="39" t="s">
        <v>5158</v>
      </c>
    </row>
    <row r="77" ht="26.25" customHeight="1">
      <c r="A77" s="12" t="s">
        <v>866</v>
      </c>
      <c r="B77" s="17">
        <v>2023.0</v>
      </c>
      <c r="C77" s="40" t="s">
        <v>16</v>
      </c>
      <c r="D77" s="40">
        <v>7409.0</v>
      </c>
      <c r="E77" s="39" t="s">
        <v>5159</v>
      </c>
      <c r="F77" s="40" t="s">
        <v>5160</v>
      </c>
      <c r="G77" s="39" t="s">
        <v>5161</v>
      </c>
      <c r="H77" s="38" t="s">
        <v>5162</v>
      </c>
      <c r="I77" s="39" t="s">
        <v>5061</v>
      </c>
      <c r="J77" s="39" t="s">
        <v>5163</v>
      </c>
    </row>
    <row r="78" ht="26.25" customHeight="1">
      <c r="A78" s="12" t="s">
        <v>869</v>
      </c>
      <c r="B78" s="17">
        <v>2023.0</v>
      </c>
      <c r="C78" s="42" t="s">
        <v>16</v>
      </c>
      <c r="D78" s="42">
        <v>9319.0</v>
      </c>
      <c r="E78" s="38" t="s">
        <v>5164</v>
      </c>
      <c r="F78" s="43" t="s">
        <v>5165</v>
      </c>
      <c r="G78" s="36"/>
      <c r="H78" s="38" t="s">
        <v>5166</v>
      </c>
      <c r="I78" s="38" t="s">
        <v>5167</v>
      </c>
      <c r="J78" s="38" t="s">
        <v>5168</v>
      </c>
    </row>
    <row r="79" ht="26.25" customHeight="1">
      <c r="A79" s="12" t="s">
        <v>875</v>
      </c>
      <c r="B79" s="17">
        <v>2023.0</v>
      </c>
      <c r="C79" s="40" t="s">
        <v>16</v>
      </c>
      <c r="D79" s="42">
        <v>8829.0</v>
      </c>
      <c r="E79" s="38" t="s">
        <v>5169</v>
      </c>
      <c r="F79" s="42" t="s">
        <v>5170</v>
      </c>
      <c r="G79" s="39" t="s">
        <v>5171</v>
      </c>
      <c r="H79" s="36" t="s">
        <v>3346</v>
      </c>
      <c r="I79" s="38" t="s">
        <v>5167</v>
      </c>
      <c r="J79" s="39" t="s">
        <v>5172</v>
      </c>
    </row>
    <row r="80" ht="26.25" customHeight="1">
      <c r="A80" s="12" t="s">
        <v>880</v>
      </c>
      <c r="B80" s="17">
        <v>2023.0</v>
      </c>
      <c r="C80" s="42" t="s">
        <v>17</v>
      </c>
      <c r="D80" s="42">
        <v>8816.0</v>
      </c>
      <c r="E80" s="38" t="s">
        <v>5173</v>
      </c>
      <c r="F80" s="43" t="s">
        <v>5174</v>
      </c>
      <c r="G80" s="36"/>
      <c r="H80" s="38" t="s">
        <v>5175</v>
      </c>
      <c r="I80" s="38" t="s">
        <v>5176</v>
      </c>
      <c r="J80" s="38" t="s">
        <v>5177</v>
      </c>
    </row>
    <row r="81" ht="26.25" customHeight="1">
      <c r="A81" s="12" t="s">
        <v>887</v>
      </c>
      <c r="B81" s="17">
        <v>2023.0</v>
      </c>
      <c r="C81" s="40" t="s">
        <v>17</v>
      </c>
      <c r="D81" s="40">
        <v>9379.0</v>
      </c>
      <c r="E81" s="39" t="s">
        <v>5178</v>
      </c>
      <c r="F81" s="41" t="s">
        <v>5179</v>
      </c>
      <c r="G81" s="39" t="s">
        <v>5180</v>
      </c>
      <c r="H81" s="38" t="s">
        <v>5181</v>
      </c>
      <c r="I81" s="39" t="s">
        <v>4888</v>
      </c>
      <c r="J81" s="39" t="s">
        <v>5182</v>
      </c>
    </row>
    <row r="82" ht="26.25" customHeight="1">
      <c r="A82" s="12" t="s">
        <v>889</v>
      </c>
      <c r="B82" s="17">
        <v>2023.0</v>
      </c>
      <c r="C82" s="42" t="s">
        <v>17</v>
      </c>
      <c r="D82" s="42">
        <v>8457.0</v>
      </c>
      <c r="E82" s="38" t="s">
        <v>5183</v>
      </c>
      <c r="F82" s="43" t="s">
        <v>5184</v>
      </c>
      <c r="G82" s="36"/>
      <c r="H82" s="38" t="s">
        <v>5185</v>
      </c>
      <c r="I82" s="38" t="s">
        <v>5167</v>
      </c>
      <c r="J82" s="38" t="s">
        <v>5186</v>
      </c>
    </row>
    <row r="83" ht="26.25" customHeight="1">
      <c r="A83" s="12" t="s">
        <v>891</v>
      </c>
      <c r="B83" s="17">
        <v>2023.0</v>
      </c>
      <c r="C83" s="40" t="s">
        <v>17</v>
      </c>
      <c r="D83" s="40">
        <v>9176.0</v>
      </c>
      <c r="E83" s="39" t="s">
        <v>5187</v>
      </c>
      <c r="F83" s="41" t="s">
        <v>5188</v>
      </c>
      <c r="G83" s="39" t="s">
        <v>5189</v>
      </c>
      <c r="H83" s="38" t="s">
        <v>5190</v>
      </c>
      <c r="I83" s="39" t="s">
        <v>4829</v>
      </c>
      <c r="J83" s="39" t="s">
        <v>5191</v>
      </c>
    </row>
    <row r="84" ht="26.25" customHeight="1">
      <c r="A84" s="12" t="s">
        <v>896</v>
      </c>
      <c r="B84" s="17">
        <v>2023.0</v>
      </c>
      <c r="C84" s="40" t="s">
        <v>18</v>
      </c>
      <c r="D84" s="40">
        <v>9815.0</v>
      </c>
      <c r="E84" s="39" t="s">
        <v>5192</v>
      </c>
      <c r="F84" s="40" t="s">
        <v>5193</v>
      </c>
      <c r="G84" s="39" t="s">
        <v>5194</v>
      </c>
      <c r="H84" s="38" t="s">
        <v>5195</v>
      </c>
      <c r="I84" s="39" t="s">
        <v>5167</v>
      </c>
      <c r="J84" s="39" t="s">
        <v>5196</v>
      </c>
    </row>
    <row r="85" ht="26.25" customHeight="1">
      <c r="A85" s="12" t="s">
        <v>901</v>
      </c>
      <c r="B85" s="17">
        <v>2023.0</v>
      </c>
      <c r="C85" s="40" t="s">
        <v>18</v>
      </c>
      <c r="D85" s="40">
        <v>9767.0</v>
      </c>
      <c r="E85" s="39" t="s">
        <v>5197</v>
      </c>
      <c r="F85" s="40" t="s">
        <v>5198</v>
      </c>
      <c r="G85" s="39" t="s">
        <v>5199</v>
      </c>
      <c r="H85" s="38" t="s">
        <v>5200</v>
      </c>
      <c r="I85" s="39" t="s">
        <v>4829</v>
      </c>
      <c r="J85" s="39" t="s">
        <v>5201</v>
      </c>
    </row>
    <row r="86" ht="26.25" customHeight="1">
      <c r="A86" s="12" t="s">
        <v>907</v>
      </c>
      <c r="B86" s="17">
        <v>2023.0</v>
      </c>
      <c r="C86" s="40" t="s">
        <v>18</v>
      </c>
      <c r="D86" s="17">
        <v>9815.0</v>
      </c>
      <c r="E86" s="36" t="s">
        <v>5192</v>
      </c>
      <c r="F86" s="41" t="s">
        <v>5202</v>
      </c>
      <c r="G86" s="36" t="s">
        <v>5203</v>
      </c>
      <c r="H86" s="36" t="s">
        <v>5203</v>
      </c>
      <c r="I86" s="38" t="s">
        <v>5167</v>
      </c>
      <c r="J86" s="39" t="s">
        <v>5196</v>
      </c>
    </row>
    <row r="87" ht="26.25" customHeight="1">
      <c r="A87" s="12" t="s">
        <v>913</v>
      </c>
      <c r="B87" s="17">
        <v>2023.0</v>
      </c>
      <c r="C87" s="17" t="s">
        <v>19</v>
      </c>
      <c r="D87" s="17">
        <v>8877.0</v>
      </c>
      <c r="E87" s="37" t="s">
        <v>5204</v>
      </c>
      <c r="F87" s="41" t="s">
        <v>5205</v>
      </c>
      <c r="G87" s="37"/>
      <c r="H87" s="36" t="s">
        <v>5206</v>
      </c>
      <c r="I87" s="39" t="s">
        <v>4938</v>
      </c>
      <c r="J87" s="39" t="s">
        <v>5207</v>
      </c>
    </row>
    <row r="88" ht="26.25" customHeight="1">
      <c r="A88" s="12" t="s">
        <v>919</v>
      </c>
      <c r="B88" s="17">
        <v>2023.0</v>
      </c>
      <c r="C88" s="17" t="s">
        <v>19</v>
      </c>
      <c r="D88" s="17">
        <v>9563.0</v>
      </c>
      <c r="E88" s="37" t="s">
        <v>5208</v>
      </c>
      <c r="F88" s="40" t="s">
        <v>5209</v>
      </c>
      <c r="G88" s="39" t="s">
        <v>5210</v>
      </c>
      <c r="H88" s="37" t="s">
        <v>5211</v>
      </c>
      <c r="I88" s="39" t="s">
        <v>4847</v>
      </c>
      <c r="J88" s="39" t="s">
        <v>5212</v>
      </c>
    </row>
    <row r="89" ht="26.25" customHeight="1">
      <c r="A89" s="12" t="s">
        <v>924</v>
      </c>
      <c r="B89" s="17">
        <v>2023.0</v>
      </c>
      <c r="C89" s="40" t="s">
        <v>19</v>
      </c>
      <c r="D89" s="42">
        <v>8923.0</v>
      </c>
      <c r="E89" s="36" t="s">
        <v>5213</v>
      </c>
      <c r="F89" s="43" t="s">
        <v>5214</v>
      </c>
      <c r="G89" s="36"/>
      <c r="H89" s="36" t="s">
        <v>5213</v>
      </c>
      <c r="I89" s="39" t="s">
        <v>4926</v>
      </c>
      <c r="J89" s="39" t="s">
        <v>5215</v>
      </c>
    </row>
    <row r="90" ht="26.25" customHeight="1">
      <c r="A90" s="12" t="s">
        <v>930</v>
      </c>
      <c r="B90" s="17">
        <v>2023.0</v>
      </c>
      <c r="C90" s="17" t="s">
        <v>19</v>
      </c>
      <c r="D90" s="17">
        <v>9950.0</v>
      </c>
      <c r="E90" s="37" t="s">
        <v>5216</v>
      </c>
      <c r="F90" s="40" t="s">
        <v>5217</v>
      </c>
      <c r="G90" s="37"/>
      <c r="H90" s="37" t="s">
        <v>5218</v>
      </c>
      <c r="I90" s="39" t="s">
        <v>5219</v>
      </c>
      <c r="J90" s="39" t="s">
        <v>5220</v>
      </c>
    </row>
    <row r="91" ht="26.25" customHeight="1">
      <c r="A91" s="12" t="s">
        <v>935</v>
      </c>
      <c r="B91" s="17">
        <v>2023.0</v>
      </c>
      <c r="C91" s="17" t="s">
        <v>19</v>
      </c>
      <c r="D91" s="17">
        <v>9758.0</v>
      </c>
      <c r="E91" s="36" t="s">
        <v>5221</v>
      </c>
      <c r="F91" s="40" t="s">
        <v>5222</v>
      </c>
      <c r="G91" s="39" t="s">
        <v>5223</v>
      </c>
      <c r="H91" s="36" t="s">
        <v>5224</v>
      </c>
      <c r="I91" s="39" t="s">
        <v>5167</v>
      </c>
      <c r="J91" s="39" t="s">
        <v>5225</v>
      </c>
    </row>
    <row r="92" ht="26.25" customHeight="1">
      <c r="A92" s="12" t="s">
        <v>941</v>
      </c>
      <c r="B92" s="17">
        <v>2023.0</v>
      </c>
      <c r="C92" s="17" t="s">
        <v>20</v>
      </c>
      <c r="D92" s="17">
        <v>7485.0</v>
      </c>
      <c r="E92" s="39" t="s">
        <v>5097</v>
      </c>
      <c r="F92" s="41" t="s">
        <v>5098</v>
      </c>
      <c r="G92" s="39" t="s">
        <v>5099</v>
      </c>
      <c r="H92" s="38" t="s">
        <v>5226</v>
      </c>
      <c r="I92" s="39" t="s">
        <v>5085</v>
      </c>
      <c r="J92" s="39" t="s">
        <v>5101</v>
      </c>
    </row>
    <row r="93" ht="26.25" customHeight="1">
      <c r="A93" s="12" t="s">
        <v>947</v>
      </c>
      <c r="B93" s="17">
        <v>2023.0</v>
      </c>
      <c r="C93" s="17" t="s">
        <v>20</v>
      </c>
      <c r="D93" s="17">
        <v>10207.0</v>
      </c>
      <c r="E93" s="37" t="s">
        <v>5227</v>
      </c>
      <c r="F93" s="41" t="s">
        <v>5228</v>
      </c>
      <c r="G93" s="39" t="s">
        <v>5229</v>
      </c>
      <c r="H93" s="37" t="s">
        <v>5230</v>
      </c>
      <c r="I93" s="39" t="s">
        <v>4932</v>
      </c>
      <c r="J93" s="39" t="s">
        <v>5231</v>
      </c>
    </row>
    <row r="94" ht="26.25" customHeight="1">
      <c r="A94" s="12" t="s">
        <v>951</v>
      </c>
      <c r="B94" s="17">
        <v>2023.0</v>
      </c>
      <c r="C94" s="17" t="s">
        <v>20</v>
      </c>
      <c r="D94" s="17">
        <v>10257.0</v>
      </c>
      <c r="E94" s="37" t="s">
        <v>5232</v>
      </c>
      <c r="F94" s="41" t="s">
        <v>5233</v>
      </c>
      <c r="G94" s="39" t="s">
        <v>5234</v>
      </c>
      <c r="H94" s="37" t="s">
        <v>5235</v>
      </c>
      <c r="I94" s="39" t="s">
        <v>5219</v>
      </c>
      <c r="J94" s="39" t="s">
        <v>5236</v>
      </c>
    </row>
    <row r="95" ht="26.25" customHeight="1">
      <c r="A95" s="12" t="s">
        <v>953</v>
      </c>
      <c r="B95" s="17">
        <v>2023.0</v>
      </c>
      <c r="C95" s="17" t="s">
        <v>20</v>
      </c>
      <c r="D95" s="17">
        <v>10200.0</v>
      </c>
      <c r="E95" s="36" t="s">
        <v>5237</v>
      </c>
      <c r="F95" s="43" t="s">
        <v>5238</v>
      </c>
      <c r="G95" s="38" t="s">
        <v>5239</v>
      </c>
      <c r="H95" s="36" t="s">
        <v>5240</v>
      </c>
      <c r="I95" s="38" t="s">
        <v>4829</v>
      </c>
      <c r="J95" s="38" t="s">
        <v>5241</v>
      </c>
    </row>
    <row r="96" ht="26.25" customHeight="1">
      <c r="A96" s="12" t="s">
        <v>959</v>
      </c>
      <c r="B96" s="17">
        <v>2023.0</v>
      </c>
      <c r="C96" s="17" t="s">
        <v>20</v>
      </c>
      <c r="D96" s="17">
        <v>9767.0</v>
      </c>
      <c r="E96" s="36" t="s">
        <v>5242</v>
      </c>
      <c r="F96" s="43" t="s">
        <v>5243</v>
      </c>
      <c r="G96" s="39" t="s">
        <v>5199</v>
      </c>
      <c r="H96" s="36" t="s">
        <v>5244</v>
      </c>
      <c r="I96" s="39" t="s">
        <v>4829</v>
      </c>
      <c r="J96" s="39" t="s">
        <v>5201</v>
      </c>
    </row>
    <row r="97" ht="26.25" customHeight="1">
      <c r="A97" s="12" t="s">
        <v>965</v>
      </c>
      <c r="B97" s="17">
        <v>2023.0</v>
      </c>
      <c r="C97" s="17" t="s">
        <v>22</v>
      </c>
      <c r="D97" s="17">
        <v>10751.0</v>
      </c>
      <c r="E97" s="36" t="s">
        <v>5245</v>
      </c>
      <c r="F97" s="43" t="s">
        <v>5246</v>
      </c>
      <c r="G97" s="36"/>
      <c r="H97" s="36" t="s">
        <v>5247</v>
      </c>
      <c r="I97" s="38" t="s">
        <v>4829</v>
      </c>
      <c r="J97" s="38" t="s">
        <v>5248</v>
      </c>
    </row>
    <row r="98" ht="26.25" customHeight="1">
      <c r="A98" s="12" t="s">
        <v>967</v>
      </c>
      <c r="B98" s="17">
        <v>2023.0</v>
      </c>
      <c r="C98" s="17" t="s">
        <v>22</v>
      </c>
      <c r="D98" s="17">
        <v>10709.0</v>
      </c>
      <c r="E98" s="36" t="s">
        <v>5249</v>
      </c>
      <c r="F98" s="43" t="s">
        <v>5250</v>
      </c>
      <c r="G98" s="36" t="s">
        <v>5251</v>
      </c>
      <c r="H98" s="36" t="s">
        <v>5249</v>
      </c>
      <c r="I98" s="38" t="s">
        <v>4829</v>
      </c>
      <c r="J98" s="38" t="s">
        <v>5252</v>
      </c>
    </row>
    <row r="99" ht="26.25" customHeight="1">
      <c r="A99" s="12" t="s">
        <v>971</v>
      </c>
      <c r="B99" s="17">
        <v>2023.0</v>
      </c>
      <c r="C99" s="42" t="s">
        <v>22</v>
      </c>
      <c r="D99" s="42">
        <v>5169.0</v>
      </c>
      <c r="E99" s="38" t="s">
        <v>5015</v>
      </c>
      <c r="F99" s="42" t="s">
        <v>5016</v>
      </c>
      <c r="G99" s="38" t="s">
        <v>5017</v>
      </c>
      <c r="H99" s="38" t="s">
        <v>5253</v>
      </c>
      <c r="I99" s="38" t="s">
        <v>4853</v>
      </c>
      <c r="J99" s="38" t="s">
        <v>5019</v>
      </c>
    </row>
    <row r="100" ht="26.25" customHeight="1">
      <c r="A100" s="12" t="s">
        <v>978</v>
      </c>
      <c r="B100" s="17">
        <v>2024.0</v>
      </c>
      <c r="C100" s="40" t="s">
        <v>11</v>
      </c>
      <c r="D100" s="40">
        <v>3316.0</v>
      </c>
      <c r="E100" s="39" t="s">
        <v>5254</v>
      </c>
      <c r="F100" s="41" t="s">
        <v>5255</v>
      </c>
      <c r="G100" s="39" t="s">
        <v>4924</v>
      </c>
      <c r="H100" s="39" t="s">
        <v>5256</v>
      </c>
      <c r="I100" s="39" t="s">
        <v>4926</v>
      </c>
      <c r="J100" s="39" t="s">
        <v>4927</v>
      </c>
    </row>
    <row r="101" ht="26.25" customHeight="1">
      <c r="A101" s="12" t="s">
        <v>984</v>
      </c>
      <c r="B101" s="17">
        <v>2024.0</v>
      </c>
      <c r="C101" s="40" t="s">
        <v>12</v>
      </c>
      <c r="D101" s="40">
        <v>11171.0</v>
      </c>
      <c r="E101" s="39" t="s">
        <v>5257</v>
      </c>
      <c r="F101" s="41" t="s">
        <v>5258</v>
      </c>
      <c r="G101" s="39" t="s">
        <v>5259</v>
      </c>
      <c r="H101" s="39" t="s">
        <v>5260</v>
      </c>
      <c r="I101" s="39" t="s">
        <v>4829</v>
      </c>
      <c r="J101" s="39" t="s">
        <v>5261</v>
      </c>
    </row>
    <row r="102" ht="26.25" customHeight="1">
      <c r="A102" s="12" t="s">
        <v>990</v>
      </c>
      <c r="B102" s="17">
        <v>2024.0</v>
      </c>
      <c r="C102" s="40" t="s">
        <v>12</v>
      </c>
      <c r="D102" s="40">
        <v>11234.0</v>
      </c>
      <c r="E102" s="39" t="s">
        <v>5262</v>
      </c>
      <c r="F102" s="41" t="s">
        <v>5263</v>
      </c>
      <c r="G102" s="39" t="s">
        <v>5264</v>
      </c>
      <c r="H102" s="39" t="s">
        <v>5265</v>
      </c>
      <c r="I102" s="39" t="s">
        <v>4829</v>
      </c>
      <c r="J102" s="39" t="s">
        <v>5266</v>
      </c>
    </row>
    <row r="103" ht="26.25" customHeight="1">
      <c r="A103" s="12" t="s">
        <v>995</v>
      </c>
      <c r="B103" s="17">
        <v>2024.0</v>
      </c>
      <c r="C103" s="40" t="s">
        <v>12</v>
      </c>
      <c r="D103" s="40">
        <v>11054.0</v>
      </c>
      <c r="E103" s="39" t="s">
        <v>5267</v>
      </c>
      <c r="F103" s="41" t="s">
        <v>5268</v>
      </c>
      <c r="G103" s="123"/>
      <c r="H103" s="39" t="s">
        <v>5269</v>
      </c>
      <c r="I103" s="39" t="s">
        <v>4829</v>
      </c>
      <c r="J103" s="39" t="s">
        <v>5270</v>
      </c>
    </row>
    <row r="104" ht="26.25" customHeight="1">
      <c r="A104" s="12" t="s">
        <v>1001</v>
      </c>
      <c r="B104" s="17">
        <v>2024.0</v>
      </c>
      <c r="C104" s="40" t="s">
        <v>12</v>
      </c>
      <c r="D104" s="40">
        <v>7313.0</v>
      </c>
      <c r="E104" s="39" t="s">
        <v>5087</v>
      </c>
      <c r="F104" s="41" t="s">
        <v>5271</v>
      </c>
      <c r="G104" s="123"/>
      <c r="H104" s="39" t="s">
        <v>5272</v>
      </c>
      <c r="I104" s="39" t="s">
        <v>4926</v>
      </c>
      <c r="J104" s="39" t="s">
        <v>5273</v>
      </c>
    </row>
    <row r="105" ht="26.25" customHeight="1">
      <c r="A105" s="12" t="s">
        <v>1003</v>
      </c>
      <c r="B105" s="17">
        <v>2024.0</v>
      </c>
      <c r="C105" s="40" t="s">
        <v>12</v>
      </c>
      <c r="D105" s="40">
        <v>8848.0</v>
      </c>
      <c r="E105" s="39" t="s">
        <v>5145</v>
      </c>
      <c r="F105" s="41" t="s">
        <v>5274</v>
      </c>
      <c r="G105" s="39" t="s">
        <v>5147</v>
      </c>
      <c r="H105" s="39" t="s">
        <v>5275</v>
      </c>
      <c r="I105" s="39" t="s">
        <v>5085</v>
      </c>
      <c r="J105" s="39" t="s">
        <v>5276</v>
      </c>
    </row>
    <row r="106" ht="26.25" customHeight="1">
      <c r="A106" s="12" t="s">
        <v>1005</v>
      </c>
      <c r="B106" s="17">
        <v>2024.0</v>
      </c>
      <c r="C106" s="40" t="s">
        <v>13</v>
      </c>
      <c r="D106" s="40">
        <v>11472.0</v>
      </c>
      <c r="E106" s="39" t="s">
        <v>5277</v>
      </c>
      <c r="F106" s="41" t="s">
        <v>5278</v>
      </c>
      <c r="G106" s="123"/>
      <c r="H106" s="39" t="s">
        <v>5279</v>
      </c>
      <c r="I106" s="39" t="s">
        <v>4829</v>
      </c>
      <c r="J106" s="39" t="s">
        <v>5280</v>
      </c>
    </row>
    <row r="107" ht="26.25" customHeight="1">
      <c r="A107" s="12" t="s">
        <v>1011</v>
      </c>
      <c r="B107" s="17">
        <v>2024.0</v>
      </c>
      <c r="C107" s="40" t="s">
        <v>13</v>
      </c>
      <c r="D107" s="35">
        <v>11550.0</v>
      </c>
      <c r="E107" s="37" t="s">
        <v>5281</v>
      </c>
      <c r="F107" s="72" t="s">
        <v>5282</v>
      </c>
      <c r="G107" s="39" t="s">
        <v>5283</v>
      </c>
      <c r="H107" s="37" t="s">
        <v>5281</v>
      </c>
      <c r="I107" s="39" t="s">
        <v>4888</v>
      </c>
      <c r="J107" s="39" t="s">
        <v>5284</v>
      </c>
    </row>
    <row r="108" ht="26.25" customHeight="1">
      <c r="A108" s="12" t="s">
        <v>1017</v>
      </c>
      <c r="B108" s="17">
        <v>2024.0</v>
      </c>
      <c r="C108" s="40" t="s">
        <v>14</v>
      </c>
      <c r="D108" s="35">
        <v>11644.0</v>
      </c>
      <c r="E108" s="37" t="s">
        <v>5285</v>
      </c>
      <c r="F108" s="72" t="s">
        <v>5286</v>
      </c>
      <c r="G108" s="37" t="s">
        <v>5287</v>
      </c>
      <c r="H108" s="37" t="s">
        <v>5285</v>
      </c>
      <c r="I108" s="39" t="s">
        <v>4829</v>
      </c>
      <c r="J108" s="39" t="s">
        <v>5288</v>
      </c>
    </row>
    <row r="109" ht="26.25" customHeight="1">
      <c r="A109" s="12" t="s">
        <v>1023</v>
      </c>
      <c r="B109" s="17">
        <v>2024.0</v>
      </c>
      <c r="C109" s="40" t="s">
        <v>14</v>
      </c>
      <c r="D109" s="35">
        <v>11881.0</v>
      </c>
      <c r="E109" s="37" t="s">
        <v>5289</v>
      </c>
      <c r="F109" s="72" t="s">
        <v>5290</v>
      </c>
      <c r="G109" s="37" t="s">
        <v>5189</v>
      </c>
      <c r="H109" s="37" t="s">
        <v>5289</v>
      </c>
      <c r="I109" s="39" t="s">
        <v>4829</v>
      </c>
      <c r="J109" s="39" t="s">
        <v>5291</v>
      </c>
    </row>
    <row r="110" ht="26.25" customHeight="1">
      <c r="A110" s="12" t="s">
        <v>1029</v>
      </c>
      <c r="B110" s="17">
        <v>2024.0</v>
      </c>
      <c r="C110" s="40" t="s">
        <v>14</v>
      </c>
      <c r="D110" s="35">
        <v>1879.0</v>
      </c>
      <c r="E110" s="37" t="s">
        <v>5292</v>
      </c>
      <c r="F110" s="72" t="s">
        <v>5293</v>
      </c>
      <c r="G110" s="37" t="s">
        <v>5294</v>
      </c>
      <c r="H110" s="37" t="s">
        <v>5295</v>
      </c>
      <c r="I110" s="39" t="s">
        <v>5296</v>
      </c>
      <c r="J110" s="39" t="s">
        <v>5297</v>
      </c>
    </row>
    <row r="111" ht="26.25" customHeight="1">
      <c r="A111" s="12" t="s">
        <v>1035</v>
      </c>
      <c r="B111" s="17">
        <v>2024.0</v>
      </c>
      <c r="C111" s="40" t="s">
        <v>15</v>
      </c>
      <c r="D111" s="35">
        <v>12041.0</v>
      </c>
      <c r="E111" s="37" t="s">
        <v>5298</v>
      </c>
      <c r="F111" s="72" t="s">
        <v>5299</v>
      </c>
      <c r="G111" s="37" t="s">
        <v>5300</v>
      </c>
      <c r="H111" s="37" t="s">
        <v>5301</v>
      </c>
      <c r="I111" s="37" t="s">
        <v>4847</v>
      </c>
      <c r="J111" s="39" t="s">
        <v>5302</v>
      </c>
    </row>
    <row r="112" ht="26.25" customHeight="1">
      <c r="A112" s="12" t="s">
        <v>1040</v>
      </c>
      <c r="B112" s="17">
        <v>2024.0</v>
      </c>
      <c r="C112" s="40" t="s">
        <v>15</v>
      </c>
      <c r="D112" s="35">
        <v>11954.0</v>
      </c>
      <c r="E112" s="37" t="s">
        <v>5303</v>
      </c>
      <c r="F112" s="72" t="s">
        <v>5304</v>
      </c>
      <c r="G112" s="37" t="s">
        <v>5305</v>
      </c>
      <c r="H112" s="37" t="s">
        <v>5306</v>
      </c>
      <c r="I112" s="37" t="s">
        <v>4932</v>
      </c>
      <c r="J112" s="39" t="s">
        <v>5307</v>
      </c>
    </row>
    <row r="113" ht="26.25" customHeight="1">
      <c r="A113" s="12" t="s">
        <v>1045</v>
      </c>
      <c r="B113" s="17">
        <v>2024.0</v>
      </c>
      <c r="C113" s="40" t="s">
        <v>15</v>
      </c>
      <c r="D113" s="35">
        <v>9767.0</v>
      </c>
      <c r="E113" s="37" t="s">
        <v>5197</v>
      </c>
      <c r="F113" s="72" t="s">
        <v>5243</v>
      </c>
      <c r="G113" s="37" t="s">
        <v>5199</v>
      </c>
      <c r="H113" s="37" t="s">
        <v>5308</v>
      </c>
      <c r="I113" s="37" t="s">
        <v>4829</v>
      </c>
      <c r="J113" s="39" t="s">
        <v>5201</v>
      </c>
    </row>
    <row r="114" ht="26.25" customHeight="1">
      <c r="A114" s="12" t="s">
        <v>1051</v>
      </c>
      <c r="B114" s="17">
        <v>2024.0</v>
      </c>
      <c r="C114" s="40" t="s">
        <v>15</v>
      </c>
      <c r="D114" s="35">
        <v>3316.0</v>
      </c>
      <c r="E114" s="37" t="s">
        <v>4922</v>
      </c>
      <c r="F114" s="72" t="s">
        <v>5255</v>
      </c>
      <c r="G114" s="37" t="s">
        <v>4924</v>
      </c>
      <c r="H114" s="37" t="s">
        <v>5309</v>
      </c>
      <c r="I114" s="37" t="s">
        <v>4926</v>
      </c>
      <c r="J114" s="39" t="s">
        <v>5310</v>
      </c>
    </row>
    <row r="115" ht="26.25" customHeight="1">
      <c r="A115" s="12" t="s">
        <v>1056</v>
      </c>
      <c r="B115" s="17">
        <v>2024.0</v>
      </c>
      <c r="C115" s="40" t="s">
        <v>16</v>
      </c>
      <c r="D115" s="35">
        <v>12181.0</v>
      </c>
      <c r="E115" s="37" t="s">
        <v>5311</v>
      </c>
      <c r="F115" s="72" t="s">
        <v>5312</v>
      </c>
      <c r="G115" s="37" t="s">
        <v>5313</v>
      </c>
      <c r="H115" s="37" t="s">
        <v>5314</v>
      </c>
      <c r="I115" s="37" t="s">
        <v>4864</v>
      </c>
      <c r="J115" s="39" t="s">
        <v>5315</v>
      </c>
    </row>
    <row r="116" ht="26.25" customHeight="1">
      <c r="A116" s="12" t="s">
        <v>1062</v>
      </c>
      <c r="B116" s="17">
        <v>2024.0</v>
      </c>
      <c r="C116" s="40" t="s">
        <v>16</v>
      </c>
      <c r="D116" s="35">
        <v>7313.0</v>
      </c>
      <c r="E116" s="37" t="s">
        <v>5316</v>
      </c>
      <c r="F116" s="72" t="s">
        <v>5271</v>
      </c>
      <c r="G116" s="123"/>
      <c r="H116" s="37" t="s">
        <v>5317</v>
      </c>
      <c r="I116" s="37" t="s">
        <v>4926</v>
      </c>
      <c r="J116" s="39" t="s">
        <v>5318</v>
      </c>
    </row>
    <row r="117" ht="26.25" customHeight="1">
      <c r="A117" s="12" t="s">
        <v>1068</v>
      </c>
      <c r="B117" s="17">
        <v>2024.0</v>
      </c>
      <c r="C117" s="40" t="s">
        <v>16</v>
      </c>
      <c r="D117" s="35">
        <v>9563.0</v>
      </c>
      <c r="E117" s="37" t="s">
        <v>5319</v>
      </c>
      <c r="F117" s="72" t="s">
        <v>5320</v>
      </c>
      <c r="G117" s="37" t="s">
        <v>5210</v>
      </c>
      <c r="H117" s="37" t="s">
        <v>5321</v>
      </c>
      <c r="I117" s="37" t="s">
        <v>4847</v>
      </c>
      <c r="J117" s="39" t="s">
        <v>5322</v>
      </c>
    </row>
    <row r="118" ht="26.25" customHeight="1">
      <c r="A118" s="12" t="s">
        <v>1074</v>
      </c>
      <c r="B118" s="17">
        <v>2024.0</v>
      </c>
      <c r="C118" s="42" t="s">
        <v>17</v>
      </c>
      <c r="D118" s="35">
        <v>8912.0</v>
      </c>
      <c r="E118" s="37" t="s">
        <v>5323</v>
      </c>
      <c r="F118" s="72" t="s">
        <v>5324</v>
      </c>
      <c r="G118" s="37" t="s">
        <v>5137</v>
      </c>
      <c r="H118" s="37" t="s">
        <v>5325</v>
      </c>
      <c r="I118" s="37" t="s">
        <v>4841</v>
      </c>
      <c r="J118" s="39" t="s">
        <v>5326</v>
      </c>
    </row>
    <row r="119" ht="26.25" customHeight="1">
      <c r="A119" s="12" t="s">
        <v>1080</v>
      </c>
      <c r="B119" s="17">
        <v>2024.0</v>
      </c>
      <c r="C119" s="42" t="s">
        <v>17</v>
      </c>
      <c r="D119" s="15">
        <v>12730.0</v>
      </c>
      <c r="E119" s="77" t="s">
        <v>5327</v>
      </c>
      <c r="F119" s="72" t="s">
        <v>5328</v>
      </c>
      <c r="G119" s="37" t="s">
        <v>5329</v>
      </c>
      <c r="H119" s="49" t="s">
        <v>5330</v>
      </c>
      <c r="I119" s="49" t="s">
        <v>4841</v>
      </c>
      <c r="J119" s="39" t="s">
        <v>5331</v>
      </c>
    </row>
    <row r="120" ht="26.25" customHeight="1">
      <c r="A120" s="12" t="s">
        <v>1086</v>
      </c>
      <c r="B120" s="17">
        <v>2024.0</v>
      </c>
      <c r="C120" s="42" t="s">
        <v>17</v>
      </c>
      <c r="D120" s="15">
        <v>8115.0</v>
      </c>
      <c r="E120" s="77" t="s">
        <v>5113</v>
      </c>
      <c r="F120" s="72" t="s">
        <v>5332</v>
      </c>
      <c r="G120" s="37" t="s">
        <v>5115</v>
      </c>
      <c r="H120" s="49" t="s">
        <v>5333</v>
      </c>
      <c r="I120" s="49" t="s">
        <v>4829</v>
      </c>
      <c r="J120" s="39" t="s">
        <v>5117</v>
      </c>
    </row>
    <row r="121" ht="26.25" customHeight="1">
      <c r="A121" s="12" t="s">
        <v>1091</v>
      </c>
      <c r="B121" s="17">
        <v>2024.0</v>
      </c>
      <c r="C121" s="42" t="s">
        <v>18</v>
      </c>
      <c r="D121" s="15">
        <v>7313.0</v>
      </c>
      <c r="E121" s="77" t="s">
        <v>5316</v>
      </c>
      <c r="F121" s="72" t="s">
        <v>5271</v>
      </c>
      <c r="G121" s="37"/>
      <c r="H121" s="49" t="s">
        <v>5334</v>
      </c>
      <c r="I121" s="49" t="s">
        <v>4926</v>
      </c>
      <c r="J121" s="39" t="s">
        <v>5335</v>
      </c>
    </row>
    <row r="122" ht="26.25" customHeight="1">
      <c r="A122" s="12" t="s">
        <v>1097</v>
      </c>
      <c r="B122" s="17">
        <v>2024.0</v>
      </c>
      <c r="C122" s="42" t="s">
        <v>18</v>
      </c>
      <c r="D122" s="15">
        <v>13137.0</v>
      </c>
      <c r="E122" s="77" t="s">
        <v>5336</v>
      </c>
      <c r="F122" s="72" t="s">
        <v>5337</v>
      </c>
      <c r="G122" s="37" t="s">
        <v>5338</v>
      </c>
      <c r="H122" s="49" t="s">
        <v>5339</v>
      </c>
      <c r="I122" s="49" t="s">
        <v>4841</v>
      </c>
      <c r="J122" s="39" t="s">
        <v>5340</v>
      </c>
    </row>
    <row r="123" ht="26.25" customHeight="1">
      <c r="A123" s="12" t="s">
        <v>1100</v>
      </c>
      <c r="B123" s="17">
        <v>2024.0</v>
      </c>
      <c r="C123" s="42" t="s">
        <v>18</v>
      </c>
      <c r="D123" s="15">
        <v>12492.0</v>
      </c>
      <c r="E123" s="77" t="s">
        <v>5341</v>
      </c>
      <c r="F123" s="72" t="s">
        <v>5342</v>
      </c>
      <c r="G123" s="37" t="s">
        <v>5343</v>
      </c>
      <c r="H123" s="49" t="s">
        <v>5344</v>
      </c>
      <c r="I123" s="49" t="s">
        <v>5345</v>
      </c>
      <c r="J123" s="39" t="s">
        <v>5346</v>
      </c>
    </row>
    <row r="124" ht="26.25" customHeight="1">
      <c r="A124" s="12" t="s">
        <v>1106</v>
      </c>
      <c r="B124" s="17">
        <v>2024.0</v>
      </c>
      <c r="C124" s="42" t="s">
        <v>18</v>
      </c>
      <c r="D124" s="15">
        <v>12636.0</v>
      </c>
      <c r="E124" s="49" t="s">
        <v>5347</v>
      </c>
      <c r="F124" s="72" t="s">
        <v>5348</v>
      </c>
      <c r="G124" s="37" t="s">
        <v>5349</v>
      </c>
      <c r="H124" s="49" t="s">
        <v>5350</v>
      </c>
      <c r="I124" s="49" t="s">
        <v>5351</v>
      </c>
      <c r="J124" s="39"/>
    </row>
    <row r="125" ht="26.25" customHeight="1">
      <c r="A125" s="12" t="s">
        <v>1112</v>
      </c>
      <c r="B125" s="17">
        <v>2024.0</v>
      </c>
      <c r="C125" s="42" t="s">
        <v>19</v>
      </c>
      <c r="D125" s="15">
        <v>11644.0</v>
      </c>
      <c r="E125" s="49" t="s">
        <v>5285</v>
      </c>
      <c r="F125" s="50" t="s">
        <v>5286</v>
      </c>
      <c r="G125" s="37" t="s">
        <v>5287</v>
      </c>
      <c r="H125" s="49" t="s">
        <v>5352</v>
      </c>
      <c r="I125" s="49" t="s">
        <v>4829</v>
      </c>
      <c r="J125" s="39" t="s">
        <v>5288</v>
      </c>
    </row>
    <row r="126" ht="26.25" customHeight="1">
      <c r="A126" s="12" t="s">
        <v>1118</v>
      </c>
      <c r="B126" s="17">
        <v>2024.0</v>
      </c>
      <c r="C126" s="42" t="s">
        <v>20</v>
      </c>
      <c r="D126" s="15">
        <v>13526.0</v>
      </c>
      <c r="E126" s="49" t="s">
        <v>5353</v>
      </c>
      <c r="F126" s="50" t="s">
        <v>5354</v>
      </c>
      <c r="G126" s="37" t="s">
        <v>5355</v>
      </c>
      <c r="H126" s="49" t="s">
        <v>5330</v>
      </c>
      <c r="I126" s="49" t="s">
        <v>5351</v>
      </c>
      <c r="J126" s="39" t="s">
        <v>5356</v>
      </c>
    </row>
    <row r="127" ht="26.25" customHeight="1">
      <c r="A127" s="12" t="s">
        <v>1124</v>
      </c>
      <c r="B127" s="17">
        <v>2024.0</v>
      </c>
      <c r="C127" s="42" t="s">
        <v>20</v>
      </c>
      <c r="D127" s="15">
        <v>10207.0</v>
      </c>
      <c r="E127" s="49" t="s">
        <v>5357</v>
      </c>
      <c r="F127" s="50" t="s">
        <v>5228</v>
      </c>
      <c r="G127" s="37" t="s">
        <v>5229</v>
      </c>
      <c r="H127" s="49" t="s">
        <v>5358</v>
      </c>
      <c r="I127" s="49" t="s">
        <v>4932</v>
      </c>
      <c r="J127" s="39" t="s">
        <v>5359</v>
      </c>
    </row>
    <row r="128" ht="26.25" customHeight="1">
      <c r="A128" s="12" t="s">
        <v>1129</v>
      </c>
      <c r="B128" s="17">
        <v>2024.0</v>
      </c>
      <c r="C128" s="42" t="s">
        <v>20</v>
      </c>
      <c r="D128" s="15">
        <v>13503.0</v>
      </c>
      <c r="E128" s="49" t="s">
        <v>5360</v>
      </c>
      <c r="F128" s="50" t="s">
        <v>5361</v>
      </c>
      <c r="G128" s="37" t="s">
        <v>5362</v>
      </c>
      <c r="H128" s="49" t="s">
        <v>5363</v>
      </c>
      <c r="I128" s="49" t="s">
        <v>5364</v>
      </c>
      <c r="J128" s="39" t="s">
        <v>5365</v>
      </c>
    </row>
    <row r="129" ht="26.25" customHeight="1">
      <c r="A129" s="12" t="s">
        <v>1135</v>
      </c>
      <c r="B129" s="17">
        <v>2024.0</v>
      </c>
      <c r="C129" s="42" t="s">
        <v>20</v>
      </c>
      <c r="D129" s="15">
        <v>13566.0</v>
      </c>
      <c r="E129" s="49" t="s">
        <v>5366</v>
      </c>
      <c r="F129" s="50" t="s">
        <v>5367</v>
      </c>
      <c r="G129" s="37" t="s">
        <v>5368</v>
      </c>
      <c r="H129" s="49" t="s">
        <v>5330</v>
      </c>
      <c r="I129" s="49" t="s">
        <v>5351</v>
      </c>
      <c r="J129" s="39" t="s">
        <v>5369</v>
      </c>
    </row>
    <row r="130" ht="26.25" customHeight="1">
      <c r="A130" s="12" t="s">
        <v>1141</v>
      </c>
      <c r="B130" s="17">
        <v>2024.0</v>
      </c>
      <c r="C130" s="42" t="s">
        <v>20</v>
      </c>
      <c r="D130" s="15">
        <v>3316.0</v>
      </c>
      <c r="E130" s="49" t="s">
        <v>4922</v>
      </c>
      <c r="F130" s="50" t="s">
        <v>5255</v>
      </c>
      <c r="G130" s="49" t="s">
        <v>4924</v>
      </c>
      <c r="H130" s="49" t="s">
        <v>5370</v>
      </c>
      <c r="I130" s="49" t="s">
        <v>4926</v>
      </c>
      <c r="J130" s="39" t="s">
        <v>4927</v>
      </c>
    </row>
    <row r="131" ht="26.25" customHeight="1">
      <c r="A131" s="12" t="s">
        <v>1147</v>
      </c>
      <c r="B131" s="17">
        <v>2024.0</v>
      </c>
      <c r="C131" s="42" t="s">
        <v>22</v>
      </c>
      <c r="D131" s="15">
        <v>13940.0</v>
      </c>
      <c r="E131" s="49" t="s">
        <v>5371</v>
      </c>
      <c r="F131" s="50" t="s">
        <v>5372</v>
      </c>
      <c r="G131" s="49" t="s">
        <v>5373</v>
      </c>
      <c r="H131" s="49" t="s">
        <v>5374</v>
      </c>
      <c r="I131" s="49" t="s">
        <v>5219</v>
      </c>
      <c r="J131" s="39" t="s">
        <v>5375</v>
      </c>
    </row>
    <row r="132" ht="26.25" customHeight="1">
      <c r="A132" s="12" t="s">
        <v>1153</v>
      </c>
      <c r="B132" s="17">
        <v>2024.0</v>
      </c>
      <c r="C132" s="42" t="s">
        <v>22</v>
      </c>
      <c r="D132" s="15">
        <v>14009.0</v>
      </c>
      <c r="E132" s="49" t="s">
        <v>5376</v>
      </c>
      <c r="F132" s="50" t="s">
        <v>5377</v>
      </c>
      <c r="G132" s="49" t="s">
        <v>5378</v>
      </c>
      <c r="H132" s="49" t="s">
        <v>5379</v>
      </c>
      <c r="I132" s="49" t="s">
        <v>4829</v>
      </c>
      <c r="J132" s="39" t="s">
        <v>5380</v>
      </c>
    </row>
    <row r="133" ht="26.25" customHeight="1">
      <c r="A133" s="12" t="s">
        <v>1156</v>
      </c>
      <c r="B133" s="17">
        <v>2024.0</v>
      </c>
      <c r="C133" s="42" t="s">
        <v>22</v>
      </c>
      <c r="D133" s="15">
        <v>9096.0</v>
      </c>
      <c r="E133" s="49" t="s">
        <v>5381</v>
      </c>
      <c r="F133" s="50" t="s">
        <v>5382</v>
      </c>
      <c r="G133" s="49" t="s">
        <v>5156</v>
      </c>
      <c r="H133" s="49" t="s">
        <v>5383</v>
      </c>
      <c r="I133" s="49" t="s">
        <v>4841</v>
      </c>
      <c r="J133" s="39" t="s">
        <v>5384</v>
      </c>
    </row>
    <row r="134" ht="26.25" customHeight="1">
      <c r="A134" s="12" t="s">
        <v>1163</v>
      </c>
      <c r="B134" s="17">
        <v>2025.0</v>
      </c>
      <c r="C134" s="42" t="s">
        <v>11</v>
      </c>
      <c r="D134" s="15">
        <v>14399.0</v>
      </c>
      <c r="E134" s="49" t="s">
        <v>5385</v>
      </c>
      <c r="F134" s="50" t="s">
        <v>5386</v>
      </c>
      <c r="G134" s="49" t="s">
        <v>5387</v>
      </c>
      <c r="H134" s="49" t="s">
        <v>5388</v>
      </c>
      <c r="I134" s="49" t="s">
        <v>5167</v>
      </c>
      <c r="J134" s="39" t="s">
        <v>5389</v>
      </c>
    </row>
    <row r="135" ht="26.25" customHeight="1">
      <c r="A135" s="12" t="s">
        <v>1169</v>
      </c>
      <c r="B135" s="17">
        <v>2025.0</v>
      </c>
      <c r="C135" s="42" t="s">
        <v>11</v>
      </c>
      <c r="D135" s="15">
        <v>14236.0</v>
      </c>
      <c r="E135" s="49" t="s">
        <v>5390</v>
      </c>
      <c r="F135" s="50" t="s">
        <v>5391</v>
      </c>
      <c r="G135" s="49" t="s">
        <v>5392</v>
      </c>
      <c r="H135" s="49" t="s">
        <v>5393</v>
      </c>
      <c r="I135" s="49" t="s">
        <v>5061</v>
      </c>
      <c r="J135" s="39" t="s">
        <v>5394</v>
      </c>
    </row>
    <row r="136" ht="26.25" customHeight="1">
      <c r="A136" s="12" t="s">
        <v>1174</v>
      </c>
      <c r="B136" s="17">
        <v>2025.0</v>
      </c>
      <c r="C136" s="42" t="s">
        <v>12</v>
      </c>
      <c r="D136" s="15">
        <v>14570.0</v>
      </c>
      <c r="E136" s="49" t="s">
        <v>5395</v>
      </c>
      <c r="F136" s="50" t="s">
        <v>5396</v>
      </c>
      <c r="G136" s="49" t="s">
        <v>5397</v>
      </c>
      <c r="H136" s="49" t="s">
        <v>5398</v>
      </c>
      <c r="I136" s="49" t="s">
        <v>5167</v>
      </c>
      <c r="J136" s="39" t="s">
        <v>5399</v>
      </c>
    </row>
    <row r="137" ht="26.25" customHeight="1">
      <c r="A137" s="12" t="s">
        <v>1180</v>
      </c>
      <c r="B137" s="17">
        <v>2025.0</v>
      </c>
      <c r="C137" s="42" t="s">
        <v>5400</v>
      </c>
      <c r="D137" s="15">
        <v>7272.0</v>
      </c>
      <c r="E137" s="49" t="s">
        <v>5401</v>
      </c>
      <c r="F137" s="54" t="s">
        <v>5402</v>
      </c>
      <c r="G137" s="49" t="s">
        <v>5403</v>
      </c>
      <c r="H137" s="49" t="s">
        <v>5404</v>
      </c>
      <c r="I137" s="49" t="s">
        <v>5061</v>
      </c>
      <c r="J137" s="39" t="s">
        <v>5405</v>
      </c>
    </row>
    <row r="138" ht="26.25" customHeight="1">
      <c r="A138" s="12" t="s">
        <v>1186</v>
      </c>
      <c r="B138" s="17">
        <v>2025.0</v>
      </c>
      <c r="C138" s="42" t="s">
        <v>5400</v>
      </c>
      <c r="D138" s="15">
        <v>7313.0</v>
      </c>
      <c r="E138" s="49" t="s">
        <v>5087</v>
      </c>
      <c r="F138" s="54" t="s">
        <v>5271</v>
      </c>
      <c r="G138" s="49"/>
      <c r="H138" s="49" t="s">
        <v>5406</v>
      </c>
      <c r="I138" s="49" t="s">
        <v>4926</v>
      </c>
      <c r="J138" s="39" t="s">
        <v>5407</v>
      </c>
    </row>
    <row r="139" ht="26.25" customHeight="1">
      <c r="A139" s="12" t="s">
        <v>1192</v>
      </c>
      <c r="B139" s="17">
        <v>2025.0</v>
      </c>
      <c r="C139" s="42" t="s">
        <v>15</v>
      </c>
      <c r="D139" s="15">
        <v>15367.0</v>
      </c>
      <c r="E139" s="49" t="s">
        <v>5408</v>
      </c>
      <c r="F139" s="54" t="s">
        <v>5409</v>
      </c>
      <c r="G139" s="49"/>
      <c r="H139" s="49" t="s">
        <v>5410</v>
      </c>
      <c r="I139" s="49" t="s">
        <v>5296</v>
      </c>
      <c r="J139" s="39" t="s">
        <v>5411</v>
      </c>
    </row>
    <row r="140" ht="26.25" customHeight="1">
      <c r="A140" s="12" t="s">
        <v>1198</v>
      </c>
      <c r="B140" s="17">
        <v>2025.0</v>
      </c>
      <c r="C140" s="42" t="s">
        <v>15</v>
      </c>
      <c r="D140" s="15">
        <v>5568.0</v>
      </c>
      <c r="E140" s="49" t="s">
        <v>5412</v>
      </c>
      <c r="F140" s="54" t="s">
        <v>5413</v>
      </c>
      <c r="G140" s="49" t="s">
        <v>5414</v>
      </c>
      <c r="H140" s="49" t="s">
        <v>5415</v>
      </c>
      <c r="I140" s="49" t="s">
        <v>4841</v>
      </c>
      <c r="J140" s="39" t="s">
        <v>5416</v>
      </c>
    </row>
    <row r="141" ht="26.25" customHeight="1">
      <c r="A141" s="12" t="s">
        <v>1204</v>
      </c>
      <c r="B141" s="17">
        <v>2025.0</v>
      </c>
      <c r="C141" s="42" t="s">
        <v>16</v>
      </c>
      <c r="D141" s="15">
        <v>5169.0</v>
      </c>
      <c r="E141" s="49" t="s">
        <v>5015</v>
      </c>
      <c r="F141" s="54" t="s">
        <v>5417</v>
      </c>
      <c r="G141" s="49" t="s">
        <v>5017</v>
      </c>
      <c r="H141" s="49" t="s">
        <v>5418</v>
      </c>
      <c r="I141" s="49" t="s">
        <v>4853</v>
      </c>
      <c r="J141" s="39" t="s">
        <v>5419</v>
      </c>
    </row>
    <row r="142" ht="26.25" customHeight="1">
      <c r="A142" s="12" t="s">
        <v>1210</v>
      </c>
      <c r="B142" s="17">
        <v>2025.0</v>
      </c>
      <c r="C142" s="42" t="s">
        <v>18</v>
      </c>
      <c r="D142" s="15">
        <v>4816.0</v>
      </c>
      <c r="E142" s="49" t="s">
        <v>5052</v>
      </c>
      <c r="F142" s="54" t="s">
        <v>5420</v>
      </c>
      <c r="G142" s="49" t="s">
        <v>5054</v>
      </c>
      <c r="H142" s="49" t="s">
        <v>5421</v>
      </c>
      <c r="I142" s="49" t="s">
        <v>5296</v>
      </c>
      <c r="J142" s="39" t="s">
        <v>5422</v>
      </c>
    </row>
    <row r="143" ht="26.25" customHeight="1">
      <c r="A143" s="12" t="s">
        <v>1213</v>
      </c>
      <c r="B143" s="17">
        <v>2025.0</v>
      </c>
      <c r="C143" s="42" t="s">
        <v>18</v>
      </c>
      <c r="D143" s="15">
        <v>16068.0</v>
      </c>
      <c r="E143" s="49" t="s">
        <v>5423</v>
      </c>
      <c r="F143" s="54" t="s">
        <v>5424</v>
      </c>
      <c r="G143" s="49"/>
      <c r="H143" s="49" t="s">
        <v>5425</v>
      </c>
      <c r="I143" s="49" t="s">
        <v>4829</v>
      </c>
      <c r="J143" s="39" t="s">
        <v>5426</v>
      </c>
    </row>
    <row r="144" ht="26.25" customHeight="1">
      <c r="A144" s="12" t="s">
        <v>1219</v>
      </c>
      <c r="B144" s="17">
        <v>2025.0</v>
      </c>
      <c r="C144" s="42" t="s">
        <v>18</v>
      </c>
      <c r="D144" s="15">
        <v>16242.0</v>
      </c>
      <c r="E144" s="49" t="s">
        <v>5427</v>
      </c>
      <c r="F144" s="54" t="s">
        <v>5428</v>
      </c>
      <c r="G144" s="49" t="s">
        <v>5429</v>
      </c>
      <c r="H144" s="49" t="s">
        <v>5430</v>
      </c>
      <c r="I144" s="49" t="s">
        <v>4841</v>
      </c>
      <c r="J144" s="49" t="s">
        <v>5431</v>
      </c>
    </row>
    <row r="145" ht="26.25" customHeight="1">
      <c r="A145" s="12" t="s">
        <v>1225</v>
      </c>
      <c r="B145" s="17">
        <v>2025.0</v>
      </c>
      <c r="C145" s="42" t="s">
        <v>21</v>
      </c>
      <c r="D145" s="15">
        <v>16621.0</v>
      </c>
      <c r="E145" s="49" t="s">
        <v>5432</v>
      </c>
      <c r="F145" s="54" t="s">
        <v>5433</v>
      </c>
      <c r="G145" s="49" t="s">
        <v>5434</v>
      </c>
      <c r="H145" s="49" t="s">
        <v>5435</v>
      </c>
      <c r="I145" s="49" t="s">
        <v>5296</v>
      </c>
      <c r="J145" s="49" t="s">
        <v>5436</v>
      </c>
    </row>
    <row r="146" ht="26.25" customHeight="1">
      <c r="A146" s="12" t="s">
        <v>1231</v>
      </c>
      <c r="B146" s="17">
        <v>2025.0</v>
      </c>
      <c r="C146" s="42" t="s">
        <v>22</v>
      </c>
      <c r="D146" s="15">
        <v>16068.0</v>
      </c>
      <c r="E146" s="49" t="s">
        <v>5437</v>
      </c>
      <c r="F146" s="54" t="s">
        <v>5424</v>
      </c>
      <c r="G146" s="49"/>
      <c r="H146" s="78" t="s">
        <v>5438</v>
      </c>
      <c r="I146" s="49" t="s">
        <v>4829</v>
      </c>
      <c r="J146" s="49" t="s">
        <v>5426</v>
      </c>
    </row>
    <row r="147" ht="26.25" customHeight="1">
      <c r="A147" s="12" t="s">
        <v>1235</v>
      </c>
      <c r="B147" s="20">
        <v>2026.0</v>
      </c>
      <c r="C147" s="42" t="s">
        <v>11</v>
      </c>
      <c r="D147" s="57">
        <v>13157.0</v>
      </c>
      <c r="E147" s="58" t="s">
        <v>5439</v>
      </c>
      <c r="F147" s="59" t="s">
        <v>5440</v>
      </c>
      <c r="G147" s="49" t="s">
        <v>5441</v>
      </c>
      <c r="H147" s="58" t="s">
        <v>5442</v>
      </c>
      <c r="I147" s="58" t="s">
        <v>4829</v>
      </c>
      <c r="J147" s="49" t="s">
        <v>5280</v>
      </c>
    </row>
    <row r="148" ht="26.25" customHeight="1">
      <c r="A148" s="12" t="s">
        <v>1241</v>
      </c>
      <c r="B148" s="17">
        <v>2026.0</v>
      </c>
      <c r="C148" s="42" t="s">
        <v>11</v>
      </c>
      <c r="D148" s="57">
        <v>17466.0</v>
      </c>
      <c r="E148" s="58" t="s">
        <v>5443</v>
      </c>
      <c r="F148" s="59" t="s">
        <v>5444</v>
      </c>
      <c r="G148" s="49" t="s">
        <v>5445</v>
      </c>
      <c r="H148" s="58" t="s">
        <v>5446</v>
      </c>
      <c r="I148" s="58" t="s">
        <v>4926</v>
      </c>
      <c r="J148" s="49" t="s">
        <v>5447</v>
      </c>
    </row>
    <row r="149" ht="26.25" customHeight="1">
      <c r="A149" s="12" t="s">
        <v>1246</v>
      </c>
      <c r="B149" s="17">
        <v>2026.0</v>
      </c>
      <c r="C149" s="42" t="s">
        <v>11</v>
      </c>
      <c r="D149" s="57">
        <v>17569.0</v>
      </c>
      <c r="E149" s="58" t="s">
        <v>5448</v>
      </c>
      <c r="F149" s="59" t="s">
        <v>5449</v>
      </c>
      <c r="G149" s="61" t="s">
        <v>5450</v>
      </c>
      <c r="H149" s="78" t="s">
        <v>5451</v>
      </c>
      <c r="I149" s="58" t="s">
        <v>5452</v>
      </c>
      <c r="J149" s="61" t="s">
        <v>5453</v>
      </c>
    </row>
    <row r="150" ht="26.25" customHeight="1">
      <c r="A150" s="12" t="s">
        <v>1252</v>
      </c>
      <c r="B150" s="17">
        <v>2026.0</v>
      </c>
      <c r="C150" s="42" t="s">
        <v>12</v>
      </c>
      <c r="D150" s="57">
        <v>3316.0</v>
      </c>
      <c r="E150" s="58" t="s">
        <v>5254</v>
      </c>
      <c r="F150" s="59" t="s">
        <v>5255</v>
      </c>
      <c r="G150" s="61" t="s">
        <v>5454</v>
      </c>
      <c r="H150" s="58" t="s">
        <v>5455</v>
      </c>
      <c r="I150" s="58" t="s">
        <v>4926</v>
      </c>
      <c r="J150" s="61" t="s">
        <v>4927</v>
      </c>
    </row>
    <row r="151" ht="26.25" customHeight="1">
      <c r="A151" s="12" t="s">
        <v>1999</v>
      </c>
      <c r="B151" s="17">
        <v>2026.0</v>
      </c>
      <c r="C151" s="42" t="s">
        <v>13</v>
      </c>
      <c r="D151" s="15">
        <v>17522.0</v>
      </c>
      <c r="E151" s="49" t="s">
        <v>5456</v>
      </c>
      <c r="F151" s="54" t="s">
        <v>5457</v>
      </c>
      <c r="G151" s="61" t="s">
        <v>5458</v>
      </c>
      <c r="H151" s="49" t="s">
        <v>5459</v>
      </c>
      <c r="I151" s="49" t="s">
        <v>4829</v>
      </c>
      <c r="J151" s="61" t="s">
        <v>5460</v>
      </c>
    </row>
    <row r="152" ht="26.25" customHeight="1">
      <c r="A152" s="12" t="s">
        <v>2002</v>
      </c>
      <c r="B152" s="17">
        <v>2026.0</v>
      </c>
      <c r="C152" s="79" t="s">
        <v>15</v>
      </c>
      <c r="D152" s="15">
        <v>18389.0</v>
      </c>
      <c r="E152" s="49" t="s">
        <v>5461</v>
      </c>
      <c r="F152" s="54" t="s">
        <v>5462</v>
      </c>
      <c r="G152" s="61" t="s">
        <v>5463</v>
      </c>
      <c r="H152" s="49" t="s">
        <v>5464</v>
      </c>
      <c r="I152" s="49" t="s">
        <v>4932</v>
      </c>
      <c r="J152" s="61" t="s">
        <v>5465</v>
      </c>
    </row>
    <row r="153" ht="26.25" customHeight="1">
      <c r="A153" s="12" t="s">
        <v>2008</v>
      </c>
      <c r="B153" s="17">
        <v>2026.0</v>
      </c>
      <c r="C153" s="79" t="s">
        <v>15</v>
      </c>
      <c r="D153" s="15">
        <v>18403.0</v>
      </c>
      <c r="E153" s="49" t="s">
        <v>5466</v>
      </c>
      <c r="F153" s="54" t="s">
        <v>5467</v>
      </c>
      <c r="G153" s="61" t="s">
        <v>5468</v>
      </c>
      <c r="H153" s="49" t="s">
        <v>5469</v>
      </c>
      <c r="I153" s="49" t="s">
        <v>4870</v>
      </c>
      <c r="J153" s="61" t="s">
        <v>5470</v>
      </c>
    </row>
    <row r="154" ht="26.25" customHeight="1">
      <c r="A154" s="12" t="s">
        <v>2010</v>
      </c>
      <c r="B154" s="17">
        <v>2026.0</v>
      </c>
      <c r="C154" s="79" t="s">
        <v>15</v>
      </c>
      <c r="D154" s="15">
        <v>18470.0</v>
      </c>
      <c r="E154" s="49" t="s">
        <v>5471</v>
      </c>
      <c r="F154" s="54" t="s">
        <v>5472</v>
      </c>
      <c r="G154" s="61"/>
      <c r="H154" s="61" t="s">
        <v>5473</v>
      </c>
      <c r="I154" s="61" t="s">
        <v>4841</v>
      </c>
      <c r="J154" s="61" t="s">
        <v>5474</v>
      </c>
    </row>
    <row r="155" ht="26.25" customHeight="1">
      <c r="A155" s="12" t="s">
        <v>2016</v>
      </c>
      <c r="B155" s="17">
        <v>2026.0</v>
      </c>
      <c r="C155" s="79" t="s">
        <v>15</v>
      </c>
      <c r="D155" s="65">
        <v>18676.0</v>
      </c>
      <c r="E155" s="66" t="s">
        <v>5475</v>
      </c>
      <c r="F155" s="67" t="s">
        <v>5476</v>
      </c>
      <c r="G155" s="68" t="s">
        <v>5477</v>
      </c>
      <c r="H155" s="131" t="s">
        <v>5478</v>
      </c>
      <c r="I155" s="131" t="s">
        <v>5452</v>
      </c>
      <c r="J155" s="70" t="s">
        <v>5479</v>
      </c>
    </row>
    <row r="156" ht="26.25" customHeight="1">
      <c r="A156" s="12" t="s">
        <v>2018</v>
      </c>
      <c r="B156" s="17">
        <v>2026.0</v>
      </c>
      <c r="C156" s="79" t="s">
        <v>16</v>
      </c>
      <c r="D156" s="62">
        <v>17571.0</v>
      </c>
      <c r="E156" s="63" t="s">
        <v>5480</v>
      </c>
      <c r="F156" s="64" t="s">
        <v>5481</v>
      </c>
      <c r="G156" s="133" t="s">
        <v>5482</v>
      </c>
      <c r="H156" s="142" t="s">
        <v>5483</v>
      </c>
      <c r="I156" s="142" t="s">
        <v>4888</v>
      </c>
      <c r="J156" s="143" t="s">
        <v>5484</v>
      </c>
    </row>
    <row r="157" ht="24.0" customHeight="1">
      <c r="A157" s="12" t="s">
        <v>2024</v>
      </c>
      <c r="B157" s="17">
        <v>2026.0</v>
      </c>
      <c r="C157" s="79" t="s">
        <v>16</v>
      </c>
      <c r="D157" s="65">
        <v>18962.0</v>
      </c>
      <c r="E157" s="63" t="s">
        <v>5485</v>
      </c>
      <c r="F157" s="64" t="s">
        <v>5486</v>
      </c>
      <c r="G157" s="133" t="s">
        <v>5487</v>
      </c>
      <c r="H157" s="98" t="s">
        <v>5488</v>
      </c>
      <c r="I157" s="142" t="s">
        <v>4926</v>
      </c>
      <c r="J157" s="143" t="s">
        <v>5489</v>
      </c>
    </row>
    <row r="158" ht="24.0" customHeight="1">
      <c r="A158" s="12" t="s">
        <v>2029</v>
      </c>
      <c r="B158" s="17">
        <v>2026.0</v>
      </c>
      <c r="C158" s="79" t="s">
        <v>16</v>
      </c>
      <c r="D158" s="62">
        <v>19101.0</v>
      </c>
      <c r="E158" s="63" t="s">
        <v>5490</v>
      </c>
      <c r="F158" s="64" t="s">
        <v>5491</v>
      </c>
      <c r="G158" s="133" t="s">
        <v>5492</v>
      </c>
      <c r="H158" s="98" t="s">
        <v>5493</v>
      </c>
      <c r="I158" s="142" t="s">
        <v>5167</v>
      </c>
      <c r="J158" s="143" t="s">
        <v>5494</v>
      </c>
    </row>
    <row r="159" ht="24.0" customHeight="1">
      <c r="A159" s="12" t="s">
        <v>2031</v>
      </c>
      <c r="B159" s="17">
        <v>2026.0</v>
      </c>
      <c r="C159" s="79" t="s">
        <v>17</v>
      </c>
      <c r="D159" s="62">
        <v>19063.0</v>
      </c>
      <c r="E159" s="63" t="s">
        <v>5495</v>
      </c>
      <c r="F159" s="64" t="s">
        <v>5496</v>
      </c>
      <c r="G159" s="133" t="s">
        <v>5497</v>
      </c>
      <c r="H159" s="142" t="s">
        <v>5498</v>
      </c>
      <c r="I159" s="142" t="s">
        <v>4847</v>
      </c>
      <c r="J159" s="143" t="s">
        <v>5499</v>
      </c>
    </row>
    <row r="160" ht="26.25" customHeight="1">
      <c r="A160" s="51" t="s">
        <v>222</v>
      </c>
      <c r="C160" s="52"/>
      <c r="D160" s="52"/>
      <c r="E160" s="53">
        <f t="array" ref="E160">sum(1/countif(E147:E159,E147:E159))</f>
        <v>13</v>
      </c>
      <c r="F160" s="52"/>
      <c r="G160" s="52"/>
      <c r="H160" s="53">
        <f t="array" ref="H160">sum(1/countif(H147:H159,H147:H159))</f>
        <v>13</v>
      </c>
      <c r="I160" s="53">
        <f t="array" ref="I160">sum(1/countif(I134:I144,I134:I144))</f>
        <v>7</v>
      </c>
      <c r="J160" s="53"/>
    </row>
    <row r="161" ht="26.25" customHeight="1">
      <c r="A161" s="51" t="s">
        <v>223</v>
      </c>
      <c r="C161" s="52"/>
      <c r="E161" s="53">
        <f t="array" ref="E161">sum(1/countif(E5:E159,E5:E159))</f>
        <v>128</v>
      </c>
      <c r="F161" s="52"/>
      <c r="G161" s="52"/>
      <c r="H161" s="53">
        <f t="array" ref="H161">sum(1/countif(H5:H159,H5:H159))</f>
        <v>152</v>
      </c>
      <c r="I161" s="53">
        <f t="array" ref="I161">sum(1/countif(I5:I144,I5:I144))</f>
        <v>31</v>
      </c>
      <c r="J161" s="53"/>
    </row>
  </sheetData>
  <mergeCells count="6">
    <mergeCell ref="A1:J1"/>
    <mergeCell ref="A2:J2"/>
    <mergeCell ref="A3:J3"/>
    <mergeCell ref="A160:B160"/>
    <mergeCell ref="A161:B161"/>
    <mergeCell ref="C161:D161"/>
  </mergeCells>
  <hyperlinks>
    <hyperlink r:id="rId1" ref="H10"/>
  </hyperlinks>
  <drawing r:id="rId2"/>
  <tableParts count="4">
    <tablePart r:id="rId7"/>
    <tablePart r:id="rId8"/>
    <tablePart r:id="rId9"/>
    <tablePart r:id="rId1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30.86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  <c r="B3" s="25"/>
      <c r="C3" s="25"/>
      <c r="D3" s="25"/>
      <c r="E3" s="25"/>
      <c r="F3" s="25"/>
      <c r="G3" s="25"/>
      <c r="H3" s="25"/>
      <c r="I3" s="25"/>
      <c r="J3" s="25"/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15</v>
      </c>
      <c r="D5" s="35">
        <v>1021.0</v>
      </c>
      <c r="E5" s="36" t="s">
        <v>5500</v>
      </c>
      <c r="F5" s="35" t="s">
        <v>5501</v>
      </c>
      <c r="G5" s="37" t="s">
        <v>5502</v>
      </c>
      <c r="H5" s="37" t="s">
        <v>5503</v>
      </c>
      <c r="I5" s="39" t="s">
        <v>5504</v>
      </c>
      <c r="J5" s="39" t="s">
        <v>5505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490.0</v>
      </c>
      <c r="E6" s="36" t="s">
        <v>5506</v>
      </c>
      <c r="F6" s="35" t="s">
        <v>5507</v>
      </c>
      <c r="G6" s="37" t="s">
        <v>5508</v>
      </c>
      <c r="H6" s="37" t="s">
        <v>5509</v>
      </c>
      <c r="I6" s="39" t="s">
        <v>5510</v>
      </c>
      <c r="J6" s="39" t="s">
        <v>5511</v>
      </c>
    </row>
    <row r="7" ht="26.25" customHeight="1">
      <c r="A7" s="12" t="s">
        <v>87</v>
      </c>
      <c r="B7" s="17">
        <v>2021.0</v>
      </c>
      <c r="C7" s="35" t="s">
        <v>15</v>
      </c>
      <c r="D7" s="35">
        <v>844.0</v>
      </c>
      <c r="E7" s="36" t="s">
        <v>5512</v>
      </c>
      <c r="F7" s="35" t="s">
        <v>5513</v>
      </c>
      <c r="G7" s="37" t="s">
        <v>5514</v>
      </c>
      <c r="H7" s="37" t="s">
        <v>5515</v>
      </c>
      <c r="I7" s="39" t="s">
        <v>5516</v>
      </c>
      <c r="J7" s="39" t="s">
        <v>5517</v>
      </c>
    </row>
    <row r="8" ht="26.25" customHeight="1">
      <c r="A8" s="12" t="s">
        <v>94</v>
      </c>
      <c r="B8" s="17">
        <v>2021.0</v>
      </c>
      <c r="C8" s="35" t="s">
        <v>15</v>
      </c>
      <c r="D8" s="35">
        <v>611.0</v>
      </c>
      <c r="E8" s="36" t="s">
        <v>5518</v>
      </c>
      <c r="F8" s="35" t="s">
        <v>5519</v>
      </c>
      <c r="G8" s="37" t="s">
        <v>5520</v>
      </c>
      <c r="H8" s="37" t="s">
        <v>5521</v>
      </c>
      <c r="I8" s="39" t="s">
        <v>5504</v>
      </c>
      <c r="J8" s="39" t="s">
        <v>5522</v>
      </c>
    </row>
    <row r="9" ht="26.25" customHeight="1">
      <c r="A9" s="12" t="s">
        <v>101</v>
      </c>
      <c r="B9" s="17">
        <v>2021.0</v>
      </c>
      <c r="C9" s="40" t="s">
        <v>16</v>
      </c>
      <c r="D9" s="35">
        <v>1077.0</v>
      </c>
      <c r="E9" s="38" t="s">
        <v>5523</v>
      </c>
      <c r="F9" s="35" t="s">
        <v>5524</v>
      </c>
      <c r="G9" s="37" t="s">
        <v>5525</v>
      </c>
      <c r="H9" s="37" t="s">
        <v>5526</v>
      </c>
      <c r="I9" s="39" t="s">
        <v>5527</v>
      </c>
      <c r="J9" s="39" t="s">
        <v>5528</v>
      </c>
    </row>
    <row r="10" ht="26.25" customHeight="1">
      <c r="A10" s="12" t="s">
        <v>108</v>
      </c>
      <c r="B10" s="17">
        <v>2021.0</v>
      </c>
      <c r="C10" s="35" t="s">
        <v>16</v>
      </c>
      <c r="D10" s="35">
        <v>943.0</v>
      </c>
      <c r="E10" s="36" t="s">
        <v>5529</v>
      </c>
      <c r="F10" s="35" t="s">
        <v>5530</v>
      </c>
      <c r="G10" s="37" t="s">
        <v>5531</v>
      </c>
      <c r="H10" s="37" t="s">
        <v>5532</v>
      </c>
      <c r="I10" s="39" t="s">
        <v>5516</v>
      </c>
      <c r="J10" s="39" t="s">
        <v>5533</v>
      </c>
    </row>
    <row r="11" ht="26.25" customHeight="1">
      <c r="A11" s="12" t="s">
        <v>113</v>
      </c>
      <c r="B11" s="17">
        <v>2021.0</v>
      </c>
      <c r="C11" s="35" t="s">
        <v>17</v>
      </c>
      <c r="D11" s="35">
        <v>975.0</v>
      </c>
      <c r="E11" s="36" t="s">
        <v>5534</v>
      </c>
      <c r="F11" s="72" t="s">
        <v>5535</v>
      </c>
      <c r="G11" s="37" t="s">
        <v>5536</v>
      </c>
      <c r="H11" s="39" t="s">
        <v>5537</v>
      </c>
      <c r="I11" s="39" t="s">
        <v>5538</v>
      </c>
      <c r="J11" s="39" t="s">
        <v>5539</v>
      </c>
    </row>
    <row r="12" ht="26.25" customHeight="1">
      <c r="A12" s="12" t="s">
        <v>120</v>
      </c>
      <c r="B12" s="17">
        <v>2021.0</v>
      </c>
      <c r="C12" s="35" t="s">
        <v>17</v>
      </c>
      <c r="D12" s="35">
        <v>1509.0</v>
      </c>
      <c r="E12" s="36" t="s">
        <v>5540</v>
      </c>
      <c r="F12" s="35" t="s">
        <v>5541</v>
      </c>
      <c r="G12" s="37" t="s">
        <v>5542</v>
      </c>
      <c r="H12" s="37" t="s">
        <v>5543</v>
      </c>
      <c r="I12" s="39" t="s">
        <v>5516</v>
      </c>
      <c r="J12" s="39" t="s">
        <v>5544</v>
      </c>
    </row>
    <row r="13" ht="26.25" customHeight="1">
      <c r="A13" s="12" t="s">
        <v>126</v>
      </c>
      <c r="B13" s="17">
        <v>2021.0</v>
      </c>
      <c r="C13" s="40" t="s">
        <v>18</v>
      </c>
      <c r="D13" s="40">
        <v>1962.0</v>
      </c>
      <c r="E13" s="38" t="s">
        <v>5545</v>
      </c>
      <c r="F13" s="40" t="s">
        <v>5546</v>
      </c>
      <c r="G13" s="39" t="s">
        <v>5547</v>
      </c>
      <c r="H13" s="39" t="s">
        <v>5548</v>
      </c>
      <c r="I13" s="39" t="s">
        <v>5549</v>
      </c>
      <c r="J13" s="39" t="s">
        <v>5550</v>
      </c>
    </row>
    <row r="14" ht="26.25" customHeight="1">
      <c r="A14" s="12" t="s">
        <v>132</v>
      </c>
      <c r="B14" s="17">
        <v>2021.0</v>
      </c>
      <c r="C14" s="40" t="s">
        <v>19</v>
      </c>
      <c r="D14" s="40">
        <v>2163.0</v>
      </c>
      <c r="E14" s="38" t="s">
        <v>5551</v>
      </c>
      <c r="F14" s="40" t="s">
        <v>5552</v>
      </c>
      <c r="G14" s="39" t="s">
        <v>5553</v>
      </c>
      <c r="H14" s="39" t="s">
        <v>5554</v>
      </c>
      <c r="I14" s="39" t="s">
        <v>5527</v>
      </c>
      <c r="J14" s="39" t="s">
        <v>5555</v>
      </c>
    </row>
    <row r="15" ht="26.25" customHeight="1">
      <c r="A15" s="12" t="s">
        <v>138</v>
      </c>
      <c r="B15" s="17">
        <v>2021.0</v>
      </c>
      <c r="C15" s="40" t="s">
        <v>19</v>
      </c>
      <c r="D15" s="40">
        <v>2176.0</v>
      </c>
      <c r="E15" s="38" t="s">
        <v>5556</v>
      </c>
      <c r="F15" s="41" t="s">
        <v>5557</v>
      </c>
      <c r="G15" s="39" t="s">
        <v>5558</v>
      </c>
      <c r="H15" s="39" t="s">
        <v>5559</v>
      </c>
      <c r="I15" s="39" t="s">
        <v>5560</v>
      </c>
      <c r="J15" s="39" t="s">
        <v>5561</v>
      </c>
    </row>
    <row r="16" ht="26.25" customHeight="1">
      <c r="A16" s="12" t="s">
        <v>144</v>
      </c>
      <c r="B16" s="17">
        <v>2021.0</v>
      </c>
      <c r="C16" s="40" t="s">
        <v>19</v>
      </c>
      <c r="D16" s="40">
        <v>2481.0</v>
      </c>
      <c r="E16" s="38" t="s">
        <v>5562</v>
      </c>
      <c r="F16" s="40" t="s">
        <v>5563</v>
      </c>
      <c r="G16" s="39" t="s">
        <v>5564</v>
      </c>
      <c r="H16" s="39" t="s">
        <v>5565</v>
      </c>
      <c r="I16" s="39" t="s">
        <v>5566</v>
      </c>
      <c r="J16" s="39" t="s">
        <v>5567</v>
      </c>
    </row>
    <row r="17" ht="26.25" customHeight="1">
      <c r="A17" s="12" t="s">
        <v>146</v>
      </c>
      <c r="B17" s="17">
        <v>2021.0</v>
      </c>
      <c r="C17" s="40" t="s">
        <v>19</v>
      </c>
      <c r="D17" s="40">
        <v>2249.0</v>
      </c>
      <c r="E17" s="38" t="s">
        <v>5568</v>
      </c>
      <c r="F17" s="40" t="s">
        <v>5569</v>
      </c>
      <c r="G17" s="39" t="s">
        <v>5570</v>
      </c>
      <c r="H17" s="39" t="s">
        <v>5571</v>
      </c>
      <c r="I17" s="39" t="s">
        <v>5572</v>
      </c>
      <c r="J17" s="39" t="s">
        <v>5573</v>
      </c>
    </row>
    <row r="18" ht="26.25" customHeight="1">
      <c r="A18" s="12" t="s">
        <v>151</v>
      </c>
      <c r="B18" s="17">
        <v>2021.0</v>
      </c>
      <c r="C18" s="35" t="s">
        <v>19</v>
      </c>
      <c r="D18" s="35">
        <v>2486.0</v>
      </c>
      <c r="E18" s="36" t="s">
        <v>5574</v>
      </c>
      <c r="F18" s="35" t="s">
        <v>5575</v>
      </c>
      <c r="G18" s="37" t="s">
        <v>5576</v>
      </c>
      <c r="H18" s="39" t="s">
        <v>5577</v>
      </c>
      <c r="I18" s="39" t="s">
        <v>5578</v>
      </c>
      <c r="J18" s="39" t="s">
        <v>5579</v>
      </c>
    </row>
    <row r="19" ht="26.25" customHeight="1">
      <c r="A19" s="12" t="s">
        <v>153</v>
      </c>
      <c r="B19" s="17">
        <v>2021.0</v>
      </c>
      <c r="C19" s="40" t="s">
        <v>19</v>
      </c>
      <c r="D19" s="40">
        <v>2219.0</v>
      </c>
      <c r="E19" s="38" t="s">
        <v>5580</v>
      </c>
      <c r="F19" s="40" t="s">
        <v>5581</v>
      </c>
      <c r="G19" s="39" t="s">
        <v>5582</v>
      </c>
      <c r="H19" s="39" t="s">
        <v>5580</v>
      </c>
      <c r="I19" s="39" t="s">
        <v>5583</v>
      </c>
      <c r="J19" s="39" t="s">
        <v>5584</v>
      </c>
    </row>
    <row r="20" ht="26.25" customHeight="1">
      <c r="A20" s="12" t="s">
        <v>159</v>
      </c>
      <c r="B20" s="17">
        <v>2021.0</v>
      </c>
      <c r="C20" s="40" t="s">
        <v>20</v>
      </c>
      <c r="D20" s="40">
        <v>623.0</v>
      </c>
      <c r="E20" s="38" t="s">
        <v>5585</v>
      </c>
      <c r="F20" s="40" t="s">
        <v>5586</v>
      </c>
      <c r="G20" s="39" t="s">
        <v>5587</v>
      </c>
      <c r="H20" s="39" t="s">
        <v>5588</v>
      </c>
      <c r="I20" s="39" t="s">
        <v>5589</v>
      </c>
      <c r="J20" s="39" t="s">
        <v>5590</v>
      </c>
    </row>
    <row r="21" ht="26.25" customHeight="1">
      <c r="A21" s="12" t="s">
        <v>165</v>
      </c>
      <c r="B21" s="17">
        <v>2021.0</v>
      </c>
      <c r="C21" s="40" t="s">
        <v>20</v>
      </c>
      <c r="D21" s="40">
        <v>2808.0</v>
      </c>
      <c r="E21" s="38" t="s">
        <v>5591</v>
      </c>
      <c r="F21" s="40" t="s">
        <v>5592</v>
      </c>
      <c r="G21" s="39" t="s">
        <v>5593</v>
      </c>
      <c r="H21" s="39" t="s">
        <v>1284</v>
      </c>
      <c r="I21" s="39" t="s">
        <v>5516</v>
      </c>
      <c r="J21" s="39" t="s">
        <v>5594</v>
      </c>
    </row>
    <row r="22" ht="26.25" customHeight="1">
      <c r="A22" s="12" t="s">
        <v>171</v>
      </c>
      <c r="B22" s="17">
        <v>2021.0</v>
      </c>
      <c r="C22" s="40" t="s">
        <v>20</v>
      </c>
      <c r="D22" s="40">
        <v>2666.0</v>
      </c>
      <c r="E22" s="38" t="s">
        <v>5595</v>
      </c>
      <c r="F22" s="40" t="s">
        <v>5596</v>
      </c>
      <c r="G22" s="39" t="s">
        <v>5597</v>
      </c>
      <c r="H22" s="39" t="s">
        <v>5598</v>
      </c>
      <c r="I22" s="39" t="s">
        <v>5599</v>
      </c>
      <c r="J22" s="39" t="s">
        <v>5600</v>
      </c>
    </row>
    <row r="23" ht="26.25" customHeight="1">
      <c r="A23" s="12" t="s">
        <v>173</v>
      </c>
      <c r="B23" s="17">
        <v>2021.0</v>
      </c>
      <c r="C23" s="40" t="s">
        <v>20</v>
      </c>
      <c r="D23" s="40">
        <v>2647.0</v>
      </c>
      <c r="E23" s="38" t="s">
        <v>5601</v>
      </c>
      <c r="F23" s="40" t="s">
        <v>5602</v>
      </c>
      <c r="G23" s="39" t="s">
        <v>5603</v>
      </c>
      <c r="H23" s="39" t="s">
        <v>5240</v>
      </c>
      <c r="I23" s="39" t="s">
        <v>5578</v>
      </c>
      <c r="J23" s="39" t="s">
        <v>5604</v>
      </c>
    </row>
    <row r="24" ht="26.25" customHeight="1">
      <c r="A24" s="12" t="s">
        <v>178</v>
      </c>
      <c r="B24" s="17">
        <v>2021.0</v>
      </c>
      <c r="C24" s="35" t="s">
        <v>20</v>
      </c>
      <c r="D24" s="35">
        <v>2802.0</v>
      </c>
      <c r="E24" s="36" t="s">
        <v>5605</v>
      </c>
      <c r="F24" s="40" t="s">
        <v>5606</v>
      </c>
      <c r="G24" s="37" t="s">
        <v>5607</v>
      </c>
      <c r="H24" s="37" t="s">
        <v>5608</v>
      </c>
      <c r="I24" s="39" t="s">
        <v>5609</v>
      </c>
      <c r="J24" s="39" t="s">
        <v>5610</v>
      </c>
    </row>
    <row r="25" ht="26.25" customHeight="1">
      <c r="A25" s="12" t="s">
        <v>184</v>
      </c>
      <c r="B25" s="17">
        <v>2021.0</v>
      </c>
      <c r="C25" s="40" t="s">
        <v>20</v>
      </c>
      <c r="D25" s="40">
        <v>2556.0</v>
      </c>
      <c r="E25" s="38" t="s">
        <v>5611</v>
      </c>
      <c r="F25" s="40" t="s">
        <v>5612</v>
      </c>
      <c r="G25" s="39" t="s">
        <v>5613</v>
      </c>
      <c r="H25" s="39" t="s">
        <v>5614</v>
      </c>
      <c r="I25" s="39" t="s">
        <v>5516</v>
      </c>
      <c r="J25" s="39" t="s">
        <v>5615</v>
      </c>
    </row>
    <row r="26" ht="26.25" customHeight="1">
      <c r="A26" s="12" t="s">
        <v>190</v>
      </c>
      <c r="B26" s="17">
        <v>2021.0</v>
      </c>
      <c r="C26" s="40" t="s">
        <v>20</v>
      </c>
      <c r="D26" s="40">
        <v>2260.0</v>
      </c>
      <c r="E26" s="38" t="s">
        <v>5616</v>
      </c>
      <c r="F26" s="40" t="s">
        <v>5617</v>
      </c>
      <c r="G26" s="39" t="s">
        <v>5618</v>
      </c>
      <c r="H26" s="39" t="s">
        <v>5619</v>
      </c>
      <c r="I26" s="39" t="s">
        <v>5504</v>
      </c>
      <c r="J26" s="39" t="s">
        <v>5620</v>
      </c>
    </row>
    <row r="27" ht="26.25" customHeight="1">
      <c r="A27" s="12" t="s">
        <v>196</v>
      </c>
      <c r="B27" s="17">
        <v>2021.0</v>
      </c>
      <c r="C27" s="40" t="s">
        <v>21</v>
      </c>
      <c r="D27" s="40">
        <v>2976.0</v>
      </c>
      <c r="E27" s="38" t="s">
        <v>5621</v>
      </c>
      <c r="F27" s="40" t="s">
        <v>5622</v>
      </c>
      <c r="G27" s="39" t="s">
        <v>5623</v>
      </c>
      <c r="H27" s="39" t="s">
        <v>5624</v>
      </c>
      <c r="I27" s="39" t="s">
        <v>5625</v>
      </c>
      <c r="J27" s="39" t="s">
        <v>5626</v>
      </c>
    </row>
    <row r="28" ht="26.25" customHeight="1">
      <c r="A28" s="12" t="s">
        <v>202</v>
      </c>
      <c r="B28" s="17">
        <v>2021.0</v>
      </c>
      <c r="C28" s="35" t="s">
        <v>22</v>
      </c>
      <c r="D28" s="35">
        <v>3541.0</v>
      </c>
      <c r="E28" s="36" t="s">
        <v>5627</v>
      </c>
      <c r="F28" s="35" t="s">
        <v>5628</v>
      </c>
      <c r="G28" s="39" t="s">
        <v>5629</v>
      </c>
      <c r="H28" s="37" t="s">
        <v>5630</v>
      </c>
      <c r="I28" s="39" t="s">
        <v>5631</v>
      </c>
      <c r="J28" s="39" t="s">
        <v>5632</v>
      </c>
    </row>
    <row r="29" ht="26.25" customHeight="1">
      <c r="A29" s="12" t="s">
        <v>208</v>
      </c>
      <c r="B29" s="17">
        <v>2021.0</v>
      </c>
      <c r="C29" s="35" t="s">
        <v>22</v>
      </c>
      <c r="D29" s="35">
        <v>3829.0</v>
      </c>
      <c r="E29" s="36" t="s">
        <v>1428</v>
      </c>
      <c r="F29" s="40" t="s">
        <v>5633</v>
      </c>
      <c r="G29" s="39" t="s">
        <v>5634</v>
      </c>
      <c r="H29" s="39" t="s">
        <v>5635</v>
      </c>
      <c r="I29" s="39" t="s">
        <v>5636</v>
      </c>
      <c r="J29" s="39" t="s">
        <v>5637</v>
      </c>
    </row>
    <row r="30" ht="26.25" customHeight="1">
      <c r="A30" s="12" t="s">
        <v>213</v>
      </c>
      <c r="B30" s="17">
        <v>2021.0</v>
      </c>
      <c r="C30" s="35" t="s">
        <v>22</v>
      </c>
      <c r="D30" s="35">
        <v>3621.0</v>
      </c>
      <c r="E30" s="36" t="s">
        <v>5638</v>
      </c>
      <c r="F30" s="40" t="s">
        <v>5639</v>
      </c>
      <c r="G30" s="39" t="s">
        <v>5640</v>
      </c>
      <c r="H30" s="39" t="s">
        <v>5641</v>
      </c>
      <c r="I30" s="39" t="s">
        <v>5583</v>
      </c>
      <c r="J30" s="39" t="s">
        <v>5642</v>
      </c>
    </row>
    <row r="31" ht="26.25" customHeight="1">
      <c r="A31" s="12" t="s">
        <v>215</v>
      </c>
      <c r="B31" s="17">
        <v>2021.0</v>
      </c>
      <c r="C31" s="35" t="s">
        <v>22</v>
      </c>
      <c r="D31" s="35">
        <v>3778.0</v>
      </c>
      <c r="E31" s="36" t="s">
        <v>5643</v>
      </c>
      <c r="F31" s="40" t="s">
        <v>5644</v>
      </c>
      <c r="G31" s="39" t="s">
        <v>5645</v>
      </c>
      <c r="H31" s="39" t="s">
        <v>5646</v>
      </c>
      <c r="I31" s="39" t="s">
        <v>5589</v>
      </c>
      <c r="J31" s="39" t="s">
        <v>5647</v>
      </c>
    </row>
    <row r="32" ht="26.25" customHeight="1">
      <c r="A32" s="12" t="s">
        <v>354</v>
      </c>
      <c r="B32" s="17">
        <v>2021.0</v>
      </c>
      <c r="C32" s="35" t="s">
        <v>22</v>
      </c>
      <c r="D32" s="35">
        <v>2567.0</v>
      </c>
      <c r="E32" s="36" t="s">
        <v>5648</v>
      </c>
      <c r="F32" s="35" t="s">
        <v>5649</v>
      </c>
      <c r="G32" s="39" t="s">
        <v>5650</v>
      </c>
      <c r="H32" s="37" t="s">
        <v>5651</v>
      </c>
      <c r="I32" s="39" t="s">
        <v>5583</v>
      </c>
      <c r="J32" s="39" t="s">
        <v>5652</v>
      </c>
    </row>
    <row r="33" ht="26.25" customHeight="1">
      <c r="A33" s="12" t="s">
        <v>358</v>
      </c>
      <c r="B33" s="17">
        <v>2021.0</v>
      </c>
      <c r="C33" s="35" t="s">
        <v>22</v>
      </c>
      <c r="D33" s="35">
        <v>3857.0</v>
      </c>
      <c r="E33" s="36" t="s">
        <v>5653</v>
      </c>
      <c r="F33" s="40" t="s">
        <v>5654</v>
      </c>
      <c r="G33" s="39" t="s">
        <v>5655</v>
      </c>
      <c r="H33" s="39" t="s">
        <v>5656</v>
      </c>
      <c r="I33" s="39" t="s">
        <v>5516</v>
      </c>
      <c r="J33" s="39" t="s">
        <v>5657</v>
      </c>
    </row>
    <row r="34" ht="26.25" customHeight="1">
      <c r="A34" s="12" t="s">
        <v>360</v>
      </c>
      <c r="B34" s="17">
        <v>2021.0</v>
      </c>
      <c r="C34" s="35" t="s">
        <v>22</v>
      </c>
      <c r="D34" s="35">
        <v>3577.0</v>
      </c>
      <c r="E34" s="36" t="s">
        <v>5658</v>
      </c>
      <c r="F34" s="40" t="s">
        <v>5659</v>
      </c>
      <c r="G34" s="39" t="s">
        <v>5660</v>
      </c>
      <c r="H34" s="39" t="s">
        <v>5661</v>
      </c>
      <c r="I34" s="39" t="s">
        <v>5599</v>
      </c>
      <c r="J34" s="39" t="s">
        <v>5662</v>
      </c>
    </row>
    <row r="35" ht="26.25" customHeight="1">
      <c r="A35" s="12" t="s">
        <v>366</v>
      </c>
      <c r="B35" s="17">
        <v>2022.0</v>
      </c>
      <c r="C35" s="40" t="s">
        <v>11</v>
      </c>
      <c r="D35" s="40">
        <v>3848.0</v>
      </c>
      <c r="E35" s="38" t="s">
        <v>5663</v>
      </c>
      <c r="F35" s="40" t="s">
        <v>5664</v>
      </c>
      <c r="G35" s="36" t="s">
        <v>5665</v>
      </c>
      <c r="H35" s="39" t="s">
        <v>5666</v>
      </c>
      <c r="I35" s="39" t="s">
        <v>5538</v>
      </c>
      <c r="J35" s="39" t="s">
        <v>5667</v>
      </c>
    </row>
    <row r="36" ht="26.25" customHeight="1">
      <c r="A36" s="12" t="s">
        <v>372</v>
      </c>
      <c r="B36" s="17">
        <v>2022.0</v>
      </c>
      <c r="C36" s="40" t="s">
        <v>11</v>
      </c>
      <c r="D36" s="40">
        <v>3858.0</v>
      </c>
      <c r="E36" s="38" t="s">
        <v>5668</v>
      </c>
      <c r="F36" s="40" t="s">
        <v>5669</v>
      </c>
      <c r="G36" s="36" t="s">
        <v>5670</v>
      </c>
      <c r="H36" s="39" t="s">
        <v>5668</v>
      </c>
      <c r="I36" s="39" t="s">
        <v>5671</v>
      </c>
      <c r="J36" s="39" t="s">
        <v>5672</v>
      </c>
    </row>
    <row r="37" ht="26.25" customHeight="1">
      <c r="A37" s="12" t="s">
        <v>377</v>
      </c>
      <c r="B37" s="17">
        <v>2022.0</v>
      </c>
      <c r="C37" s="40" t="s">
        <v>11</v>
      </c>
      <c r="D37" s="40">
        <v>3860.0</v>
      </c>
      <c r="E37" s="38" t="s">
        <v>1805</v>
      </c>
      <c r="F37" s="40" t="s">
        <v>5673</v>
      </c>
      <c r="G37" s="36" t="s">
        <v>5674</v>
      </c>
      <c r="H37" s="39" t="s">
        <v>5675</v>
      </c>
      <c r="I37" s="39" t="s">
        <v>5676</v>
      </c>
      <c r="J37" s="39" t="s">
        <v>5677</v>
      </c>
    </row>
    <row r="38" ht="26.25" customHeight="1">
      <c r="A38" s="12" t="s">
        <v>383</v>
      </c>
      <c r="B38" s="17">
        <v>2022.0</v>
      </c>
      <c r="C38" s="40" t="s">
        <v>11</v>
      </c>
      <c r="D38" s="40">
        <v>4012.0</v>
      </c>
      <c r="E38" s="38" t="s">
        <v>5678</v>
      </c>
      <c r="F38" s="40" t="s">
        <v>5679</v>
      </c>
      <c r="G38" s="36" t="s">
        <v>5680</v>
      </c>
      <c r="H38" s="39" t="s">
        <v>5681</v>
      </c>
      <c r="I38" s="39" t="s">
        <v>5599</v>
      </c>
      <c r="J38" s="39" t="s">
        <v>5682</v>
      </c>
    </row>
    <row r="39" ht="26.25" customHeight="1">
      <c r="A39" s="12" t="s">
        <v>390</v>
      </c>
      <c r="B39" s="17">
        <v>2022.0</v>
      </c>
      <c r="C39" s="40" t="s">
        <v>11</v>
      </c>
      <c r="D39" s="35">
        <v>3095.0</v>
      </c>
      <c r="E39" s="36" t="s">
        <v>5683</v>
      </c>
      <c r="F39" s="35" t="s">
        <v>5684</v>
      </c>
      <c r="G39" s="36" t="s">
        <v>5685</v>
      </c>
      <c r="H39" s="37" t="s">
        <v>5686</v>
      </c>
      <c r="I39" s="39" t="s">
        <v>5510</v>
      </c>
      <c r="J39" s="39" t="s">
        <v>5687</v>
      </c>
    </row>
    <row r="40" ht="26.25" customHeight="1">
      <c r="A40" s="12" t="s">
        <v>393</v>
      </c>
      <c r="B40" s="17">
        <v>2022.0</v>
      </c>
      <c r="C40" s="40" t="s">
        <v>11</v>
      </c>
      <c r="D40" s="35">
        <v>4258.0</v>
      </c>
      <c r="E40" s="36" t="s">
        <v>5688</v>
      </c>
      <c r="F40" s="35" t="s">
        <v>5689</v>
      </c>
      <c r="G40" s="36" t="s">
        <v>5690</v>
      </c>
      <c r="H40" s="37" t="s">
        <v>5691</v>
      </c>
      <c r="I40" s="39" t="s">
        <v>5578</v>
      </c>
      <c r="J40" s="39" t="s">
        <v>5692</v>
      </c>
    </row>
    <row r="41" ht="26.25" customHeight="1">
      <c r="A41" s="12" t="s">
        <v>399</v>
      </c>
      <c r="B41" s="17">
        <v>2022.0</v>
      </c>
      <c r="C41" s="40" t="s">
        <v>12</v>
      </c>
      <c r="D41" s="40">
        <v>3450.0</v>
      </c>
      <c r="E41" s="38" t="s">
        <v>5693</v>
      </c>
      <c r="F41" s="40" t="s">
        <v>5694</v>
      </c>
      <c r="G41" s="36" t="s">
        <v>5695</v>
      </c>
      <c r="H41" s="39" t="s">
        <v>5696</v>
      </c>
      <c r="I41" s="39" t="s">
        <v>5697</v>
      </c>
      <c r="J41" s="39" t="s">
        <v>5698</v>
      </c>
    </row>
    <row r="42" ht="26.25" customHeight="1">
      <c r="A42" s="12" t="s">
        <v>404</v>
      </c>
      <c r="B42" s="17">
        <v>2022.0</v>
      </c>
      <c r="C42" s="40" t="s">
        <v>12</v>
      </c>
      <c r="D42" s="40">
        <v>4277.0</v>
      </c>
      <c r="E42" s="38" t="s">
        <v>5699</v>
      </c>
      <c r="F42" s="40" t="s">
        <v>5700</v>
      </c>
      <c r="G42" s="36" t="s">
        <v>5701</v>
      </c>
      <c r="H42" s="39" t="s">
        <v>5702</v>
      </c>
      <c r="I42" s="39" t="s">
        <v>5697</v>
      </c>
      <c r="J42" s="39" t="s">
        <v>5703</v>
      </c>
    </row>
    <row r="43" ht="26.25" customHeight="1">
      <c r="A43" s="12" t="s">
        <v>409</v>
      </c>
      <c r="B43" s="17">
        <v>2022.0</v>
      </c>
      <c r="C43" s="35" t="s">
        <v>12</v>
      </c>
      <c r="D43" s="35">
        <v>3621.0</v>
      </c>
      <c r="E43" s="36" t="s">
        <v>5638</v>
      </c>
      <c r="F43" s="40" t="s">
        <v>5639</v>
      </c>
      <c r="G43" s="36" t="s">
        <v>5640</v>
      </c>
      <c r="H43" s="39" t="s">
        <v>5704</v>
      </c>
      <c r="I43" s="39" t="s">
        <v>5583</v>
      </c>
      <c r="J43" s="39" t="s">
        <v>5642</v>
      </c>
    </row>
    <row r="44" ht="26.25" customHeight="1">
      <c r="A44" s="12" t="s">
        <v>415</v>
      </c>
      <c r="B44" s="17">
        <v>2022.0</v>
      </c>
      <c r="C44" s="35" t="s">
        <v>12</v>
      </c>
      <c r="D44" s="35">
        <v>3778.0</v>
      </c>
      <c r="E44" s="36" t="s">
        <v>5643</v>
      </c>
      <c r="F44" s="40" t="s">
        <v>5644</v>
      </c>
      <c r="G44" s="39" t="s">
        <v>5645</v>
      </c>
      <c r="H44" s="39" t="s">
        <v>5705</v>
      </c>
      <c r="I44" s="39" t="s">
        <v>5589</v>
      </c>
      <c r="J44" s="39" t="s">
        <v>5647</v>
      </c>
    </row>
    <row r="45" ht="26.25" customHeight="1">
      <c r="A45" s="12" t="s">
        <v>421</v>
      </c>
      <c r="B45" s="17">
        <v>2022.0</v>
      </c>
      <c r="C45" s="40" t="s">
        <v>12</v>
      </c>
      <c r="D45" s="40">
        <v>4363.0</v>
      </c>
      <c r="E45" s="38" t="s">
        <v>5706</v>
      </c>
      <c r="F45" s="40" t="s">
        <v>5707</v>
      </c>
      <c r="G45" s="39" t="s">
        <v>5708</v>
      </c>
      <c r="H45" s="39" t="s">
        <v>5709</v>
      </c>
      <c r="I45" s="39" t="s">
        <v>5609</v>
      </c>
      <c r="J45" s="39" t="s">
        <v>5710</v>
      </c>
    </row>
    <row r="46" ht="26.25" customHeight="1">
      <c r="A46" s="12" t="s">
        <v>426</v>
      </c>
      <c r="B46" s="17">
        <v>2022.0</v>
      </c>
      <c r="C46" s="40" t="s">
        <v>12</v>
      </c>
      <c r="D46" s="40">
        <v>4363.0</v>
      </c>
      <c r="E46" s="38" t="s">
        <v>5706</v>
      </c>
      <c r="F46" s="40" t="s">
        <v>5707</v>
      </c>
      <c r="G46" s="39" t="s">
        <v>5708</v>
      </c>
      <c r="H46" s="39" t="s">
        <v>5711</v>
      </c>
      <c r="I46" s="39" t="s">
        <v>5609</v>
      </c>
      <c r="J46" s="39" t="s">
        <v>5710</v>
      </c>
    </row>
    <row r="47" ht="26.25" customHeight="1">
      <c r="A47" s="12" t="s">
        <v>432</v>
      </c>
      <c r="B47" s="17">
        <v>2022.0</v>
      </c>
      <c r="C47" s="40" t="s">
        <v>12</v>
      </c>
      <c r="D47" s="40">
        <v>4363.0</v>
      </c>
      <c r="E47" s="38" t="s">
        <v>5706</v>
      </c>
      <c r="F47" s="40" t="s">
        <v>5707</v>
      </c>
      <c r="G47" s="39" t="s">
        <v>5708</v>
      </c>
      <c r="H47" s="39" t="s">
        <v>5712</v>
      </c>
      <c r="I47" s="39" t="s">
        <v>5609</v>
      </c>
      <c r="J47" s="39" t="s">
        <v>5710</v>
      </c>
    </row>
    <row r="48" ht="26.25" customHeight="1">
      <c r="A48" s="12" t="s">
        <v>437</v>
      </c>
      <c r="B48" s="17">
        <v>2022.0</v>
      </c>
      <c r="C48" s="40" t="s">
        <v>12</v>
      </c>
      <c r="D48" s="40">
        <v>4363.0</v>
      </c>
      <c r="E48" s="38" t="s">
        <v>5706</v>
      </c>
      <c r="F48" s="40" t="s">
        <v>5707</v>
      </c>
      <c r="G48" s="39" t="s">
        <v>5708</v>
      </c>
      <c r="H48" s="39" t="s">
        <v>5713</v>
      </c>
      <c r="I48" s="39" t="s">
        <v>5609</v>
      </c>
      <c r="J48" s="39" t="s">
        <v>5710</v>
      </c>
    </row>
    <row r="49" ht="26.25" customHeight="1">
      <c r="A49" s="12" t="s">
        <v>441</v>
      </c>
      <c r="B49" s="17">
        <v>2022.0</v>
      </c>
      <c r="C49" s="40" t="s">
        <v>12</v>
      </c>
      <c r="D49" s="40">
        <v>4339.0</v>
      </c>
      <c r="E49" s="38" t="s">
        <v>5714</v>
      </c>
      <c r="F49" s="40" t="s">
        <v>5715</v>
      </c>
      <c r="G49" s="39" t="s">
        <v>5716</v>
      </c>
      <c r="H49" s="39" t="s">
        <v>5717</v>
      </c>
      <c r="I49" s="39" t="s">
        <v>5516</v>
      </c>
      <c r="J49" s="39" t="s">
        <v>5718</v>
      </c>
    </row>
    <row r="50" ht="26.25" customHeight="1">
      <c r="A50" s="12" t="s">
        <v>445</v>
      </c>
      <c r="B50" s="17">
        <v>2022.0</v>
      </c>
      <c r="C50" s="40" t="s">
        <v>12</v>
      </c>
      <c r="D50" s="40">
        <v>4457.0</v>
      </c>
      <c r="E50" s="38" t="s">
        <v>5719</v>
      </c>
      <c r="F50" s="40" t="s">
        <v>5720</v>
      </c>
      <c r="G50" s="39" t="s">
        <v>5721</v>
      </c>
      <c r="H50" s="39" t="s">
        <v>5722</v>
      </c>
      <c r="I50" s="39" t="s">
        <v>5697</v>
      </c>
      <c r="J50" s="39" t="s">
        <v>5723</v>
      </c>
    </row>
    <row r="51" ht="26.25" customHeight="1">
      <c r="A51" s="12" t="s">
        <v>451</v>
      </c>
      <c r="B51" s="17">
        <v>2022.0</v>
      </c>
      <c r="C51" s="40" t="s">
        <v>12</v>
      </c>
      <c r="D51" s="40">
        <v>3914.0</v>
      </c>
      <c r="E51" s="38" t="s">
        <v>5724</v>
      </c>
      <c r="F51" s="40" t="s">
        <v>5725</v>
      </c>
      <c r="G51" s="39" t="s">
        <v>5726</v>
      </c>
      <c r="H51" s="39" t="s">
        <v>5727</v>
      </c>
      <c r="I51" s="39" t="s">
        <v>5516</v>
      </c>
      <c r="J51" s="39" t="s">
        <v>5728</v>
      </c>
    </row>
    <row r="52" ht="26.25" customHeight="1">
      <c r="A52" s="12" t="s">
        <v>457</v>
      </c>
      <c r="B52" s="17">
        <v>2022.0</v>
      </c>
      <c r="C52" s="40" t="s">
        <v>12</v>
      </c>
      <c r="D52" s="40">
        <v>4323.0</v>
      </c>
      <c r="E52" s="38" t="s">
        <v>5729</v>
      </c>
      <c r="F52" s="40" t="s">
        <v>5730</v>
      </c>
      <c r="G52" s="39" t="s">
        <v>5731</v>
      </c>
      <c r="H52" s="39" t="s">
        <v>5732</v>
      </c>
      <c r="I52" s="39" t="s">
        <v>5697</v>
      </c>
      <c r="J52" s="39" t="s">
        <v>5733</v>
      </c>
    </row>
    <row r="53" ht="26.25" customHeight="1">
      <c r="A53" s="12" t="s">
        <v>463</v>
      </c>
      <c r="B53" s="17">
        <v>2022.0</v>
      </c>
      <c r="C53" s="40" t="s">
        <v>12</v>
      </c>
      <c r="D53" s="40">
        <v>4539.0</v>
      </c>
      <c r="E53" s="38" t="s">
        <v>5734</v>
      </c>
      <c r="F53" s="40" t="s">
        <v>5735</v>
      </c>
      <c r="G53" s="39" t="s">
        <v>5736</v>
      </c>
      <c r="H53" s="39" t="s">
        <v>5734</v>
      </c>
      <c r="I53" s="39" t="s">
        <v>5589</v>
      </c>
      <c r="J53" s="39" t="s">
        <v>5737</v>
      </c>
    </row>
    <row r="54" ht="26.25" customHeight="1">
      <c r="A54" s="12" t="s">
        <v>468</v>
      </c>
      <c r="B54" s="17">
        <v>2022.0</v>
      </c>
      <c r="C54" s="40" t="s">
        <v>12</v>
      </c>
      <c r="D54" s="40">
        <v>4459.0</v>
      </c>
      <c r="E54" s="38" t="s">
        <v>5738</v>
      </c>
      <c r="F54" s="40" t="s">
        <v>5739</v>
      </c>
      <c r="G54" s="39" t="s">
        <v>5740</v>
      </c>
      <c r="H54" s="39" t="s">
        <v>5741</v>
      </c>
      <c r="I54" s="39" t="s">
        <v>5510</v>
      </c>
      <c r="J54" s="39" t="s">
        <v>5742</v>
      </c>
    </row>
    <row r="55" ht="26.25" customHeight="1">
      <c r="A55" s="12" t="s">
        <v>473</v>
      </c>
      <c r="B55" s="17">
        <v>2022.0</v>
      </c>
      <c r="C55" s="40" t="s">
        <v>12</v>
      </c>
      <c r="D55" s="40">
        <v>4344.0</v>
      </c>
      <c r="E55" s="38" t="s">
        <v>5743</v>
      </c>
      <c r="F55" s="40" t="s">
        <v>5744</v>
      </c>
      <c r="G55" s="39" t="s">
        <v>5745</v>
      </c>
      <c r="H55" s="39" t="s">
        <v>5746</v>
      </c>
      <c r="I55" s="39" t="s">
        <v>5583</v>
      </c>
      <c r="J55" s="39" t="s">
        <v>5747</v>
      </c>
    </row>
    <row r="56" ht="26.25" customHeight="1">
      <c r="A56" s="12" t="s">
        <v>479</v>
      </c>
      <c r="B56" s="17">
        <v>2022.0</v>
      </c>
      <c r="C56" s="40" t="s">
        <v>12</v>
      </c>
      <c r="D56" s="40">
        <v>4474.0</v>
      </c>
      <c r="E56" s="38" t="s">
        <v>5748</v>
      </c>
      <c r="F56" s="40" t="s">
        <v>5749</v>
      </c>
      <c r="G56" s="39" t="s">
        <v>5750</v>
      </c>
      <c r="H56" s="39" t="s">
        <v>5751</v>
      </c>
      <c r="I56" s="39" t="s">
        <v>5516</v>
      </c>
      <c r="J56" s="39" t="s">
        <v>5752</v>
      </c>
    </row>
    <row r="57" ht="26.25" customHeight="1">
      <c r="A57" s="12" t="s">
        <v>485</v>
      </c>
      <c r="B57" s="17">
        <v>2022.0</v>
      </c>
      <c r="C57" s="40" t="s">
        <v>12</v>
      </c>
      <c r="D57" s="40">
        <v>4343.0</v>
      </c>
      <c r="E57" s="38" t="s">
        <v>5753</v>
      </c>
      <c r="F57" s="40" t="s">
        <v>5754</v>
      </c>
      <c r="G57" s="39" t="s">
        <v>5755</v>
      </c>
      <c r="H57" s="38" t="s">
        <v>5756</v>
      </c>
      <c r="I57" s="39" t="s">
        <v>5757</v>
      </c>
      <c r="J57" s="39" t="s">
        <v>5758</v>
      </c>
    </row>
    <row r="58" ht="26.25" customHeight="1">
      <c r="A58" s="12" t="s">
        <v>487</v>
      </c>
      <c r="B58" s="17">
        <v>2022.0</v>
      </c>
      <c r="C58" s="40" t="s">
        <v>13</v>
      </c>
      <c r="D58" s="40">
        <v>3817.0</v>
      </c>
      <c r="E58" s="38" t="s">
        <v>5759</v>
      </c>
      <c r="F58" s="40" t="s">
        <v>5760</v>
      </c>
      <c r="G58" s="39" t="s">
        <v>5761</v>
      </c>
      <c r="H58" s="39" t="s">
        <v>5762</v>
      </c>
      <c r="I58" s="39" t="s">
        <v>5516</v>
      </c>
      <c r="J58" s="39" t="s">
        <v>5763</v>
      </c>
    </row>
    <row r="59" ht="26.25" customHeight="1">
      <c r="A59" s="12" t="s">
        <v>493</v>
      </c>
      <c r="B59" s="17">
        <v>2022.0</v>
      </c>
      <c r="C59" s="40" t="s">
        <v>13</v>
      </c>
      <c r="D59" s="40">
        <v>5239.0</v>
      </c>
      <c r="E59" s="38" t="s">
        <v>5764</v>
      </c>
      <c r="F59" s="40" t="s">
        <v>5765</v>
      </c>
      <c r="G59" s="39" t="s">
        <v>5766</v>
      </c>
      <c r="H59" s="39" t="s">
        <v>5767</v>
      </c>
      <c r="I59" s="39" t="s">
        <v>5757</v>
      </c>
      <c r="J59" s="39" t="s">
        <v>5768</v>
      </c>
    </row>
    <row r="60" ht="26.25" customHeight="1">
      <c r="A60" s="12" t="s">
        <v>498</v>
      </c>
      <c r="B60" s="17">
        <v>2022.0</v>
      </c>
      <c r="C60" s="40" t="s">
        <v>13</v>
      </c>
      <c r="D60" s="40">
        <v>4650.0</v>
      </c>
      <c r="E60" s="38" t="s">
        <v>5769</v>
      </c>
      <c r="F60" s="40" t="s">
        <v>5770</v>
      </c>
      <c r="G60" s="39" t="s">
        <v>5771</v>
      </c>
      <c r="H60" s="39" t="s">
        <v>5772</v>
      </c>
      <c r="I60" s="39" t="s">
        <v>5516</v>
      </c>
      <c r="J60" s="39" t="s">
        <v>5773</v>
      </c>
    </row>
    <row r="61" ht="26.25" customHeight="1">
      <c r="A61" s="12" t="s">
        <v>504</v>
      </c>
      <c r="B61" s="17">
        <v>2022.0</v>
      </c>
      <c r="C61" s="40" t="s">
        <v>13</v>
      </c>
      <c r="D61" s="40">
        <v>4918.0</v>
      </c>
      <c r="E61" s="38" t="s">
        <v>5774</v>
      </c>
      <c r="F61" s="40" t="s">
        <v>5775</v>
      </c>
      <c r="G61" s="39" t="s">
        <v>5776</v>
      </c>
      <c r="H61" s="39" t="s">
        <v>5777</v>
      </c>
      <c r="I61" s="39" t="s">
        <v>5778</v>
      </c>
      <c r="J61" s="120" t="s">
        <v>5779</v>
      </c>
    </row>
    <row r="62" ht="26.25" customHeight="1">
      <c r="A62" s="12" t="s">
        <v>797</v>
      </c>
      <c r="B62" s="17">
        <v>2022.0</v>
      </c>
      <c r="C62" s="40" t="s">
        <v>14</v>
      </c>
      <c r="D62" s="17">
        <v>5147.0</v>
      </c>
      <c r="E62" s="38" t="s">
        <v>5780</v>
      </c>
      <c r="F62" s="40" t="s">
        <v>5781</v>
      </c>
      <c r="G62" s="39" t="s">
        <v>5782</v>
      </c>
      <c r="H62" s="38" t="s">
        <v>5783</v>
      </c>
      <c r="I62" s="39" t="s">
        <v>5757</v>
      </c>
      <c r="J62" s="39" t="s">
        <v>5784</v>
      </c>
    </row>
    <row r="63" ht="26.25" customHeight="1">
      <c r="A63" s="12" t="s">
        <v>803</v>
      </c>
      <c r="B63" s="17">
        <v>2022.0</v>
      </c>
      <c r="C63" s="40" t="s">
        <v>14</v>
      </c>
      <c r="D63" s="40">
        <v>4929.0</v>
      </c>
      <c r="E63" s="38" t="s">
        <v>5785</v>
      </c>
      <c r="F63" s="40" t="s">
        <v>5786</v>
      </c>
      <c r="G63" s="39" t="s">
        <v>5787</v>
      </c>
      <c r="H63" s="39" t="s">
        <v>5788</v>
      </c>
      <c r="I63" s="39" t="s">
        <v>5789</v>
      </c>
      <c r="J63" s="39" t="s">
        <v>5790</v>
      </c>
    </row>
    <row r="64" ht="26.25" customHeight="1">
      <c r="A64" s="12" t="s">
        <v>807</v>
      </c>
      <c r="B64" s="17">
        <v>2022.0</v>
      </c>
      <c r="C64" s="40" t="s">
        <v>14</v>
      </c>
      <c r="D64" s="40">
        <v>5080.0</v>
      </c>
      <c r="E64" s="38" t="s">
        <v>5791</v>
      </c>
      <c r="F64" s="40" t="s">
        <v>5792</v>
      </c>
      <c r="G64" s="39" t="s">
        <v>5793</v>
      </c>
      <c r="H64" s="39" t="s">
        <v>5794</v>
      </c>
      <c r="I64" s="39" t="s">
        <v>5516</v>
      </c>
      <c r="J64" s="39" t="s">
        <v>5795</v>
      </c>
    </row>
    <row r="65" ht="26.25" customHeight="1">
      <c r="A65" s="12" t="s">
        <v>811</v>
      </c>
      <c r="B65" s="17">
        <v>2022.0</v>
      </c>
      <c r="C65" s="40" t="s">
        <v>15</v>
      </c>
      <c r="D65" s="40">
        <v>4343.0</v>
      </c>
      <c r="E65" s="38" t="s">
        <v>5753</v>
      </c>
      <c r="F65" s="40" t="s">
        <v>5796</v>
      </c>
      <c r="G65" s="39" t="s">
        <v>5755</v>
      </c>
      <c r="H65" s="38" t="s">
        <v>5797</v>
      </c>
      <c r="I65" s="39" t="s">
        <v>5757</v>
      </c>
      <c r="J65" s="39" t="s">
        <v>5758</v>
      </c>
    </row>
    <row r="66" ht="26.25" customHeight="1">
      <c r="A66" s="12" t="s">
        <v>817</v>
      </c>
      <c r="B66" s="17">
        <v>2022.0</v>
      </c>
      <c r="C66" s="40" t="s">
        <v>15</v>
      </c>
      <c r="D66" s="40">
        <v>5285.0</v>
      </c>
      <c r="E66" s="38" t="s">
        <v>5798</v>
      </c>
      <c r="F66" s="40" t="s">
        <v>5799</v>
      </c>
      <c r="G66" s="37"/>
      <c r="H66" s="39" t="s">
        <v>5800</v>
      </c>
      <c r="I66" s="39" t="s">
        <v>5527</v>
      </c>
      <c r="J66" s="39" t="s">
        <v>5801</v>
      </c>
    </row>
    <row r="67" ht="26.25" customHeight="1">
      <c r="A67" s="12" t="s">
        <v>823</v>
      </c>
      <c r="B67" s="17">
        <v>2022.0</v>
      </c>
      <c r="C67" s="40" t="s">
        <v>15</v>
      </c>
      <c r="D67" s="40">
        <v>5762.0</v>
      </c>
      <c r="E67" s="38" t="s">
        <v>5802</v>
      </c>
      <c r="F67" s="40" t="s">
        <v>5803</v>
      </c>
      <c r="G67" s="39" t="s">
        <v>5804</v>
      </c>
      <c r="H67" s="39" t="s">
        <v>5805</v>
      </c>
      <c r="I67" s="39" t="s">
        <v>5806</v>
      </c>
      <c r="J67" s="39" t="s">
        <v>5807</v>
      </c>
    </row>
    <row r="68" ht="26.25" customHeight="1">
      <c r="A68" s="12" t="s">
        <v>829</v>
      </c>
      <c r="B68" s="17">
        <v>2022.0</v>
      </c>
      <c r="C68" s="40" t="s">
        <v>15</v>
      </c>
      <c r="D68" s="17">
        <v>5848.0</v>
      </c>
      <c r="E68" s="38" t="s">
        <v>5808</v>
      </c>
      <c r="F68" s="40" t="s">
        <v>5809</v>
      </c>
      <c r="G68" s="37"/>
      <c r="H68" s="39" t="s">
        <v>5810</v>
      </c>
      <c r="I68" s="39" t="s">
        <v>5578</v>
      </c>
      <c r="J68" s="39" t="s">
        <v>5811</v>
      </c>
    </row>
    <row r="69" ht="26.25" customHeight="1">
      <c r="A69" s="12" t="s">
        <v>831</v>
      </c>
      <c r="B69" s="17">
        <v>2022.0</v>
      </c>
      <c r="C69" s="40" t="s">
        <v>5812</v>
      </c>
      <c r="D69" s="40">
        <v>4343.0</v>
      </c>
      <c r="E69" s="38" t="s">
        <v>5753</v>
      </c>
      <c r="F69" s="40" t="s">
        <v>5813</v>
      </c>
      <c r="G69" s="39" t="s">
        <v>5755</v>
      </c>
      <c r="H69" s="38" t="s">
        <v>5814</v>
      </c>
      <c r="I69" s="39" t="s">
        <v>5757</v>
      </c>
      <c r="J69" s="39" t="s">
        <v>5758</v>
      </c>
    </row>
    <row r="70" ht="26.25" customHeight="1">
      <c r="A70" s="12" t="s">
        <v>833</v>
      </c>
      <c r="B70" s="17">
        <v>2022.0</v>
      </c>
      <c r="C70" s="40" t="s">
        <v>16</v>
      </c>
      <c r="D70" s="40">
        <v>4343.0</v>
      </c>
      <c r="E70" s="38" t="s">
        <v>5753</v>
      </c>
      <c r="F70" s="40" t="s">
        <v>5815</v>
      </c>
      <c r="G70" s="39" t="s">
        <v>5755</v>
      </c>
      <c r="H70" s="38" t="s">
        <v>5816</v>
      </c>
      <c r="I70" s="39" t="s">
        <v>5757</v>
      </c>
      <c r="J70" s="39" t="s">
        <v>5758</v>
      </c>
    </row>
    <row r="71" ht="26.25" customHeight="1">
      <c r="A71" s="12" t="s">
        <v>835</v>
      </c>
      <c r="B71" s="17">
        <v>2022.0</v>
      </c>
      <c r="C71" s="40" t="s">
        <v>16</v>
      </c>
      <c r="D71" s="40">
        <v>6022.0</v>
      </c>
      <c r="E71" s="38" t="s">
        <v>5817</v>
      </c>
      <c r="F71" s="41" t="s">
        <v>5818</v>
      </c>
      <c r="G71" s="39" t="s">
        <v>5819</v>
      </c>
      <c r="H71" s="39" t="s">
        <v>5820</v>
      </c>
      <c r="I71" s="39" t="s">
        <v>5572</v>
      </c>
      <c r="J71" s="39" t="s">
        <v>5821</v>
      </c>
    </row>
    <row r="72" ht="26.25" customHeight="1">
      <c r="A72" s="12" t="s">
        <v>840</v>
      </c>
      <c r="B72" s="17">
        <v>2022.0</v>
      </c>
      <c r="C72" s="40" t="s">
        <v>16</v>
      </c>
      <c r="D72" s="40">
        <v>4535.0</v>
      </c>
      <c r="E72" s="38" t="s">
        <v>5822</v>
      </c>
      <c r="F72" s="41" t="s">
        <v>5823</v>
      </c>
      <c r="G72" s="39" t="s">
        <v>5824</v>
      </c>
      <c r="H72" s="39" t="s">
        <v>5825</v>
      </c>
      <c r="I72" s="39" t="s">
        <v>5583</v>
      </c>
      <c r="J72" s="39" t="s">
        <v>5826</v>
      </c>
    </row>
    <row r="73" ht="26.25" customHeight="1">
      <c r="A73" s="12" t="s">
        <v>846</v>
      </c>
      <c r="B73" s="17">
        <v>2022.0</v>
      </c>
      <c r="C73" s="40" t="s">
        <v>16</v>
      </c>
      <c r="D73" s="40">
        <v>6031.0</v>
      </c>
      <c r="E73" s="38" t="s">
        <v>5827</v>
      </c>
      <c r="F73" s="41" t="s">
        <v>5828</v>
      </c>
      <c r="G73" s="39" t="s">
        <v>5829</v>
      </c>
      <c r="H73" s="39" t="s">
        <v>5830</v>
      </c>
      <c r="I73" s="39" t="s">
        <v>5516</v>
      </c>
      <c r="J73" s="39" t="s">
        <v>5831</v>
      </c>
    </row>
    <row r="74" ht="26.25" customHeight="1">
      <c r="A74" s="12" t="s">
        <v>849</v>
      </c>
      <c r="B74" s="17">
        <v>2022.0</v>
      </c>
      <c r="C74" s="40" t="s">
        <v>17</v>
      </c>
      <c r="D74" s="40">
        <v>6285.0</v>
      </c>
      <c r="E74" s="38" t="s">
        <v>5832</v>
      </c>
      <c r="F74" s="41" t="s">
        <v>5833</v>
      </c>
      <c r="G74" s="37"/>
      <c r="H74" s="39" t="s">
        <v>5834</v>
      </c>
      <c r="I74" s="39" t="s">
        <v>5835</v>
      </c>
      <c r="J74" s="39" t="s">
        <v>5836</v>
      </c>
    </row>
    <row r="75" ht="26.25" customHeight="1">
      <c r="A75" s="12" t="s">
        <v>854</v>
      </c>
      <c r="B75" s="17">
        <v>2022.0</v>
      </c>
      <c r="C75" s="40" t="s">
        <v>18</v>
      </c>
      <c r="D75" s="40">
        <v>4918.0</v>
      </c>
      <c r="E75" s="38" t="s">
        <v>5774</v>
      </c>
      <c r="F75" s="40" t="s">
        <v>5775</v>
      </c>
      <c r="G75" s="39" t="s">
        <v>5776</v>
      </c>
      <c r="H75" s="39" t="s">
        <v>5837</v>
      </c>
      <c r="I75" s="39" t="s">
        <v>5778</v>
      </c>
      <c r="J75" s="120" t="s">
        <v>5779</v>
      </c>
    </row>
    <row r="76" ht="26.25" customHeight="1">
      <c r="A76" s="12" t="s">
        <v>860</v>
      </c>
      <c r="B76" s="17">
        <v>2022.0</v>
      </c>
      <c r="C76" s="40" t="s">
        <v>18</v>
      </c>
      <c r="D76" s="40">
        <v>3848.0</v>
      </c>
      <c r="E76" s="38" t="s">
        <v>5663</v>
      </c>
      <c r="F76" s="40" t="s">
        <v>5664</v>
      </c>
      <c r="G76" s="36" t="s">
        <v>5665</v>
      </c>
      <c r="H76" s="39" t="s">
        <v>5838</v>
      </c>
      <c r="I76" s="39" t="s">
        <v>5538</v>
      </c>
      <c r="J76" s="39" t="s">
        <v>5667</v>
      </c>
    </row>
    <row r="77" ht="26.25" customHeight="1">
      <c r="A77" s="12" t="s">
        <v>866</v>
      </c>
      <c r="B77" s="17">
        <v>2022.0</v>
      </c>
      <c r="C77" s="40" t="s">
        <v>18</v>
      </c>
      <c r="D77" s="40">
        <v>6348.0</v>
      </c>
      <c r="E77" s="38" t="s">
        <v>5839</v>
      </c>
      <c r="F77" s="41" t="s">
        <v>5840</v>
      </c>
      <c r="G77" s="39" t="s">
        <v>5841</v>
      </c>
      <c r="H77" s="39" t="s">
        <v>5842</v>
      </c>
      <c r="I77" s="39" t="s">
        <v>5843</v>
      </c>
      <c r="J77" s="39" t="s">
        <v>5844</v>
      </c>
    </row>
    <row r="78" ht="26.25" customHeight="1">
      <c r="A78" s="12" t="s">
        <v>869</v>
      </c>
      <c r="B78" s="17">
        <v>2022.0</v>
      </c>
      <c r="C78" s="40" t="s">
        <v>19</v>
      </c>
      <c r="D78" s="40">
        <v>4777.0</v>
      </c>
      <c r="E78" s="38" t="s">
        <v>5845</v>
      </c>
      <c r="F78" s="40" t="s">
        <v>5846</v>
      </c>
      <c r="G78" s="39" t="s">
        <v>5847</v>
      </c>
      <c r="H78" s="39" t="s">
        <v>5848</v>
      </c>
      <c r="I78" s="39" t="s">
        <v>5778</v>
      </c>
      <c r="J78" s="39" t="s">
        <v>5849</v>
      </c>
    </row>
    <row r="79" ht="26.25" customHeight="1">
      <c r="A79" s="12" t="s">
        <v>875</v>
      </c>
      <c r="B79" s="17">
        <v>2022.0</v>
      </c>
      <c r="C79" s="40" t="s">
        <v>19</v>
      </c>
      <c r="D79" s="40">
        <v>4277.0</v>
      </c>
      <c r="E79" s="38" t="s">
        <v>5699</v>
      </c>
      <c r="F79" s="40" t="s">
        <v>5700</v>
      </c>
      <c r="G79" s="36" t="s">
        <v>5701</v>
      </c>
      <c r="H79" s="39" t="s">
        <v>5850</v>
      </c>
      <c r="I79" s="39" t="s">
        <v>5697</v>
      </c>
      <c r="J79" s="39" t="s">
        <v>5703</v>
      </c>
    </row>
    <row r="80" ht="26.25" customHeight="1">
      <c r="A80" s="12" t="s">
        <v>880</v>
      </c>
      <c r="B80" s="17">
        <v>2022.0</v>
      </c>
      <c r="C80" s="40" t="s">
        <v>19</v>
      </c>
      <c r="D80" s="40">
        <v>6611.0</v>
      </c>
      <c r="E80" s="38" t="s">
        <v>5851</v>
      </c>
      <c r="F80" s="41" t="s">
        <v>5852</v>
      </c>
      <c r="G80" s="36" t="s">
        <v>5853</v>
      </c>
      <c r="H80" s="39" t="s">
        <v>5854</v>
      </c>
      <c r="I80" s="39" t="s">
        <v>5578</v>
      </c>
      <c r="J80" s="39" t="s">
        <v>5855</v>
      </c>
    </row>
    <row r="81" ht="26.25" customHeight="1">
      <c r="A81" s="12" t="s">
        <v>887</v>
      </c>
      <c r="B81" s="17">
        <v>2022.0</v>
      </c>
      <c r="C81" s="40" t="s">
        <v>20</v>
      </c>
      <c r="D81" s="17">
        <v>5147.0</v>
      </c>
      <c r="E81" s="36" t="s">
        <v>5780</v>
      </c>
      <c r="F81" s="43" t="s">
        <v>5856</v>
      </c>
      <c r="G81" s="36" t="s">
        <v>5782</v>
      </c>
      <c r="H81" s="38" t="s">
        <v>5857</v>
      </c>
      <c r="I81" s="38" t="s">
        <v>5858</v>
      </c>
      <c r="J81" s="39" t="s">
        <v>5784</v>
      </c>
    </row>
    <row r="82" ht="26.25" customHeight="1">
      <c r="A82" s="12" t="s">
        <v>889</v>
      </c>
      <c r="B82" s="17">
        <v>2022.0</v>
      </c>
      <c r="C82" s="40" t="s">
        <v>20</v>
      </c>
      <c r="D82" s="40">
        <v>4343.0</v>
      </c>
      <c r="E82" s="38" t="s">
        <v>5753</v>
      </c>
      <c r="F82" s="40" t="s">
        <v>5859</v>
      </c>
      <c r="G82" s="39" t="s">
        <v>5755</v>
      </c>
      <c r="H82" s="38" t="s">
        <v>5860</v>
      </c>
      <c r="I82" s="39" t="s">
        <v>5757</v>
      </c>
      <c r="J82" s="39" t="s">
        <v>5758</v>
      </c>
    </row>
    <row r="83" ht="26.25" customHeight="1">
      <c r="A83" s="12" t="s">
        <v>891</v>
      </c>
      <c r="B83" s="17">
        <v>2022.0</v>
      </c>
      <c r="C83" s="40" t="s">
        <v>22</v>
      </c>
      <c r="D83" s="40">
        <v>7674.0</v>
      </c>
      <c r="E83" s="38" t="s">
        <v>258</v>
      </c>
      <c r="F83" s="41" t="s">
        <v>5861</v>
      </c>
      <c r="G83" s="39" t="s">
        <v>5862</v>
      </c>
      <c r="H83" s="39" t="s">
        <v>5863</v>
      </c>
      <c r="I83" s="39" t="s">
        <v>5510</v>
      </c>
      <c r="J83" s="39" t="s">
        <v>5864</v>
      </c>
    </row>
    <row r="84" ht="26.25" customHeight="1">
      <c r="A84" s="12" t="s">
        <v>896</v>
      </c>
      <c r="B84" s="17">
        <v>2022.0</v>
      </c>
      <c r="C84" s="40" t="s">
        <v>22</v>
      </c>
      <c r="D84" s="40">
        <v>4960.0</v>
      </c>
      <c r="E84" s="38" t="s">
        <v>5865</v>
      </c>
      <c r="F84" s="41" t="s">
        <v>5866</v>
      </c>
      <c r="G84" s="39" t="s">
        <v>5867</v>
      </c>
      <c r="H84" s="39" t="s">
        <v>5868</v>
      </c>
      <c r="I84" s="39" t="s">
        <v>5625</v>
      </c>
      <c r="J84" s="39" t="s">
        <v>5869</v>
      </c>
    </row>
    <row r="85" ht="26.25" customHeight="1">
      <c r="A85" s="12" t="s">
        <v>901</v>
      </c>
      <c r="B85" s="17">
        <v>2022.0</v>
      </c>
      <c r="C85" s="40" t="s">
        <v>22</v>
      </c>
      <c r="D85" s="40">
        <v>7815.0</v>
      </c>
      <c r="E85" s="38" t="s">
        <v>5870</v>
      </c>
      <c r="F85" s="41" t="s">
        <v>5871</v>
      </c>
      <c r="G85" s="39" t="s">
        <v>5872</v>
      </c>
      <c r="H85" s="39" t="s">
        <v>5873</v>
      </c>
      <c r="I85" s="39" t="s">
        <v>5609</v>
      </c>
      <c r="J85" s="39" t="s">
        <v>5874</v>
      </c>
    </row>
    <row r="86" ht="26.25" customHeight="1">
      <c r="A86" s="12" t="s">
        <v>907</v>
      </c>
      <c r="B86" s="17">
        <v>2022.0</v>
      </c>
      <c r="C86" s="40" t="s">
        <v>22</v>
      </c>
      <c r="D86" s="40">
        <v>7627.0</v>
      </c>
      <c r="E86" s="38" t="s">
        <v>5875</v>
      </c>
      <c r="F86" s="41" t="s">
        <v>5876</v>
      </c>
      <c r="G86" s="37"/>
      <c r="H86" s="39" t="s">
        <v>5875</v>
      </c>
      <c r="I86" s="39" t="s">
        <v>5877</v>
      </c>
      <c r="J86" s="39" t="s">
        <v>5878</v>
      </c>
    </row>
    <row r="87" ht="26.25" customHeight="1">
      <c r="A87" s="12" t="s">
        <v>913</v>
      </c>
      <c r="B87" s="17">
        <v>2023.0</v>
      </c>
      <c r="C87" s="40" t="s">
        <v>11</v>
      </c>
      <c r="D87" s="40">
        <v>3848.0</v>
      </c>
      <c r="E87" s="38" t="s">
        <v>5663</v>
      </c>
      <c r="F87" s="40" t="s">
        <v>5664</v>
      </c>
      <c r="G87" s="36" t="s">
        <v>5665</v>
      </c>
      <c r="H87" s="39" t="s">
        <v>5879</v>
      </c>
      <c r="I87" s="39" t="s">
        <v>5538</v>
      </c>
      <c r="J87" s="39" t="s">
        <v>5667</v>
      </c>
    </row>
    <row r="88" ht="26.25" customHeight="1">
      <c r="A88" s="12" t="s">
        <v>919</v>
      </c>
      <c r="B88" s="17">
        <v>2023.0</v>
      </c>
      <c r="C88" s="40" t="s">
        <v>11</v>
      </c>
      <c r="D88" s="40">
        <v>6488.0</v>
      </c>
      <c r="E88" s="38" t="s">
        <v>5880</v>
      </c>
      <c r="F88" s="41" t="s">
        <v>5881</v>
      </c>
      <c r="G88" s="36" t="s">
        <v>5882</v>
      </c>
      <c r="H88" s="39" t="s">
        <v>5883</v>
      </c>
      <c r="I88" s="39" t="s">
        <v>5835</v>
      </c>
      <c r="J88" s="39" t="s">
        <v>5884</v>
      </c>
    </row>
    <row r="89" ht="26.25" customHeight="1">
      <c r="A89" s="12" t="s">
        <v>924</v>
      </c>
      <c r="B89" s="17">
        <v>2023.0</v>
      </c>
      <c r="C89" s="40" t="s">
        <v>11</v>
      </c>
      <c r="D89" s="17">
        <v>7885.0</v>
      </c>
      <c r="E89" s="38" t="s">
        <v>5885</v>
      </c>
      <c r="F89" s="41" t="s">
        <v>5886</v>
      </c>
      <c r="G89" s="36" t="s">
        <v>5887</v>
      </c>
      <c r="H89" s="39" t="s">
        <v>5888</v>
      </c>
      <c r="I89" s="39" t="s">
        <v>5516</v>
      </c>
      <c r="J89" s="39" t="s">
        <v>5889</v>
      </c>
    </row>
    <row r="90" ht="26.25" customHeight="1">
      <c r="A90" s="12" t="s">
        <v>930</v>
      </c>
      <c r="B90" s="17">
        <v>2023.0</v>
      </c>
      <c r="C90" s="40" t="s">
        <v>12</v>
      </c>
      <c r="D90" s="40">
        <v>8248.0</v>
      </c>
      <c r="E90" s="38" t="s">
        <v>5890</v>
      </c>
      <c r="F90" s="41" t="s">
        <v>5891</v>
      </c>
      <c r="G90" s="39" t="s">
        <v>5892</v>
      </c>
      <c r="H90" s="39" t="s">
        <v>5893</v>
      </c>
      <c r="I90" s="39" t="s">
        <v>5789</v>
      </c>
      <c r="J90" s="39" t="s">
        <v>5894</v>
      </c>
    </row>
    <row r="91" ht="26.25" customHeight="1">
      <c r="A91" s="12" t="s">
        <v>935</v>
      </c>
      <c r="B91" s="17">
        <v>2023.0</v>
      </c>
      <c r="C91" s="40" t="s">
        <v>12</v>
      </c>
      <c r="D91" s="40">
        <v>4343.0</v>
      </c>
      <c r="E91" s="38" t="s">
        <v>5753</v>
      </c>
      <c r="F91" s="40" t="s">
        <v>5895</v>
      </c>
      <c r="G91" s="39" t="s">
        <v>5755</v>
      </c>
      <c r="H91" s="38" t="s">
        <v>5896</v>
      </c>
      <c r="I91" s="39" t="s">
        <v>5757</v>
      </c>
      <c r="J91" s="39" t="s">
        <v>5758</v>
      </c>
    </row>
    <row r="92" ht="26.25" customHeight="1">
      <c r="A92" s="12" t="s">
        <v>941</v>
      </c>
      <c r="B92" s="17">
        <v>2023.0</v>
      </c>
      <c r="C92" s="40" t="s">
        <v>12</v>
      </c>
      <c r="D92" s="40">
        <v>6611.0</v>
      </c>
      <c r="E92" s="38" t="s">
        <v>5851</v>
      </c>
      <c r="F92" s="41" t="s">
        <v>5852</v>
      </c>
      <c r="G92" s="39" t="s">
        <v>5853</v>
      </c>
      <c r="H92" s="38" t="s">
        <v>5897</v>
      </c>
      <c r="I92" s="39" t="s">
        <v>5578</v>
      </c>
      <c r="J92" s="37"/>
    </row>
    <row r="93" ht="26.25" customHeight="1">
      <c r="A93" s="12" t="s">
        <v>947</v>
      </c>
      <c r="B93" s="17">
        <v>2023.0</v>
      </c>
      <c r="C93" s="40" t="s">
        <v>12</v>
      </c>
      <c r="D93" s="40">
        <v>8395.0</v>
      </c>
      <c r="E93" s="38" t="s">
        <v>704</v>
      </c>
      <c r="F93" s="41" t="s">
        <v>5898</v>
      </c>
      <c r="G93" s="39" t="s">
        <v>5899</v>
      </c>
      <c r="H93" s="38" t="s">
        <v>704</v>
      </c>
      <c r="I93" s="39" t="s">
        <v>5583</v>
      </c>
      <c r="J93" s="39" t="s">
        <v>5900</v>
      </c>
    </row>
    <row r="94" ht="26.25" customHeight="1">
      <c r="A94" s="12" t="s">
        <v>951</v>
      </c>
      <c r="B94" s="17">
        <v>2023.0</v>
      </c>
      <c r="C94" s="40" t="s">
        <v>15</v>
      </c>
      <c r="D94" s="40">
        <v>8581.0</v>
      </c>
      <c r="E94" s="36" t="s">
        <v>5901</v>
      </c>
      <c r="F94" s="41" t="s">
        <v>5902</v>
      </c>
      <c r="G94" s="39" t="s">
        <v>5903</v>
      </c>
      <c r="H94" s="39" t="s">
        <v>5904</v>
      </c>
      <c r="I94" s="39" t="s">
        <v>5566</v>
      </c>
      <c r="J94" s="39" t="s">
        <v>5905</v>
      </c>
    </row>
    <row r="95" ht="26.25" customHeight="1">
      <c r="A95" s="12" t="s">
        <v>953</v>
      </c>
      <c r="B95" s="17">
        <v>2023.0</v>
      </c>
      <c r="C95" s="40" t="s">
        <v>16</v>
      </c>
      <c r="D95" s="40">
        <v>9421.0</v>
      </c>
      <c r="E95" s="38" t="s">
        <v>5906</v>
      </c>
      <c r="F95" s="41" t="s">
        <v>5907</v>
      </c>
      <c r="G95" s="37"/>
      <c r="H95" s="39" t="s">
        <v>5908</v>
      </c>
      <c r="I95" s="39" t="s">
        <v>5516</v>
      </c>
      <c r="J95" s="39" t="s">
        <v>5909</v>
      </c>
    </row>
    <row r="96" ht="26.25" customHeight="1">
      <c r="A96" s="12" t="s">
        <v>959</v>
      </c>
      <c r="B96" s="17">
        <v>2023.0</v>
      </c>
      <c r="C96" s="40" t="s">
        <v>16</v>
      </c>
      <c r="D96" s="40">
        <v>9247.0</v>
      </c>
      <c r="E96" s="38" t="s">
        <v>5910</v>
      </c>
      <c r="F96" s="41" t="s">
        <v>5911</v>
      </c>
      <c r="G96" s="39" t="s">
        <v>5912</v>
      </c>
      <c r="H96" s="39" t="s">
        <v>5913</v>
      </c>
      <c r="I96" s="39" t="s">
        <v>5516</v>
      </c>
      <c r="J96" s="39" t="s">
        <v>5914</v>
      </c>
    </row>
    <row r="97" ht="26.25" customHeight="1">
      <c r="A97" s="12" t="s">
        <v>965</v>
      </c>
      <c r="B97" s="17">
        <v>2023.0</v>
      </c>
      <c r="C97" s="40" t="s">
        <v>16</v>
      </c>
      <c r="D97" s="40">
        <v>4343.0</v>
      </c>
      <c r="E97" s="38" t="s">
        <v>5753</v>
      </c>
      <c r="F97" s="40" t="s">
        <v>5915</v>
      </c>
      <c r="G97" s="39" t="s">
        <v>5755</v>
      </c>
      <c r="H97" s="36" t="s">
        <v>5916</v>
      </c>
      <c r="I97" s="39" t="s">
        <v>5757</v>
      </c>
      <c r="J97" s="39" t="s">
        <v>5758</v>
      </c>
    </row>
    <row r="98" ht="26.25" customHeight="1">
      <c r="A98" s="12" t="s">
        <v>967</v>
      </c>
      <c r="B98" s="17">
        <v>2023.0</v>
      </c>
      <c r="C98" s="40" t="s">
        <v>17</v>
      </c>
      <c r="D98" s="40">
        <v>9179.0</v>
      </c>
      <c r="E98" s="38" t="s">
        <v>5917</v>
      </c>
      <c r="F98" s="41" t="s">
        <v>5918</v>
      </c>
      <c r="G98" s="39" t="s">
        <v>5919</v>
      </c>
      <c r="H98" s="36" t="s">
        <v>5143</v>
      </c>
      <c r="I98" s="39" t="s">
        <v>5757</v>
      </c>
      <c r="J98" s="39" t="s">
        <v>5920</v>
      </c>
    </row>
    <row r="99" ht="26.25" customHeight="1">
      <c r="A99" s="12" t="s">
        <v>971</v>
      </c>
      <c r="B99" s="17">
        <v>2023.0</v>
      </c>
      <c r="C99" s="40" t="s">
        <v>18</v>
      </c>
      <c r="D99" s="40">
        <v>4343.0</v>
      </c>
      <c r="E99" s="38" t="s">
        <v>5753</v>
      </c>
      <c r="F99" s="40" t="s">
        <v>5921</v>
      </c>
      <c r="G99" s="39" t="s">
        <v>5755</v>
      </c>
      <c r="H99" s="38" t="s">
        <v>5922</v>
      </c>
      <c r="I99" s="39" t="s">
        <v>5757</v>
      </c>
      <c r="J99" s="39" t="s">
        <v>5758</v>
      </c>
    </row>
    <row r="100" ht="26.25" customHeight="1">
      <c r="A100" s="12" t="s">
        <v>978</v>
      </c>
      <c r="B100" s="17">
        <v>2023.0</v>
      </c>
      <c r="C100" s="40" t="s">
        <v>18</v>
      </c>
      <c r="D100" s="40">
        <v>9360.0</v>
      </c>
      <c r="E100" s="38" t="s">
        <v>5923</v>
      </c>
      <c r="F100" s="40" t="s">
        <v>5924</v>
      </c>
      <c r="G100" s="39" t="s">
        <v>5925</v>
      </c>
      <c r="H100" s="39" t="s">
        <v>5926</v>
      </c>
      <c r="I100" s="144" t="s">
        <v>5527</v>
      </c>
      <c r="J100" s="39" t="s">
        <v>5927</v>
      </c>
    </row>
    <row r="101" ht="26.25" customHeight="1">
      <c r="A101" s="12" t="s">
        <v>984</v>
      </c>
      <c r="B101" s="17">
        <v>2023.0</v>
      </c>
      <c r="C101" s="40" t="s">
        <v>18</v>
      </c>
      <c r="D101" s="40">
        <v>5080.0</v>
      </c>
      <c r="E101" s="38" t="s">
        <v>5791</v>
      </c>
      <c r="F101" s="40" t="s">
        <v>5792</v>
      </c>
      <c r="G101" s="39" t="s">
        <v>5793</v>
      </c>
      <c r="H101" s="39" t="s">
        <v>5928</v>
      </c>
      <c r="I101" s="39" t="s">
        <v>5516</v>
      </c>
      <c r="J101" s="39" t="s">
        <v>5795</v>
      </c>
    </row>
    <row r="102" ht="26.25" customHeight="1">
      <c r="A102" s="12" t="s">
        <v>990</v>
      </c>
      <c r="B102" s="17">
        <v>2023.0</v>
      </c>
      <c r="C102" s="35" t="s">
        <v>19</v>
      </c>
      <c r="D102" s="35">
        <v>9934.0</v>
      </c>
      <c r="E102" s="36" t="s">
        <v>5929</v>
      </c>
      <c r="F102" s="40" t="s">
        <v>5930</v>
      </c>
      <c r="G102" s="37"/>
      <c r="H102" s="37" t="s">
        <v>5931</v>
      </c>
      <c r="I102" s="39" t="s">
        <v>5527</v>
      </c>
      <c r="J102" s="39" t="s">
        <v>5932</v>
      </c>
    </row>
    <row r="103" ht="26.25" customHeight="1">
      <c r="A103" s="12" t="s">
        <v>995</v>
      </c>
      <c r="B103" s="17">
        <v>2023.0</v>
      </c>
      <c r="C103" s="35" t="s">
        <v>19</v>
      </c>
      <c r="D103" s="35">
        <v>10035.0</v>
      </c>
      <c r="E103" s="36" t="s">
        <v>5933</v>
      </c>
      <c r="F103" s="40" t="s">
        <v>5934</v>
      </c>
      <c r="G103" s="39" t="s">
        <v>5935</v>
      </c>
      <c r="H103" s="37" t="s">
        <v>5936</v>
      </c>
      <c r="I103" s="39" t="s">
        <v>5527</v>
      </c>
      <c r="J103" s="39" t="s">
        <v>5937</v>
      </c>
    </row>
    <row r="104" ht="26.25" customHeight="1">
      <c r="A104" s="12" t="s">
        <v>1001</v>
      </c>
      <c r="B104" s="17">
        <v>2023.0</v>
      </c>
      <c r="C104" s="35" t="s">
        <v>19</v>
      </c>
      <c r="D104" s="35">
        <v>9978.0</v>
      </c>
      <c r="E104" s="36" t="s">
        <v>5938</v>
      </c>
      <c r="F104" s="40" t="s">
        <v>5939</v>
      </c>
      <c r="G104" s="39" t="s">
        <v>5940</v>
      </c>
      <c r="H104" s="37" t="s">
        <v>5941</v>
      </c>
      <c r="I104" s="39" t="s">
        <v>5789</v>
      </c>
      <c r="J104" s="39" t="s">
        <v>5942</v>
      </c>
    </row>
    <row r="105" ht="26.25" customHeight="1">
      <c r="A105" s="12" t="s">
        <v>1003</v>
      </c>
      <c r="B105" s="17">
        <v>2023.0</v>
      </c>
      <c r="C105" s="17" t="s">
        <v>21</v>
      </c>
      <c r="D105" s="17">
        <v>7157.0</v>
      </c>
      <c r="E105" s="36" t="s">
        <v>5143</v>
      </c>
      <c r="F105" s="43" t="s">
        <v>5943</v>
      </c>
      <c r="G105" s="39" t="s">
        <v>5944</v>
      </c>
      <c r="H105" s="36" t="s">
        <v>5945</v>
      </c>
      <c r="I105" s="38" t="s">
        <v>5757</v>
      </c>
      <c r="J105" s="39" t="s">
        <v>5946</v>
      </c>
    </row>
    <row r="106" ht="26.25" customHeight="1">
      <c r="A106" s="12" t="s">
        <v>1005</v>
      </c>
      <c r="B106" s="17">
        <v>2023.0</v>
      </c>
      <c r="C106" s="35" t="s">
        <v>21</v>
      </c>
      <c r="D106" s="35">
        <v>10519.0</v>
      </c>
      <c r="E106" s="38" t="s">
        <v>5947</v>
      </c>
      <c r="F106" s="41" t="s">
        <v>5948</v>
      </c>
      <c r="G106" s="39" t="s">
        <v>5949</v>
      </c>
      <c r="H106" s="38" t="s">
        <v>5950</v>
      </c>
      <c r="I106" s="39" t="s">
        <v>5636</v>
      </c>
      <c r="J106" s="39" t="s">
        <v>5951</v>
      </c>
    </row>
    <row r="107" ht="26.25" customHeight="1">
      <c r="A107" s="12" t="s">
        <v>1011</v>
      </c>
      <c r="B107" s="17">
        <v>2024.0</v>
      </c>
      <c r="C107" s="17" t="s">
        <v>11</v>
      </c>
      <c r="D107" s="17">
        <v>9573.0</v>
      </c>
      <c r="E107" s="36" t="s">
        <v>5952</v>
      </c>
      <c r="F107" s="43" t="s">
        <v>5953</v>
      </c>
      <c r="G107" s="47"/>
      <c r="H107" s="38" t="s">
        <v>5954</v>
      </c>
      <c r="I107" s="38" t="s">
        <v>5516</v>
      </c>
      <c r="J107" s="38" t="s">
        <v>5955</v>
      </c>
    </row>
    <row r="108" ht="26.25" customHeight="1">
      <c r="A108" s="12" t="s">
        <v>1017</v>
      </c>
      <c r="B108" s="17">
        <v>2024.0</v>
      </c>
      <c r="C108" s="17" t="s">
        <v>11</v>
      </c>
      <c r="D108" s="17">
        <v>3848.0</v>
      </c>
      <c r="E108" s="36" t="s">
        <v>5663</v>
      </c>
      <c r="F108" s="43" t="s">
        <v>5956</v>
      </c>
      <c r="G108" s="38" t="s">
        <v>5665</v>
      </c>
      <c r="H108" s="38" t="s">
        <v>5957</v>
      </c>
      <c r="I108" s="38" t="s">
        <v>5538</v>
      </c>
      <c r="J108" s="38" t="s">
        <v>5667</v>
      </c>
    </row>
    <row r="109" ht="26.25" customHeight="1">
      <c r="A109" s="12" t="s">
        <v>1023</v>
      </c>
      <c r="B109" s="17">
        <v>2024.0</v>
      </c>
      <c r="C109" s="17" t="s">
        <v>11</v>
      </c>
      <c r="D109" s="17">
        <v>10965.0</v>
      </c>
      <c r="E109" s="36" t="s">
        <v>5958</v>
      </c>
      <c r="F109" s="43" t="s">
        <v>5959</v>
      </c>
      <c r="G109" s="38" t="s">
        <v>5960</v>
      </c>
      <c r="H109" s="38" t="s">
        <v>5958</v>
      </c>
      <c r="I109" s="38" t="s">
        <v>5516</v>
      </c>
      <c r="J109" s="38" t="s">
        <v>5961</v>
      </c>
    </row>
    <row r="110" ht="26.25" customHeight="1">
      <c r="A110" s="12" t="s">
        <v>1029</v>
      </c>
      <c r="B110" s="17">
        <v>2024.0</v>
      </c>
      <c r="C110" s="17" t="s">
        <v>11</v>
      </c>
      <c r="D110" s="17">
        <v>4001.0</v>
      </c>
      <c r="E110" s="36" t="s">
        <v>5962</v>
      </c>
      <c r="F110" s="43" t="s">
        <v>5963</v>
      </c>
      <c r="G110" s="38" t="s">
        <v>5964</v>
      </c>
      <c r="H110" s="38" t="s">
        <v>5965</v>
      </c>
      <c r="I110" s="38" t="s">
        <v>5636</v>
      </c>
      <c r="J110" s="38" t="s">
        <v>5966</v>
      </c>
    </row>
    <row r="111" ht="26.25" customHeight="1">
      <c r="A111" s="12" t="s">
        <v>1035</v>
      </c>
      <c r="B111" s="17">
        <v>2024.0</v>
      </c>
      <c r="C111" s="42" t="s">
        <v>12</v>
      </c>
      <c r="D111" s="17">
        <v>3672.0</v>
      </c>
      <c r="E111" s="36" t="s">
        <v>5967</v>
      </c>
      <c r="F111" s="43" t="s">
        <v>5968</v>
      </c>
      <c r="G111" s="38" t="s">
        <v>5969</v>
      </c>
      <c r="H111" s="38" t="s">
        <v>5970</v>
      </c>
      <c r="I111" s="38" t="s">
        <v>5578</v>
      </c>
      <c r="J111" s="38" t="s">
        <v>5971</v>
      </c>
    </row>
    <row r="112" ht="26.25" customHeight="1">
      <c r="A112" s="12" t="s">
        <v>1040</v>
      </c>
      <c r="B112" s="17">
        <v>2024.0</v>
      </c>
      <c r="C112" s="42" t="s">
        <v>13</v>
      </c>
      <c r="D112" s="17">
        <v>10682.0</v>
      </c>
      <c r="E112" s="36" t="s">
        <v>5972</v>
      </c>
      <c r="F112" s="43" t="s">
        <v>5973</v>
      </c>
      <c r="G112" s="38" t="s">
        <v>5974</v>
      </c>
      <c r="H112" s="38" t="s">
        <v>5975</v>
      </c>
      <c r="I112" s="38" t="s">
        <v>5516</v>
      </c>
      <c r="J112" s="38" t="s">
        <v>5976</v>
      </c>
    </row>
    <row r="113" ht="26.25" customHeight="1">
      <c r="A113" s="12" t="s">
        <v>1045</v>
      </c>
      <c r="B113" s="17">
        <v>2024.0</v>
      </c>
      <c r="C113" s="42" t="s">
        <v>13</v>
      </c>
      <c r="D113" s="17">
        <v>11691.0</v>
      </c>
      <c r="E113" s="36" t="s">
        <v>5977</v>
      </c>
      <c r="F113" s="43" t="s">
        <v>5978</v>
      </c>
      <c r="G113" s="47"/>
      <c r="H113" s="38" t="s">
        <v>5979</v>
      </c>
      <c r="I113" s="38" t="s">
        <v>5572</v>
      </c>
      <c r="J113" s="38" t="s">
        <v>5980</v>
      </c>
    </row>
    <row r="114" ht="26.25" customHeight="1">
      <c r="A114" s="12" t="s">
        <v>1051</v>
      </c>
      <c r="B114" s="17">
        <v>2024.0</v>
      </c>
      <c r="C114" s="42" t="s">
        <v>13</v>
      </c>
      <c r="D114" s="17">
        <v>10682.0</v>
      </c>
      <c r="E114" s="36" t="s">
        <v>5981</v>
      </c>
      <c r="F114" s="48" t="s">
        <v>5973</v>
      </c>
      <c r="G114" s="36" t="s">
        <v>5974</v>
      </c>
      <c r="H114" s="36" t="s">
        <v>5982</v>
      </c>
      <c r="I114" s="38" t="s">
        <v>5516</v>
      </c>
      <c r="J114" s="38" t="s">
        <v>5976</v>
      </c>
    </row>
    <row r="115" ht="26.25" customHeight="1">
      <c r="A115" s="12" t="s">
        <v>1056</v>
      </c>
      <c r="B115" s="17">
        <v>2024.0</v>
      </c>
      <c r="C115" s="42" t="s">
        <v>14</v>
      </c>
      <c r="D115" s="17">
        <v>11240.0</v>
      </c>
      <c r="E115" s="36" t="s">
        <v>5401</v>
      </c>
      <c r="F115" s="48" t="s">
        <v>5983</v>
      </c>
      <c r="G115" s="36" t="s">
        <v>5984</v>
      </c>
      <c r="H115" s="36" t="s">
        <v>5985</v>
      </c>
      <c r="I115" s="38" t="s">
        <v>5538</v>
      </c>
      <c r="J115" s="38" t="s">
        <v>5986</v>
      </c>
    </row>
    <row r="116" ht="26.25" customHeight="1">
      <c r="A116" s="12" t="s">
        <v>1062</v>
      </c>
      <c r="B116" s="17">
        <v>2024.0</v>
      </c>
      <c r="C116" s="42" t="s">
        <v>15</v>
      </c>
      <c r="D116" s="17">
        <v>11693.0</v>
      </c>
      <c r="E116" s="36" t="s">
        <v>5987</v>
      </c>
      <c r="F116" s="48" t="s">
        <v>5988</v>
      </c>
      <c r="G116" s="36" t="s">
        <v>5989</v>
      </c>
      <c r="H116" s="36" t="s">
        <v>4948</v>
      </c>
      <c r="I116" s="36" t="s">
        <v>5631</v>
      </c>
      <c r="J116" s="38" t="s">
        <v>5990</v>
      </c>
    </row>
    <row r="117" ht="26.25" customHeight="1">
      <c r="A117" s="12" t="s">
        <v>1068</v>
      </c>
      <c r="B117" s="17">
        <v>2024.0</v>
      </c>
      <c r="C117" s="42" t="s">
        <v>15</v>
      </c>
      <c r="D117" s="17">
        <v>5762.0</v>
      </c>
      <c r="E117" s="36" t="s">
        <v>5802</v>
      </c>
      <c r="F117" s="48" t="s">
        <v>5991</v>
      </c>
      <c r="G117" s="36" t="s">
        <v>5804</v>
      </c>
      <c r="H117" s="36" t="s">
        <v>5992</v>
      </c>
      <c r="I117" s="36" t="s">
        <v>5806</v>
      </c>
      <c r="J117" s="38" t="s">
        <v>5993</v>
      </c>
    </row>
    <row r="118" ht="26.25" customHeight="1">
      <c r="A118" s="12" t="s">
        <v>1074</v>
      </c>
      <c r="B118" s="17">
        <v>2024.0</v>
      </c>
      <c r="C118" s="42" t="s">
        <v>16</v>
      </c>
      <c r="D118" s="35">
        <v>12111.0</v>
      </c>
      <c r="E118" s="36" t="s">
        <v>5994</v>
      </c>
      <c r="F118" s="48" t="s">
        <v>5995</v>
      </c>
      <c r="G118" s="36" t="s">
        <v>5996</v>
      </c>
      <c r="H118" s="36" t="s">
        <v>5997</v>
      </c>
      <c r="I118" s="36" t="s">
        <v>5516</v>
      </c>
      <c r="J118" s="38" t="s">
        <v>5998</v>
      </c>
    </row>
    <row r="119" ht="26.25" customHeight="1">
      <c r="A119" s="12" t="s">
        <v>1080</v>
      </c>
      <c r="B119" s="17">
        <v>2024.0</v>
      </c>
      <c r="C119" s="42" t="s">
        <v>16</v>
      </c>
      <c r="D119" s="35">
        <v>10682.0</v>
      </c>
      <c r="E119" s="36" t="s">
        <v>5972</v>
      </c>
      <c r="F119" s="48" t="s">
        <v>5973</v>
      </c>
      <c r="G119" s="36" t="s">
        <v>5974</v>
      </c>
      <c r="H119" s="36" t="s">
        <v>5999</v>
      </c>
      <c r="I119" s="36" t="s">
        <v>5516</v>
      </c>
      <c r="J119" s="38" t="s">
        <v>5976</v>
      </c>
    </row>
    <row r="120" ht="26.25" customHeight="1">
      <c r="A120" s="12" t="s">
        <v>1086</v>
      </c>
      <c r="B120" s="17">
        <v>2024.0</v>
      </c>
      <c r="C120" s="42" t="s">
        <v>17</v>
      </c>
      <c r="D120" s="15">
        <v>12449.0</v>
      </c>
      <c r="E120" s="49" t="s">
        <v>6000</v>
      </c>
      <c r="F120" s="50" t="s">
        <v>6001</v>
      </c>
      <c r="G120" s="36" t="s">
        <v>6002</v>
      </c>
      <c r="H120" s="49" t="s">
        <v>6003</v>
      </c>
      <c r="I120" s="49" t="s">
        <v>5527</v>
      </c>
      <c r="J120" s="38" t="s">
        <v>6004</v>
      </c>
    </row>
    <row r="121" ht="26.25" customHeight="1">
      <c r="A121" s="12" t="s">
        <v>1091</v>
      </c>
      <c r="B121" s="17">
        <v>2024.0</v>
      </c>
      <c r="C121" s="42" t="s">
        <v>17</v>
      </c>
      <c r="D121" s="15">
        <v>12403.0</v>
      </c>
      <c r="E121" s="49" t="s">
        <v>6005</v>
      </c>
      <c r="F121" s="50" t="s">
        <v>6006</v>
      </c>
      <c r="G121" s="49" t="s">
        <v>6007</v>
      </c>
      <c r="H121" s="49" t="s">
        <v>6008</v>
      </c>
      <c r="I121" s="49" t="s">
        <v>5636</v>
      </c>
      <c r="J121" s="38" t="s">
        <v>6009</v>
      </c>
    </row>
    <row r="122" ht="26.25" customHeight="1">
      <c r="A122" s="12" t="s">
        <v>1097</v>
      </c>
      <c r="B122" s="17">
        <v>2024.0</v>
      </c>
      <c r="C122" s="42" t="s">
        <v>18</v>
      </c>
      <c r="D122" s="15">
        <v>12975.0</v>
      </c>
      <c r="E122" s="77" t="s">
        <v>6010</v>
      </c>
      <c r="F122" s="50" t="s">
        <v>6011</v>
      </c>
      <c r="G122" s="49" t="s">
        <v>396</v>
      </c>
      <c r="H122" s="49" t="s">
        <v>6012</v>
      </c>
      <c r="I122" s="49" t="s">
        <v>5757</v>
      </c>
      <c r="J122" s="38" t="s">
        <v>6013</v>
      </c>
    </row>
    <row r="123" ht="26.25" customHeight="1">
      <c r="A123" s="12" t="s">
        <v>1100</v>
      </c>
      <c r="B123" s="17">
        <v>2024.0</v>
      </c>
      <c r="C123" s="42" t="s">
        <v>18</v>
      </c>
      <c r="D123" s="15">
        <v>13043.0</v>
      </c>
      <c r="E123" s="77" t="s">
        <v>6014</v>
      </c>
      <c r="F123" s="50" t="s">
        <v>6015</v>
      </c>
      <c r="G123" s="49" t="s">
        <v>6016</v>
      </c>
      <c r="H123" s="49" t="s">
        <v>2014</v>
      </c>
      <c r="I123" s="49" t="s">
        <v>5527</v>
      </c>
      <c r="J123" s="38" t="s">
        <v>6017</v>
      </c>
    </row>
    <row r="124" ht="26.25" customHeight="1">
      <c r="A124" s="12" t="s">
        <v>1106</v>
      </c>
      <c r="B124" s="17">
        <v>2024.0</v>
      </c>
      <c r="C124" s="42" t="s">
        <v>19</v>
      </c>
      <c r="D124" s="15">
        <v>9934.0</v>
      </c>
      <c r="E124" s="49" t="s">
        <v>5929</v>
      </c>
      <c r="F124" s="50" t="s">
        <v>6018</v>
      </c>
      <c r="G124" s="49"/>
      <c r="H124" s="49" t="s">
        <v>6019</v>
      </c>
      <c r="I124" s="49" t="s">
        <v>5527</v>
      </c>
      <c r="J124" s="38" t="s">
        <v>5932</v>
      </c>
    </row>
    <row r="125" ht="26.25" customHeight="1">
      <c r="A125" s="12" t="s">
        <v>1112</v>
      </c>
      <c r="B125" s="17">
        <v>2024.0</v>
      </c>
      <c r="C125" s="42" t="s">
        <v>19</v>
      </c>
      <c r="D125" s="15">
        <v>13183.0</v>
      </c>
      <c r="E125" s="49" t="s">
        <v>6020</v>
      </c>
      <c r="F125" s="50" t="s">
        <v>6021</v>
      </c>
      <c r="G125" s="49" t="s">
        <v>6022</v>
      </c>
      <c r="H125" s="49" t="s">
        <v>6023</v>
      </c>
      <c r="I125" s="49" t="s">
        <v>5589</v>
      </c>
      <c r="J125" s="38" t="s">
        <v>6024</v>
      </c>
    </row>
    <row r="126" ht="26.25" customHeight="1">
      <c r="A126" s="12" t="s">
        <v>1118</v>
      </c>
      <c r="B126" s="17">
        <v>2024.0</v>
      </c>
      <c r="C126" s="42" t="s">
        <v>19</v>
      </c>
      <c r="D126" s="15">
        <v>13251.0</v>
      </c>
      <c r="E126" s="49" t="s">
        <v>6025</v>
      </c>
      <c r="F126" s="50" t="s">
        <v>6026</v>
      </c>
      <c r="G126" s="49" t="s">
        <v>6027</v>
      </c>
      <c r="H126" s="49" t="s">
        <v>6028</v>
      </c>
      <c r="I126" s="49" t="s">
        <v>5527</v>
      </c>
      <c r="J126" s="38" t="s">
        <v>6029</v>
      </c>
    </row>
    <row r="127" ht="26.25" customHeight="1">
      <c r="A127" s="12" t="s">
        <v>1124</v>
      </c>
      <c r="B127" s="17">
        <v>2024.0</v>
      </c>
      <c r="C127" s="42" t="s">
        <v>20</v>
      </c>
      <c r="D127" s="15">
        <v>13445.0</v>
      </c>
      <c r="E127" s="49" t="s">
        <v>6030</v>
      </c>
      <c r="F127" s="50" t="s">
        <v>6031</v>
      </c>
      <c r="G127" s="49" t="s">
        <v>6032</v>
      </c>
      <c r="H127" s="49" t="s">
        <v>6033</v>
      </c>
      <c r="I127" s="49" t="s">
        <v>5757</v>
      </c>
      <c r="J127" s="38" t="s">
        <v>6034</v>
      </c>
    </row>
    <row r="128" ht="26.25" customHeight="1">
      <c r="A128" s="12" t="s">
        <v>1129</v>
      </c>
      <c r="B128" s="17">
        <v>2024.0</v>
      </c>
      <c r="C128" s="42" t="s">
        <v>20</v>
      </c>
      <c r="D128" s="15">
        <v>13445.0</v>
      </c>
      <c r="E128" s="49" t="s">
        <v>6030</v>
      </c>
      <c r="F128" s="50" t="s">
        <v>6031</v>
      </c>
      <c r="G128" s="49" t="s">
        <v>6032</v>
      </c>
      <c r="H128" s="49" t="s">
        <v>6035</v>
      </c>
      <c r="I128" s="49" t="s">
        <v>5757</v>
      </c>
      <c r="J128" s="38" t="s">
        <v>6034</v>
      </c>
    </row>
    <row r="129" ht="26.25" customHeight="1">
      <c r="A129" s="12" t="s">
        <v>1135</v>
      </c>
      <c r="B129" s="17">
        <v>2024.0</v>
      </c>
      <c r="C129" s="42" t="s">
        <v>20</v>
      </c>
      <c r="D129" s="15">
        <v>13592.0</v>
      </c>
      <c r="E129" s="49" t="s">
        <v>6036</v>
      </c>
      <c r="F129" s="50" t="s">
        <v>6037</v>
      </c>
      <c r="G129" s="49" t="s">
        <v>6038</v>
      </c>
      <c r="H129" s="49" t="s">
        <v>6039</v>
      </c>
      <c r="I129" s="49" t="s">
        <v>5835</v>
      </c>
      <c r="J129" s="38" t="s">
        <v>6040</v>
      </c>
    </row>
    <row r="130" ht="26.25" customHeight="1">
      <c r="A130" s="12" t="s">
        <v>1141</v>
      </c>
      <c r="B130" s="17">
        <v>2024.0</v>
      </c>
      <c r="C130" s="42" t="s">
        <v>20</v>
      </c>
      <c r="D130" s="15">
        <v>10682.0</v>
      </c>
      <c r="E130" s="49" t="s">
        <v>5972</v>
      </c>
      <c r="F130" s="50" t="s">
        <v>5973</v>
      </c>
      <c r="G130" s="49" t="s">
        <v>5974</v>
      </c>
      <c r="H130" s="49" t="s">
        <v>6041</v>
      </c>
      <c r="I130" s="49" t="s">
        <v>5516</v>
      </c>
      <c r="J130" s="38" t="s">
        <v>5976</v>
      </c>
    </row>
    <row r="131" ht="26.25" customHeight="1">
      <c r="A131" s="12" t="s">
        <v>1147</v>
      </c>
      <c r="B131" s="17">
        <v>2024.0</v>
      </c>
      <c r="C131" s="42" t="s">
        <v>21</v>
      </c>
      <c r="D131" s="15">
        <v>9934.0</v>
      </c>
      <c r="E131" s="49" t="s">
        <v>5929</v>
      </c>
      <c r="F131" s="50" t="s">
        <v>6018</v>
      </c>
      <c r="G131" s="49"/>
      <c r="H131" s="49" t="s">
        <v>6042</v>
      </c>
      <c r="I131" s="49" t="s">
        <v>5527</v>
      </c>
      <c r="J131" s="38" t="s">
        <v>5932</v>
      </c>
    </row>
    <row r="132" ht="26.25" customHeight="1">
      <c r="A132" s="12" t="s">
        <v>1153</v>
      </c>
      <c r="B132" s="17">
        <v>2024.0</v>
      </c>
      <c r="C132" s="42" t="s">
        <v>21</v>
      </c>
      <c r="D132" s="15">
        <v>13814.0</v>
      </c>
      <c r="E132" s="49" t="s">
        <v>6043</v>
      </c>
      <c r="F132" s="50" t="s">
        <v>6044</v>
      </c>
      <c r="G132" s="49" t="s">
        <v>6045</v>
      </c>
      <c r="H132" s="49" t="s">
        <v>6046</v>
      </c>
      <c r="I132" s="49" t="s">
        <v>6047</v>
      </c>
      <c r="J132" s="38" t="s">
        <v>6048</v>
      </c>
    </row>
    <row r="133" ht="26.25" customHeight="1">
      <c r="A133" s="12" t="s">
        <v>1156</v>
      </c>
      <c r="B133" s="17">
        <v>2024.0</v>
      </c>
      <c r="C133" s="42" t="s">
        <v>22</v>
      </c>
      <c r="D133" s="15">
        <v>14092.0</v>
      </c>
      <c r="E133" s="49" t="s">
        <v>6049</v>
      </c>
      <c r="F133" s="50" t="s">
        <v>6050</v>
      </c>
      <c r="G133" s="39" t="s">
        <v>6051</v>
      </c>
      <c r="H133" s="49" t="s">
        <v>6052</v>
      </c>
      <c r="I133" s="49" t="s">
        <v>5516</v>
      </c>
      <c r="J133" s="39" t="s">
        <v>6053</v>
      </c>
    </row>
    <row r="134" ht="26.25" customHeight="1">
      <c r="A134" s="12" t="s">
        <v>1163</v>
      </c>
      <c r="B134" s="17">
        <v>2025.0</v>
      </c>
      <c r="C134" s="42" t="s">
        <v>11</v>
      </c>
      <c r="D134" s="15">
        <v>14213.0</v>
      </c>
      <c r="E134" s="49" t="s">
        <v>6054</v>
      </c>
      <c r="F134" s="50" t="s">
        <v>6055</v>
      </c>
      <c r="G134" s="39" t="s">
        <v>6056</v>
      </c>
      <c r="H134" s="49" t="s">
        <v>6057</v>
      </c>
      <c r="I134" s="49" t="s">
        <v>5527</v>
      </c>
      <c r="J134" s="39" t="s">
        <v>6058</v>
      </c>
    </row>
    <row r="135" ht="26.25" customHeight="1">
      <c r="A135" s="12" t="s">
        <v>1169</v>
      </c>
      <c r="B135" s="17">
        <v>2025.0</v>
      </c>
      <c r="C135" s="42" t="s">
        <v>11</v>
      </c>
      <c r="D135" s="15">
        <v>14340.0</v>
      </c>
      <c r="E135" s="49" t="s">
        <v>6059</v>
      </c>
      <c r="F135" s="50" t="s">
        <v>6060</v>
      </c>
      <c r="G135" s="39" t="s">
        <v>6061</v>
      </c>
      <c r="H135" s="49" t="s">
        <v>6062</v>
      </c>
      <c r="I135" s="49" t="s">
        <v>5636</v>
      </c>
      <c r="J135" s="39" t="s">
        <v>6063</v>
      </c>
    </row>
    <row r="136" ht="26.25" customHeight="1">
      <c r="A136" s="12" t="s">
        <v>1174</v>
      </c>
      <c r="B136" s="17">
        <v>2025.0</v>
      </c>
      <c r="C136" s="42" t="s">
        <v>11</v>
      </c>
      <c r="D136" s="15">
        <v>14464.0</v>
      </c>
      <c r="E136" s="49" t="s">
        <v>6064</v>
      </c>
      <c r="F136" s="50" t="s">
        <v>6065</v>
      </c>
      <c r="G136" s="39" t="s">
        <v>6066</v>
      </c>
      <c r="H136" s="49" t="s">
        <v>6067</v>
      </c>
      <c r="I136" s="49" t="s">
        <v>5566</v>
      </c>
      <c r="J136" s="39" t="s">
        <v>6068</v>
      </c>
    </row>
    <row r="137" ht="26.25" customHeight="1">
      <c r="A137" s="12" t="s">
        <v>1180</v>
      </c>
      <c r="B137" s="17">
        <v>2025.0</v>
      </c>
      <c r="C137" s="42" t="s">
        <v>11</v>
      </c>
      <c r="D137" s="15">
        <v>14529.0</v>
      </c>
      <c r="E137" s="49" t="s">
        <v>6069</v>
      </c>
      <c r="F137" s="50" t="s">
        <v>6070</v>
      </c>
      <c r="G137" s="39"/>
      <c r="H137" s="49" t="s">
        <v>6071</v>
      </c>
      <c r="I137" s="49" t="s">
        <v>5636</v>
      </c>
      <c r="J137" s="39" t="s">
        <v>6072</v>
      </c>
    </row>
    <row r="138" ht="26.25" customHeight="1">
      <c r="A138" s="12" t="s">
        <v>1186</v>
      </c>
      <c r="B138" s="17">
        <v>2025.0</v>
      </c>
      <c r="C138" s="42" t="s">
        <v>11</v>
      </c>
      <c r="D138" s="15">
        <v>14464.0</v>
      </c>
      <c r="E138" s="49" t="s">
        <v>6064</v>
      </c>
      <c r="F138" s="50" t="s">
        <v>6065</v>
      </c>
      <c r="G138" s="39" t="s">
        <v>6066</v>
      </c>
      <c r="H138" s="49" t="s">
        <v>6073</v>
      </c>
      <c r="I138" s="49" t="s">
        <v>5566</v>
      </c>
      <c r="J138" s="39" t="s">
        <v>6074</v>
      </c>
    </row>
    <row r="139" ht="26.25" customHeight="1">
      <c r="A139" s="12" t="s">
        <v>1192</v>
      </c>
      <c r="B139" s="17">
        <v>2025.0</v>
      </c>
      <c r="C139" s="42" t="s">
        <v>14</v>
      </c>
      <c r="D139" s="15">
        <v>14837.0</v>
      </c>
      <c r="E139" s="49" t="s">
        <v>6075</v>
      </c>
      <c r="F139" s="54" t="s">
        <v>6076</v>
      </c>
      <c r="G139" s="39" t="s">
        <v>6077</v>
      </c>
      <c r="H139" s="49" t="s">
        <v>6078</v>
      </c>
      <c r="I139" s="49" t="s">
        <v>5578</v>
      </c>
      <c r="J139" s="39" t="s">
        <v>6079</v>
      </c>
    </row>
    <row r="140" ht="26.25" customHeight="1">
      <c r="A140" s="12" t="s">
        <v>1198</v>
      </c>
      <c r="B140" s="17">
        <v>2025.0</v>
      </c>
      <c r="C140" s="42" t="s">
        <v>15</v>
      </c>
      <c r="D140" s="15">
        <v>15514.0</v>
      </c>
      <c r="E140" s="49" t="s">
        <v>6080</v>
      </c>
      <c r="F140" s="54" t="s">
        <v>6081</v>
      </c>
      <c r="G140" s="39"/>
      <c r="H140" s="49" t="s">
        <v>6082</v>
      </c>
      <c r="I140" s="49" t="s">
        <v>5527</v>
      </c>
      <c r="J140" s="39" t="s">
        <v>6083</v>
      </c>
    </row>
    <row r="141" ht="26.25" customHeight="1">
      <c r="A141" s="12" t="s">
        <v>1204</v>
      </c>
      <c r="B141" s="17">
        <v>2025.0</v>
      </c>
      <c r="C141" s="42" t="s">
        <v>17</v>
      </c>
      <c r="D141" s="15">
        <v>15636.0</v>
      </c>
      <c r="E141" s="49" t="s">
        <v>6084</v>
      </c>
      <c r="F141" s="54" t="s">
        <v>6085</v>
      </c>
      <c r="G141" s="39" t="s">
        <v>6086</v>
      </c>
      <c r="H141" s="49" t="s">
        <v>6087</v>
      </c>
      <c r="I141" s="49" t="s">
        <v>5578</v>
      </c>
      <c r="J141" s="39" t="s">
        <v>6088</v>
      </c>
    </row>
    <row r="142" ht="26.25" customHeight="1">
      <c r="A142" s="12" t="s">
        <v>1210</v>
      </c>
      <c r="B142" s="17">
        <v>2025.0</v>
      </c>
      <c r="C142" s="42" t="s">
        <v>17</v>
      </c>
      <c r="D142" s="15">
        <v>15617.0</v>
      </c>
      <c r="E142" s="49" t="s">
        <v>6089</v>
      </c>
      <c r="F142" s="54" t="s">
        <v>6090</v>
      </c>
      <c r="G142" s="39" t="s">
        <v>6091</v>
      </c>
      <c r="H142" s="39" t="s">
        <v>6092</v>
      </c>
      <c r="I142" s="49" t="s">
        <v>5578</v>
      </c>
      <c r="J142" s="145" t="s">
        <v>6093</v>
      </c>
    </row>
    <row r="143" ht="26.25" customHeight="1">
      <c r="A143" s="12" t="s">
        <v>1213</v>
      </c>
      <c r="B143" s="17">
        <v>2025.0</v>
      </c>
      <c r="C143" s="42" t="s">
        <v>17</v>
      </c>
      <c r="D143" s="15">
        <v>15617.0</v>
      </c>
      <c r="E143" s="49" t="s">
        <v>6089</v>
      </c>
      <c r="F143" s="54" t="s">
        <v>6090</v>
      </c>
      <c r="G143" s="39" t="s">
        <v>6091</v>
      </c>
      <c r="H143" s="39" t="s">
        <v>6094</v>
      </c>
      <c r="I143" s="49" t="s">
        <v>5578</v>
      </c>
      <c r="J143" s="145" t="s">
        <v>6093</v>
      </c>
    </row>
    <row r="144" ht="26.25" customHeight="1">
      <c r="A144" s="12" t="s">
        <v>1219</v>
      </c>
      <c r="B144" s="17">
        <v>2025.0</v>
      </c>
      <c r="C144" s="42" t="s">
        <v>18</v>
      </c>
      <c r="D144" s="15">
        <v>4343.0</v>
      </c>
      <c r="E144" s="49" t="s">
        <v>6095</v>
      </c>
      <c r="F144" s="54" t="s">
        <v>6096</v>
      </c>
      <c r="G144" s="39" t="s">
        <v>5755</v>
      </c>
      <c r="H144" s="49" t="s">
        <v>6097</v>
      </c>
      <c r="I144" s="49" t="s">
        <v>5757</v>
      </c>
      <c r="J144" s="39" t="s">
        <v>6098</v>
      </c>
    </row>
    <row r="145" ht="26.25" customHeight="1">
      <c r="A145" s="12" t="s">
        <v>1225</v>
      </c>
      <c r="B145" s="17">
        <v>2025.0</v>
      </c>
      <c r="C145" s="42" t="s">
        <v>18</v>
      </c>
      <c r="D145" s="15">
        <v>10682.0</v>
      </c>
      <c r="E145" s="49" t="s">
        <v>5972</v>
      </c>
      <c r="F145" s="54" t="s">
        <v>5973</v>
      </c>
      <c r="G145" s="39" t="s">
        <v>5974</v>
      </c>
      <c r="H145" s="49" t="s">
        <v>6099</v>
      </c>
      <c r="I145" s="49" t="s">
        <v>5516</v>
      </c>
      <c r="J145" s="39" t="s">
        <v>5976</v>
      </c>
    </row>
    <row r="146" ht="26.25" customHeight="1">
      <c r="A146" s="12" t="s">
        <v>1231</v>
      </c>
      <c r="B146" s="17">
        <v>2025.0</v>
      </c>
      <c r="C146" s="42" t="s">
        <v>20</v>
      </c>
      <c r="D146" s="15">
        <v>16468.0</v>
      </c>
      <c r="E146" s="49" t="s">
        <v>6100</v>
      </c>
      <c r="F146" s="54" t="s">
        <v>6101</v>
      </c>
      <c r="G146" s="39" t="s">
        <v>6102</v>
      </c>
      <c r="H146" s="49" t="s">
        <v>6103</v>
      </c>
      <c r="I146" s="49" t="s">
        <v>5578</v>
      </c>
      <c r="J146" s="39" t="s">
        <v>6104</v>
      </c>
    </row>
    <row r="147" ht="26.25" customHeight="1">
      <c r="A147" s="12" t="s">
        <v>1235</v>
      </c>
      <c r="B147" s="17">
        <v>2025.0</v>
      </c>
      <c r="C147" s="42" t="s">
        <v>21</v>
      </c>
      <c r="D147" s="15">
        <v>16623.0</v>
      </c>
      <c r="E147" s="49" t="s">
        <v>6105</v>
      </c>
      <c r="F147" s="54" t="s">
        <v>6106</v>
      </c>
      <c r="G147" s="38" t="s">
        <v>6107</v>
      </c>
      <c r="H147" s="49" t="s">
        <v>6108</v>
      </c>
      <c r="I147" s="49" t="s">
        <v>5757</v>
      </c>
      <c r="J147" s="38" t="s">
        <v>6109</v>
      </c>
    </row>
    <row r="148" ht="26.25" customHeight="1">
      <c r="A148" s="12" t="s">
        <v>1241</v>
      </c>
      <c r="B148" s="17">
        <v>2025.0</v>
      </c>
      <c r="C148" s="42" t="s">
        <v>22</v>
      </c>
      <c r="D148" s="15">
        <v>17108.0</v>
      </c>
      <c r="E148" s="49" t="s">
        <v>6110</v>
      </c>
      <c r="F148" s="54" t="s">
        <v>6111</v>
      </c>
      <c r="G148" s="38" t="s">
        <v>6112</v>
      </c>
      <c r="H148" s="49" t="s">
        <v>6113</v>
      </c>
      <c r="I148" s="49" t="s">
        <v>6114</v>
      </c>
      <c r="J148" s="38" t="s">
        <v>6115</v>
      </c>
    </row>
    <row r="149" ht="26.25" customHeight="1">
      <c r="A149" s="12" t="s">
        <v>1246</v>
      </c>
      <c r="B149" s="17">
        <v>2026.0</v>
      </c>
      <c r="C149" s="42" t="s">
        <v>11</v>
      </c>
      <c r="D149" s="57">
        <v>17397.0</v>
      </c>
      <c r="E149" s="58" t="s">
        <v>6116</v>
      </c>
      <c r="F149" s="59" t="s">
        <v>6117</v>
      </c>
      <c r="G149" s="38" t="s">
        <v>6118</v>
      </c>
      <c r="H149" s="58" t="s">
        <v>6119</v>
      </c>
      <c r="I149" s="58" t="s">
        <v>5676</v>
      </c>
      <c r="J149" s="38" t="s">
        <v>6120</v>
      </c>
    </row>
    <row r="150" ht="26.25" customHeight="1">
      <c r="A150" s="12" t="s">
        <v>1252</v>
      </c>
      <c r="B150" s="17">
        <v>2026.0</v>
      </c>
      <c r="C150" s="42" t="s">
        <v>11</v>
      </c>
      <c r="D150" s="57">
        <v>4918.0</v>
      </c>
      <c r="E150" s="58" t="s">
        <v>6121</v>
      </c>
      <c r="F150" s="59" t="s">
        <v>6122</v>
      </c>
      <c r="G150" s="96" t="s">
        <v>5776</v>
      </c>
      <c r="H150" s="129" t="s">
        <v>6123</v>
      </c>
      <c r="I150" s="58" t="s">
        <v>5778</v>
      </c>
      <c r="J150" s="96" t="s">
        <v>6124</v>
      </c>
    </row>
    <row r="151" ht="26.25" customHeight="1">
      <c r="A151" s="12" t="s">
        <v>1999</v>
      </c>
      <c r="B151" s="17">
        <v>2026.0</v>
      </c>
      <c r="C151" s="79" t="s">
        <v>13</v>
      </c>
      <c r="D151" s="15">
        <v>17865.0</v>
      </c>
      <c r="E151" s="58" t="s">
        <v>6125</v>
      </c>
      <c r="F151" s="59" t="s">
        <v>6126</v>
      </c>
      <c r="G151" s="96"/>
      <c r="H151" s="81" t="s">
        <v>6127</v>
      </c>
      <c r="I151" s="81" t="s">
        <v>5527</v>
      </c>
      <c r="J151" s="96" t="s">
        <v>6128</v>
      </c>
    </row>
    <row r="152" ht="26.25" customHeight="1">
      <c r="A152" s="12" t="s">
        <v>2002</v>
      </c>
      <c r="B152" s="17">
        <v>2026.0</v>
      </c>
      <c r="C152" s="79" t="s">
        <v>14</v>
      </c>
      <c r="D152" s="15">
        <v>18051.0</v>
      </c>
      <c r="E152" s="49" t="s">
        <v>6129</v>
      </c>
      <c r="F152" s="54" t="s">
        <v>6130</v>
      </c>
      <c r="G152" s="96" t="s">
        <v>6131</v>
      </c>
      <c r="H152" s="61" t="s">
        <v>6132</v>
      </c>
      <c r="I152" s="61" t="s">
        <v>5538</v>
      </c>
      <c r="J152" s="96" t="s">
        <v>6133</v>
      </c>
    </row>
    <row r="153" ht="26.25" customHeight="1">
      <c r="A153" s="12" t="s">
        <v>2008</v>
      </c>
      <c r="B153" s="17">
        <v>2026.0</v>
      </c>
      <c r="C153" s="79" t="s">
        <v>15</v>
      </c>
      <c r="D153" s="15">
        <v>14852.0</v>
      </c>
      <c r="E153" s="49" t="s">
        <v>6134</v>
      </c>
      <c r="F153" s="54" t="s">
        <v>6135</v>
      </c>
      <c r="G153" s="96"/>
      <c r="H153" s="61" t="s">
        <v>6136</v>
      </c>
      <c r="I153" s="61" t="s">
        <v>5516</v>
      </c>
      <c r="J153" s="96" t="s">
        <v>6137</v>
      </c>
    </row>
    <row r="154" ht="26.25" customHeight="1">
      <c r="A154" s="12" t="s">
        <v>2010</v>
      </c>
      <c r="B154" s="17">
        <v>2026.0</v>
      </c>
      <c r="C154" s="79" t="s">
        <v>15</v>
      </c>
      <c r="D154" s="15">
        <v>18377.0</v>
      </c>
      <c r="E154" s="49" t="s">
        <v>6138</v>
      </c>
      <c r="F154" s="54" t="s">
        <v>6139</v>
      </c>
      <c r="G154" s="96" t="s">
        <v>6140</v>
      </c>
      <c r="H154" s="130" t="s">
        <v>6141</v>
      </c>
      <c r="I154" s="130" t="s">
        <v>6142</v>
      </c>
      <c r="J154" s="96" t="s">
        <v>6143</v>
      </c>
    </row>
    <row r="155" ht="26.25" customHeight="1">
      <c r="A155" s="12" t="s">
        <v>2016</v>
      </c>
      <c r="B155" s="17">
        <v>2026.0</v>
      </c>
      <c r="C155" s="79" t="s">
        <v>15</v>
      </c>
      <c r="D155" s="15">
        <v>14529.0</v>
      </c>
      <c r="E155" s="49" t="s">
        <v>6144</v>
      </c>
      <c r="F155" s="54" t="s">
        <v>6070</v>
      </c>
      <c r="G155" s="96"/>
      <c r="H155" s="130" t="s">
        <v>6145</v>
      </c>
      <c r="I155" s="130" t="s">
        <v>5636</v>
      </c>
      <c r="J155" s="96" t="s">
        <v>6072</v>
      </c>
    </row>
    <row r="156" ht="26.25" customHeight="1">
      <c r="A156" s="12" t="s">
        <v>2018</v>
      </c>
      <c r="B156" s="17">
        <v>2026.0</v>
      </c>
      <c r="C156" s="79" t="s">
        <v>16</v>
      </c>
      <c r="D156" s="65">
        <v>18604.0</v>
      </c>
      <c r="E156" s="66" t="s">
        <v>6146</v>
      </c>
      <c r="F156" s="67" t="s">
        <v>6147</v>
      </c>
      <c r="G156" s="146" t="s">
        <v>6148</v>
      </c>
      <c r="H156" s="131" t="s">
        <v>6149</v>
      </c>
      <c r="I156" s="131" t="s">
        <v>5527</v>
      </c>
      <c r="J156" s="132" t="s">
        <v>6150</v>
      </c>
    </row>
    <row r="157" ht="26.25" customHeight="1">
      <c r="A157" s="51" t="s">
        <v>222</v>
      </c>
      <c r="C157" s="52"/>
      <c r="D157" s="52"/>
      <c r="E157" s="53">
        <f t="array" ref="E157">sum(1/countif(E149:E156,E149:E156))</f>
        <v>8</v>
      </c>
      <c r="F157" s="52"/>
      <c r="G157" s="52"/>
      <c r="H157" s="53">
        <f t="array" ref="H157">sum(1/countif(H149:H156,H149:H156))</f>
        <v>8</v>
      </c>
      <c r="I157" s="53">
        <f t="array" ref="I157">sum(1/countif(I134:I145,I134:I145))</f>
        <v>6</v>
      </c>
      <c r="J157" s="53"/>
    </row>
    <row r="158" ht="26.25" customHeight="1">
      <c r="A158" s="51" t="s">
        <v>223</v>
      </c>
      <c r="C158" s="52"/>
      <c r="D158" s="52"/>
      <c r="E158" s="53">
        <f t="array" ref="E158">sum(1/countif(E5:E156,E5:E156))</f>
        <v>123</v>
      </c>
      <c r="F158" s="52"/>
      <c r="G158" s="52"/>
      <c r="H158" s="53">
        <f t="array" ref="H158">sum(1/countif(H5:H156,H5:H156))</f>
        <v>151</v>
      </c>
      <c r="I158" s="53">
        <f t="array" ref="I158">sum(1/countif(I5:I145,I5:I145))</f>
        <v>28</v>
      </c>
      <c r="J158" s="53"/>
    </row>
  </sheetData>
  <mergeCells count="4">
    <mergeCell ref="A1:J1"/>
    <mergeCell ref="A2:J2"/>
    <mergeCell ref="A157:B157"/>
    <mergeCell ref="A158:B158"/>
  </mergeCells>
  <hyperlinks>
    <hyperlink r:id="rId1" ref="J61"/>
    <hyperlink r:id="rId2" ref="J75"/>
  </hyperlinks>
  <drawing r:id="rId3"/>
  <tableParts count="2"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3" width="79.71"/>
  </cols>
  <sheetData>
    <row r="1" ht="25.5" customHeight="1">
      <c r="A1" s="25" t="s">
        <v>0</v>
      </c>
      <c r="K1" s="25"/>
      <c r="L1" s="25"/>
      <c r="M1" s="25"/>
    </row>
    <row r="2" ht="26.25" customHeight="1">
      <c r="A2" s="25" t="s">
        <v>1</v>
      </c>
      <c r="K2" s="25"/>
      <c r="L2" s="25"/>
      <c r="M2" s="25"/>
    </row>
    <row r="3" ht="26.25" customHeight="1">
      <c r="A3" s="26" t="s">
        <v>2</v>
      </c>
      <c r="K3" s="25"/>
      <c r="L3" s="25"/>
      <c r="M3" s="25"/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  <c r="K4" s="147"/>
      <c r="L4" s="147"/>
      <c r="M4" s="147"/>
    </row>
    <row r="5" ht="26.25" customHeight="1">
      <c r="A5" s="113" t="s">
        <v>24</v>
      </c>
      <c r="B5" s="35">
        <v>2021.0</v>
      </c>
      <c r="C5" s="17" t="s">
        <v>15</v>
      </c>
      <c r="D5" s="17">
        <v>743.0</v>
      </c>
      <c r="E5" s="36" t="s">
        <v>6151</v>
      </c>
      <c r="F5" s="17" t="s">
        <v>6152</v>
      </c>
      <c r="G5" s="36" t="s">
        <v>6153</v>
      </c>
      <c r="H5" s="36" t="s">
        <v>6154</v>
      </c>
      <c r="I5" s="38" t="s">
        <v>6155</v>
      </c>
      <c r="J5" s="38" t="s">
        <v>6156</v>
      </c>
      <c r="K5" s="38"/>
      <c r="L5" s="38"/>
      <c r="M5" s="38"/>
    </row>
    <row r="6" ht="26.25" customHeight="1">
      <c r="A6" s="113" t="s">
        <v>80</v>
      </c>
      <c r="B6" s="35">
        <v>2021.0</v>
      </c>
      <c r="C6" s="17" t="s">
        <v>16</v>
      </c>
      <c r="D6" s="17">
        <v>1205.0</v>
      </c>
      <c r="E6" s="36" t="s">
        <v>6157</v>
      </c>
      <c r="F6" s="17" t="s">
        <v>6158</v>
      </c>
      <c r="G6" s="36" t="s">
        <v>6159</v>
      </c>
      <c r="H6" s="36" t="s">
        <v>6160</v>
      </c>
      <c r="I6" s="38" t="s">
        <v>6155</v>
      </c>
      <c r="J6" s="38" t="s">
        <v>6161</v>
      </c>
      <c r="K6" s="38"/>
      <c r="L6" s="38"/>
      <c r="M6" s="38"/>
    </row>
    <row r="7" ht="26.25" customHeight="1">
      <c r="A7" s="113" t="s">
        <v>87</v>
      </c>
      <c r="B7" s="35">
        <v>2021.0</v>
      </c>
      <c r="C7" s="17" t="s">
        <v>16</v>
      </c>
      <c r="D7" s="17">
        <v>600.0</v>
      </c>
      <c r="E7" s="36" t="s">
        <v>6162</v>
      </c>
      <c r="F7" s="17" t="s">
        <v>6163</v>
      </c>
      <c r="G7" s="36" t="s">
        <v>6164</v>
      </c>
      <c r="H7" s="36" t="s">
        <v>6165</v>
      </c>
      <c r="I7" s="38" t="s">
        <v>6166</v>
      </c>
      <c r="J7" s="38" t="s">
        <v>6167</v>
      </c>
      <c r="K7" s="38"/>
      <c r="L7" s="38"/>
      <c r="M7" s="38"/>
    </row>
    <row r="8" ht="26.25" customHeight="1">
      <c r="A8" s="113" t="s">
        <v>94</v>
      </c>
      <c r="B8" s="35">
        <v>2021.0</v>
      </c>
      <c r="C8" s="17" t="s">
        <v>18</v>
      </c>
      <c r="D8" s="17">
        <v>1768.0</v>
      </c>
      <c r="E8" s="36" t="s">
        <v>6168</v>
      </c>
      <c r="F8" s="17" t="s">
        <v>6169</v>
      </c>
      <c r="G8" s="36" t="s">
        <v>6170</v>
      </c>
      <c r="H8" s="38" t="s">
        <v>6171</v>
      </c>
      <c r="I8" s="38" t="s">
        <v>6166</v>
      </c>
      <c r="J8" s="38" t="s">
        <v>6172</v>
      </c>
      <c r="K8" s="38"/>
      <c r="L8" s="38"/>
      <c r="M8" s="38"/>
    </row>
    <row r="9" ht="26.25" customHeight="1">
      <c r="A9" s="113" t="s">
        <v>101</v>
      </c>
      <c r="B9" s="35">
        <v>2021.0</v>
      </c>
      <c r="C9" s="42" t="s">
        <v>18</v>
      </c>
      <c r="D9" s="42">
        <v>1782.0</v>
      </c>
      <c r="E9" s="38" t="s">
        <v>6173</v>
      </c>
      <c r="F9" s="42" t="s">
        <v>6174</v>
      </c>
      <c r="G9" s="38" t="s">
        <v>6175</v>
      </c>
      <c r="H9" s="38" t="s">
        <v>6176</v>
      </c>
      <c r="I9" s="38" t="s">
        <v>6166</v>
      </c>
      <c r="J9" s="38" t="s">
        <v>6177</v>
      </c>
      <c r="K9" s="38"/>
      <c r="L9" s="38"/>
      <c r="M9" s="38"/>
    </row>
    <row r="10" ht="26.25" customHeight="1">
      <c r="A10" s="113" t="s">
        <v>108</v>
      </c>
      <c r="B10" s="35">
        <v>2021.0</v>
      </c>
      <c r="C10" s="42" t="s">
        <v>21</v>
      </c>
      <c r="D10" s="42">
        <v>3076.0</v>
      </c>
      <c r="E10" s="38" t="s">
        <v>6178</v>
      </c>
      <c r="F10" s="42" t="s">
        <v>6179</v>
      </c>
      <c r="G10" s="36" t="s">
        <v>6180</v>
      </c>
      <c r="H10" s="38" t="s">
        <v>6181</v>
      </c>
      <c r="I10" s="38" t="s">
        <v>6182</v>
      </c>
      <c r="J10" s="38" t="s">
        <v>6183</v>
      </c>
      <c r="K10" s="38"/>
      <c r="L10" s="38"/>
      <c r="M10" s="38"/>
    </row>
    <row r="11" ht="26.25" customHeight="1">
      <c r="A11" s="113" t="s">
        <v>113</v>
      </c>
      <c r="B11" s="35">
        <v>2021.0</v>
      </c>
      <c r="C11" s="17" t="s">
        <v>22</v>
      </c>
      <c r="D11" s="17">
        <v>2985.0</v>
      </c>
      <c r="E11" s="36" t="s">
        <v>6184</v>
      </c>
      <c r="F11" s="17" t="s">
        <v>6185</v>
      </c>
      <c r="G11" s="36" t="s">
        <v>6186</v>
      </c>
      <c r="H11" s="36" t="s">
        <v>6187</v>
      </c>
      <c r="I11" s="38" t="s">
        <v>6188</v>
      </c>
      <c r="J11" s="38" t="s">
        <v>6189</v>
      </c>
      <c r="K11" s="38"/>
      <c r="L11" s="38"/>
      <c r="M11" s="38"/>
    </row>
    <row r="12" ht="26.25" customHeight="1">
      <c r="A12" s="113" t="s">
        <v>120</v>
      </c>
      <c r="B12" s="35">
        <v>2022.0</v>
      </c>
      <c r="C12" s="17" t="s">
        <v>11</v>
      </c>
      <c r="D12" s="17">
        <v>3561.0</v>
      </c>
      <c r="E12" s="36" t="s">
        <v>6190</v>
      </c>
      <c r="F12" s="42" t="s">
        <v>6191</v>
      </c>
      <c r="G12" s="36" t="s">
        <v>6192</v>
      </c>
      <c r="H12" s="38" t="s">
        <v>6193</v>
      </c>
      <c r="I12" s="38" t="s">
        <v>6194</v>
      </c>
      <c r="J12" s="38" t="s">
        <v>6195</v>
      </c>
      <c r="K12" s="38"/>
      <c r="L12" s="38"/>
      <c r="M12" s="38"/>
    </row>
    <row r="13" ht="26.25" customHeight="1">
      <c r="A13" s="113" t="s">
        <v>126</v>
      </c>
      <c r="B13" s="35">
        <v>2022.0</v>
      </c>
      <c r="C13" s="42" t="s">
        <v>11</v>
      </c>
      <c r="D13" s="42">
        <v>4170.0</v>
      </c>
      <c r="E13" s="38" t="s">
        <v>6196</v>
      </c>
      <c r="F13" s="42" t="s">
        <v>6197</v>
      </c>
      <c r="G13" s="36" t="s">
        <v>6198</v>
      </c>
      <c r="H13" s="38" t="s">
        <v>6199</v>
      </c>
      <c r="I13" s="38" t="s">
        <v>6166</v>
      </c>
      <c r="J13" s="38" t="s">
        <v>6200</v>
      </c>
      <c r="K13" s="38"/>
      <c r="L13" s="38"/>
      <c r="M13" s="38"/>
    </row>
    <row r="14" ht="26.25" customHeight="1">
      <c r="A14" s="113" t="s">
        <v>132</v>
      </c>
      <c r="B14" s="35">
        <v>2022.0</v>
      </c>
      <c r="C14" s="42" t="s">
        <v>11</v>
      </c>
      <c r="D14" s="42">
        <v>4195.0</v>
      </c>
      <c r="E14" s="38" t="s">
        <v>6201</v>
      </c>
      <c r="F14" s="42" t="s">
        <v>6202</v>
      </c>
      <c r="G14" s="36" t="s">
        <v>6203</v>
      </c>
      <c r="H14" s="38" t="s">
        <v>6204</v>
      </c>
      <c r="I14" s="38" t="s">
        <v>6166</v>
      </c>
      <c r="J14" s="38" t="s">
        <v>6205</v>
      </c>
      <c r="K14" s="38"/>
      <c r="L14" s="38"/>
      <c r="M14" s="38"/>
    </row>
    <row r="15" ht="26.25" customHeight="1">
      <c r="A15" s="113" t="s">
        <v>138</v>
      </c>
      <c r="B15" s="35">
        <v>2022.0</v>
      </c>
      <c r="C15" s="42" t="s">
        <v>11</v>
      </c>
      <c r="D15" s="42">
        <v>2309.0</v>
      </c>
      <c r="E15" s="38" t="s">
        <v>6206</v>
      </c>
      <c r="F15" s="42" t="s">
        <v>6207</v>
      </c>
      <c r="G15" s="38" t="s">
        <v>6208</v>
      </c>
      <c r="H15" s="38" t="s">
        <v>6209</v>
      </c>
      <c r="I15" s="38" t="s">
        <v>6210</v>
      </c>
      <c r="J15" s="38" t="s">
        <v>6211</v>
      </c>
      <c r="K15" s="38"/>
      <c r="L15" s="38"/>
      <c r="M15" s="38"/>
    </row>
    <row r="16" ht="26.25" customHeight="1">
      <c r="A16" s="113" t="s">
        <v>144</v>
      </c>
      <c r="B16" s="35">
        <v>2022.0</v>
      </c>
      <c r="C16" s="42" t="s">
        <v>12</v>
      </c>
      <c r="D16" s="42">
        <v>4324.0</v>
      </c>
      <c r="E16" s="38" t="s">
        <v>6212</v>
      </c>
      <c r="F16" s="42" t="s">
        <v>6213</v>
      </c>
      <c r="G16" s="38" t="s">
        <v>6214</v>
      </c>
      <c r="H16" s="38" t="s">
        <v>6215</v>
      </c>
      <c r="I16" s="38" t="s">
        <v>6166</v>
      </c>
      <c r="J16" s="38" t="s">
        <v>6216</v>
      </c>
      <c r="K16" s="38"/>
      <c r="L16" s="38"/>
      <c r="M16" s="38"/>
    </row>
    <row r="17" ht="26.25" customHeight="1">
      <c r="A17" s="113" t="s">
        <v>146</v>
      </c>
      <c r="B17" s="35">
        <v>2022.0</v>
      </c>
      <c r="C17" s="42" t="s">
        <v>12</v>
      </c>
      <c r="D17" s="42">
        <v>4238.0</v>
      </c>
      <c r="E17" s="38" t="s">
        <v>6217</v>
      </c>
      <c r="F17" s="42" t="s">
        <v>6218</v>
      </c>
      <c r="G17" s="38" t="s">
        <v>6219</v>
      </c>
      <c r="H17" s="38" t="s">
        <v>6220</v>
      </c>
      <c r="I17" s="38" t="s">
        <v>6221</v>
      </c>
      <c r="J17" s="38" t="s">
        <v>6222</v>
      </c>
      <c r="K17" s="38"/>
      <c r="L17" s="38"/>
      <c r="M17" s="38"/>
    </row>
    <row r="18" ht="26.25" customHeight="1">
      <c r="A18" s="113" t="s">
        <v>151</v>
      </c>
      <c r="B18" s="35">
        <v>2022.0</v>
      </c>
      <c r="C18" s="42" t="s">
        <v>12</v>
      </c>
      <c r="D18" s="42">
        <v>4585.0</v>
      </c>
      <c r="E18" s="38" t="s">
        <v>6223</v>
      </c>
      <c r="F18" s="42" t="s">
        <v>6224</v>
      </c>
      <c r="G18" s="38" t="s">
        <v>6225</v>
      </c>
      <c r="H18" s="38" t="s">
        <v>6223</v>
      </c>
      <c r="I18" s="38" t="s">
        <v>6226</v>
      </c>
      <c r="J18" s="38" t="s">
        <v>6227</v>
      </c>
      <c r="K18" s="38"/>
      <c r="L18" s="38"/>
      <c r="M18" s="38"/>
    </row>
    <row r="19" ht="26.25" customHeight="1">
      <c r="A19" s="113" t="s">
        <v>153</v>
      </c>
      <c r="B19" s="35">
        <v>2022.0</v>
      </c>
      <c r="C19" s="42" t="s">
        <v>14</v>
      </c>
      <c r="D19" s="42">
        <v>5395.0</v>
      </c>
      <c r="E19" s="38" t="s">
        <v>6228</v>
      </c>
      <c r="F19" s="42" t="s">
        <v>6229</v>
      </c>
      <c r="G19" s="38" t="s">
        <v>6230</v>
      </c>
      <c r="H19" s="38" t="s">
        <v>6231</v>
      </c>
      <c r="I19" s="38" t="s">
        <v>6166</v>
      </c>
      <c r="J19" s="38" t="s">
        <v>6232</v>
      </c>
      <c r="K19" s="38"/>
      <c r="L19" s="38"/>
      <c r="M19" s="38"/>
    </row>
    <row r="20" ht="26.25" customHeight="1">
      <c r="A20" s="113" t="s">
        <v>159</v>
      </c>
      <c r="B20" s="35">
        <v>2022.0</v>
      </c>
      <c r="C20" s="42" t="s">
        <v>15</v>
      </c>
      <c r="D20" s="42">
        <v>5510.0</v>
      </c>
      <c r="E20" s="38" t="s">
        <v>6233</v>
      </c>
      <c r="F20" s="42" t="s">
        <v>6234</v>
      </c>
      <c r="G20" s="38" t="s">
        <v>6235</v>
      </c>
      <c r="H20" s="38" t="s">
        <v>6236</v>
      </c>
      <c r="I20" s="38" t="s">
        <v>6166</v>
      </c>
      <c r="J20" s="38" t="s">
        <v>6237</v>
      </c>
      <c r="K20" s="38"/>
      <c r="L20" s="38"/>
      <c r="M20" s="38"/>
    </row>
    <row r="21" ht="26.25" customHeight="1">
      <c r="A21" s="113" t="s">
        <v>165</v>
      </c>
      <c r="B21" s="35">
        <v>2022.0</v>
      </c>
      <c r="C21" s="42" t="s">
        <v>15</v>
      </c>
      <c r="D21" s="42">
        <v>5696.0</v>
      </c>
      <c r="E21" s="38" t="s">
        <v>6238</v>
      </c>
      <c r="F21" s="42" t="s">
        <v>6239</v>
      </c>
      <c r="G21" s="38" t="s">
        <v>6240</v>
      </c>
      <c r="H21" s="38" t="s">
        <v>6241</v>
      </c>
      <c r="I21" s="38" t="s">
        <v>6242</v>
      </c>
      <c r="J21" s="38" t="s">
        <v>6243</v>
      </c>
      <c r="K21" s="38"/>
      <c r="L21" s="38"/>
      <c r="M21" s="38"/>
    </row>
    <row r="22" ht="26.25" customHeight="1">
      <c r="A22" s="113" t="s">
        <v>171</v>
      </c>
      <c r="B22" s="35">
        <v>2022.0</v>
      </c>
      <c r="C22" s="42" t="s">
        <v>15</v>
      </c>
      <c r="D22" s="42">
        <v>5696.0</v>
      </c>
      <c r="E22" s="38" t="s">
        <v>6238</v>
      </c>
      <c r="F22" s="42" t="s">
        <v>6239</v>
      </c>
      <c r="G22" s="38" t="s">
        <v>6240</v>
      </c>
      <c r="H22" s="38" t="s">
        <v>6244</v>
      </c>
      <c r="I22" s="38" t="s">
        <v>6242</v>
      </c>
      <c r="J22" s="38" t="s">
        <v>6243</v>
      </c>
      <c r="K22" s="38"/>
      <c r="L22" s="38"/>
      <c r="M22" s="38"/>
    </row>
    <row r="23" ht="26.25" customHeight="1">
      <c r="A23" s="113" t="s">
        <v>173</v>
      </c>
      <c r="B23" s="35">
        <v>2022.0</v>
      </c>
      <c r="C23" s="42" t="s">
        <v>15</v>
      </c>
      <c r="D23" s="42">
        <v>5696.0</v>
      </c>
      <c r="E23" s="38" t="s">
        <v>6238</v>
      </c>
      <c r="F23" s="42" t="s">
        <v>6239</v>
      </c>
      <c r="G23" s="38" t="s">
        <v>6240</v>
      </c>
      <c r="H23" s="38" t="s">
        <v>6245</v>
      </c>
      <c r="I23" s="38" t="s">
        <v>6242</v>
      </c>
      <c r="J23" s="38" t="s">
        <v>6243</v>
      </c>
      <c r="K23" s="38"/>
      <c r="L23" s="38"/>
      <c r="M23" s="38"/>
    </row>
    <row r="24" ht="26.25" customHeight="1">
      <c r="A24" s="113" t="s">
        <v>178</v>
      </c>
      <c r="B24" s="35">
        <v>2022.0</v>
      </c>
      <c r="C24" s="42" t="s">
        <v>16</v>
      </c>
      <c r="D24" s="42">
        <v>5814.0</v>
      </c>
      <c r="E24" s="38" t="s">
        <v>6246</v>
      </c>
      <c r="F24" s="43" t="s">
        <v>6247</v>
      </c>
      <c r="G24" s="38" t="s">
        <v>6248</v>
      </c>
      <c r="H24" s="38" t="s">
        <v>6249</v>
      </c>
      <c r="I24" s="38" t="s">
        <v>6166</v>
      </c>
      <c r="J24" s="38" t="s">
        <v>6250</v>
      </c>
      <c r="K24" s="38"/>
      <c r="L24" s="38"/>
      <c r="M24" s="38"/>
    </row>
    <row r="25" ht="26.25" customHeight="1">
      <c r="A25" s="113" t="s">
        <v>184</v>
      </c>
      <c r="B25" s="35">
        <v>2022.0</v>
      </c>
      <c r="C25" s="42" t="s">
        <v>17</v>
      </c>
      <c r="D25" s="17">
        <v>5836.0</v>
      </c>
      <c r="E25" s="36" t="s">
        <v>6251</v>
      </c>
      <c r="F25" s="48" t="s">
        <v>6252</v>
      </c>
      <c r="G25" s="36"/>
      <c r="H25" s="38" t="s">
        <v>6253</v>
      </c>
      <c r="I25" s="38" t="s">
        <v>6166</v>
      </c>
      <c r="J25" s="38" t="s">
        <v>6254</v>
      </c>
      <c r="K25" s="38"/>
      <c r="L25" s="38"/>
      <c r="M25" s="38"/>
    </row>
    <row r="26" ht="26.25" customHeight="1">
      <c r="A26" s="113" t="s">
        <v>190</v>
      </c>
      <c r="B26" s="35">
        <v>2022.0</v>
      </c>
      <c r="C26" s="42" t="s">
        <v>17</v>
      </c>
      <c r="D26" s="17">
        <v>5836.0</v>
      </c>
      <c r="E26" s="36" t="s">
        <v>6251</v>
      </c>
      <c r="F26" s="48" t="s">
        <v>6252</v>
      </c>
      <c r="G26" s="36"/>
      <c r="H26" s="38" t="s">
        <v>6255</v>
      </c>
      <c r="I26" s="38" t="s">
        <v>6166</v>
      </c>
      <c r="J26" s="38" t="s">
        <v>6254</v>
      </c>
      <c r="K26" s="38"/>
      <c r="L26" s="38"/>
      <c r="M26" s="38"/>
    </row>
    <row r="27" ht="26.25" customHeight="1">
      <c r="A27" s="113" t="s">
        <v>196</v>
      </c>
      <c r="B27" s="35">
        <v>2022.0</v>
      </c>
      <c r="C27" s="42" t="s">
        <v>17</v>
      </c>
      <c r="D27" s="42">
        <v>6139.0</v>
      </c>
      <c r="E27" s="38" t="s">
        <v>3786</v>
      </c>
      <c r="F27" s="43" t="s">
        <v>6256</v>
      </c>
      <c r="G27" s="38" t="s">
        <v>6257</v>
      </c>
      <c r="H27" s="38" t="s">
        <v>6258</v>
      </c>
      <c r="I27" s="38" t="s">
        <v>6166</v>
      </c>
      <c r="J27" s="38" t="s">
        <v>6259</v>
      </c>
      <c r="K27" s="38"/>
      <c r="L27" s="38"/>
      <c r="M27" s="38"/>
    </row>
    <row r="28" ht="26.25" customHeight="1">
      <c r="A28" s="113" t="s">
        <v>202</v>
      </c>
      <c r="B28" s="35">
        <v>2022.0</v>
      </c>
      <c r="C28" s="42" t="s">
        <v>17</v>
      </c>
      <c r="D28" s="17">
        <v>4289.0</v>
      </c>
      <c r="E28" s="36" t="s">
        <v>6260</v>
      </c>
      <c r="F28" s="43" t="s">
        <v>6261</v>
      </c>
      <c r="G28" s="36" t="s">
        <v>6262</v>
      </c>
      <c r="H28" s="36" t="s">
        <v>6263</v>
      </c>
      <c r="I28" s="38" t="s">
        <v>6226</v>
      </c>
      <c r="J28" s="38" t="s">
        <v>6264</v>
      </c>
      <c r="K28" s="38"/>
      <c r="L28" s="38"/>
      <c r="M28" s="38"/>
    </row>
    <row r="29" ht="26.25" customHeight="1">
      <c r="A29" s="113" t="s">
        <v>208</v>
      </c>
      <c r="B29" s="35">
        <v>2022.0</v>
      </c>
      <c r="C29" s="42" t="s">
        <v>18</v>
      </c>
      <c r="D29" s="42">
        <v>6472.0</v>
      </c>
      <c r="E29" s="38" t="s">
        <v>6265</v>
      </c>
      <c r="F29" s="43" t="s">
        <v>6266</v>
      </c>
      <c r="G29" s="38" t="s">
        <v>6267</v>
      </c>
      <c r="H29" s="38" t="s">
        <v>6268</v>
      </c>
      <c r="I29" s="38" t="s">
        <v>6166</v>
      </c>
      <c r="J29" s="38" t="s">
        <v>6269</v>
      </c>
      <c r="K29" s="38"/>
      <c r="L29" s="38"/>
      <c r="M29" s="38"/>
    </row>
    <row r="30" ht="26.25" customHeight="1">
      <c r="A30" s="113" t="s">
        <v>213</v>
      </c>
      <c r="B30" s="35">
        <v>2022.0</v>
      </c>
      <c r="C30" s="42" t="s">
        <v>22</v>
      </c>
      <c r="D30" s="17">
        <v>5836.0</v>
      </c>
      <c r="E30" s="36" t="s">
        <v>6251</v>
      </c>
      <c r="F30" s="48" t="s">
        <v>6252</v>
      </c>
      <c r="G30" s="36"/>
      <c r="H30" s="38" t="s">
        <v>6270</v>
      </c>
      <c r="I30" s="38" t="s">
        <v>6166</v>
      </c>
      <c r="J30" s="38" t="s">
        <v>6254</v>
      </c>
      <c r="K30" s="38"/>
      <c r="L30" s="38"/>
      <c r="M30" s="38"/>
    </row>
    <row r="31" ht="26.25" customHeight="1">
      <c r="A31" s="113" t="s">
        <v>215</v>
      </c>
      <c r="B31" s="35">
        <v>2023.0</v>
      </c>
      <c r="C31" s="42" t="s">
        <v>12</v>
      </c>
      <c r="D31" s="42">
        <v>2200.0</v>
      </c>
      <c r="E31" s="38" t="s">
        <v>6271</v>
      </c>
      <c r="F31" s="42" t="s">
        <v>6272</v>
      </c>
      <c r="G31" s="38" t="s">
        <v>6273</v>
      </c>
      <c r="H31" s="38" t="s">
        <v>6274</v>
      </c>
      <c r="I31" s="38" t="s">
        <v>6166</v>
      </c>
      <c r="J31" s="38" t="s">
        <v>6275</v>
      </c>
      <c r="K31" s="38"/>
      <c r="L31" s="38"/>
      <c r="M31" s="38"/>
    </row>
    <row r="32" ht="26.25" customHeight="1">
      <c r="A32" s="113" t="s">
        <v>354</v>
      </c>
      <c r="B32" s="35">
        <v>2023.0</v>
      </c>
      <c r="C32" s="42" t="s">
        <v>11</v>
      </c>
      <c r="D32" s="42">
        <v>1782.0</v>
      </c>
      <c r="E32" s="38" t="s">
        <v>6173</v>
      </c>
      <c r="F32" s="42" t="s">
        <v>6174</v>
      </c>
      <c r="G32" s="38" t="s">
        <v>6175</v>
      </c>
      <c r="H32" s="38" t="s">
        <v>6276</v>
      </c>
      <c r="I32" s="38" t="s">
        <v>6166</v>
      </c>
      <c r="J32" s="38" t="s">
        <v>6177</v>
      </c>
      <c r="K32" s="38"/>
      <c r="L32" s="38"/>
      <c r="M32" s="38"/>
    </row>
    <row r="33" ht="26.25" customHeight="1">
      <c r="A33" s="113" t="s">
        <v>358</v>
      </c>
      <c r="B33" s="35">
        <v>2023.0</v>
      </c>
      <c r="C33" s="42" t="s">
        <v>12</v>
      </c>
      <c r="D33" s="42">
        <v>1782.0</v>
      </c>
      <c r="E33" s="38" t="s">
        <v>6173</v>
      </c>
      <c r="F33" s="42" t="s">
        <v>6174</v>
      </c>
      <c r="G33" s="38" t="s">
        <v>6175</v>
      </c>
      <c r="H33" s="38" t="s">
        <v>6277</v>
      </c>
      <c r="I33" s="38" t="s">
        <v>6166</v>
      </c>
      <c r="J33" s="38" t="s">
        <v>6177</v>
      </c>
      <c r="K33" s="38"/>
      <c r="L33" s="38"/>
      <c r="M33" s="38"/>
    </row>
    <row r="34" ht="26.25" customHeight="1">
      <c r="A34" s="113" t="s">
        <v>360</v>
      </c>
      <c r="B34" s="35">
        <v>2023.0</v>
      </c>
      <c r="C34" s="42" t="s">
        <v>14</v>
      </c>
      <c r="D34" s="42">
        <v>8665.0</v>
      </c>
      <c r="E34" s="38" t="s">
        <v>6278</v>
      </c>
      <c r="F34" s="43" t="s">
        <v>6279</v>
      </c>
      <c r="G34" s="38" t="s">
        <v>6280</v>
      </c>
      <c r="H34" s="38" t="s">
        <v>6281</v>
      </c>
      <c r="I34" s="38" t="s">
        <v>6282</v>
      </c>
      <c r="J34" s="38" t="s">
        <v>6283</v>
      </c>
      <c r="K34" s="38"/>
      <c r="L34" s="38"/>
      <c r="M34" s="38"/>
    </row>
    <row r="35" ht="26.25" customHeight="1">
      <c r="A35" s="113" t="s">
        <v>366</v>
      </c>
      <c r="B35" s="35">
        <v>2023.0</v>
      </c>
      <c r="C35" s="42" t="s">
        <v>15</v>
      </c>
      <c r="D35" s="42">
        <v>1782.0</v>
      </c>
      <c r="E35" s="38" t="s">
        <v>6173</v>
      </c>
      <c r="F35" s="42" t="s">
        <v>6174</v>
      </c>
      <c r="G35" s="38" t="s">
        <v>6175</v>
      </c>
      <c r="H35" s="38" t="s">
        <v>6284</v>
      </c>
      <c r="I35" s="38" t="s">
        <v>6166</v>
      </c>
      <c r="J35" s="38" t="s">
        <v>6177</v>
      </c>
      <c r="K35" s="38"/>
      <c r="L35" s="38"/>
      <c r="M35" s="38"/>
    </row>
    <row r="36" ht="26.25" customHeight="1">
      <c r="A36" s="113" t="s">
        <v>372</v>
      </c>
      <c r="B36" s="35">
        <v>2023.0</v>
      </c>
      <c r="C36" s="42" t="s">
        <v>17</v>
      </c>
      <c r="D36" s="42">
        <v>9321.0</v>
      </c>
      <c r="E36" s="38" t="s">
        <v>6285</v>
      </c>
      <c r="F36" s="43" t="s">
        <v>6286</v>
      </c>
      <c r="G36" s="38" t="s">
        <v>6287</v>
      </c>
      <c r="H36" s="38" t="s">
        <v>6288</v>
      </c>
      <c r="I36" s="38" t="s">
        <v>6226</v>
      </c>
      <c r="J36" s="38" t="s">
        <v>6289</v>
      </c>
      <c r="K36" s="38"/>
      <c r="L36" s="38"/>
      <c r="M36" s="38"/>
    </row>
    <row r="37" ht="26.25" customHeight="1">
      <c r="A37" s="113" t="s">
        <v>377</v>
      </c>
      <c r="B37" s="35">
        <v>2023.0</v>
      </c>
      <c r="C37" s="42" t="s">
        <v>16</v>
      </c>
      <c r="D37" s="17">
        <v>4289.0</v>
      </c>
      <c r="E37" s="36" t="s">
        <v>6260</v>
      </c>
      <c r="F37" s="43" t="s">
        <v>6261</v>
      </c>
      <c r="G37" s="36" t="s">
        <v>6262</v>
      </c>
      <c r="H37" s="36" t="s">
        <v>6290</v>
      </c>
      <c r="I37" s="38" t="s">
        <v>6226</v>
      </c>
      <c r="J37" s="38" t="s">
        <v>6264</v>
      </c>
      <c r="K37" s="38"/>
      <c r="L37" s="38"/>
      <c r="M37" s="38"/>
    </row>
    <row r="38" ht="26.25" customHeight="1">
      <c r="A38" s="113" t="s">
        <v>383</v>
      </c>
      <c r="B38" s="35">
        <v>2023.0</v>
      </c>
      <c r="C38" s="42" t="s">
        <v>16</v>
      </c>
      <c r="D38" s="42">
        <v>9207.0</v>
      </c>
      <c r="E38" s="38" t="s">
        <v>6291</v>
      </c>
      <c r="F38" s="43" t="s">
        <v>6292</v>
      </c>
      <c r="G38" s="38" t="s">
        <v>6293</v>
      </c>
      <c r="H38" s="38" t="s">
        <v>6294</v>
      </c>
      <c r="I38" s="38" t="s">
        <v>6166</v>
      </c>
      <c r="J38" s="38" t="s">
        <v>6295</v>
      </c>
      <c r="K38" s="38"/>
      <c r="L38" s="38"/>
      <c r="M38" s="38"/>
    </row>
    <row r="39" ht="26.25" customHeight="1">
      <c r="A39" s="113" t="s">
        <v>390</v>
      </c>
      <c r="B39" s="35">
        <v>2023.0</v>
      </c>
      <c r="C39" s="42" t="s">
        <v>16</v>
      </c>
      <c r="D39" s="42">
        <v>9138.0</v>
      </c>
      <c r="E39" s="38" t="s">
        <v>6296</v>
      </c>
      <c r="F39" s="43" t="s">
        <v>6297</v>
      </c>
      <c r="G39" s="38" t="s">
        <v>6298</v>
      </c>
      <c r="H39" s="38" t="s">
        <v>6299</v>
      </c>
      <c r="I39" s="38" t="s">
        <v>6300</v>
      </c>
      <c r="J39" s="38" t="s">
        <v>6301</v>
      </c>
      <c r="K39" s="38"/>
      <c r="L39" s="38"/>
      <c r="M39" s="38"/>
    </row>
    <row r="40" ht="26.25" customHeight="1">
      <c r="A40" s="113" t="s">
        <v>393</v>
      </c>
      <c r="B40" s="35">
        <v>2023.0</v>
      </c>
      <c r="C40" s="42" t="s">
        <v>16</v>
      </c>
      <c r="D40" s="42">
        <v>9265.0</v>
      </c>
      <c r="E40" s="38" t="s">
        <v>6302</v>
      </c>
      <c r="F40" s="43" t="s">
        <v>6303</v>
      </c>
      <c r="G40" s="38" t="s">
        <v>6304</v>
      </c>
      <c r="H40" s="38" t="s">
        <v>6305</v>
      </c>
      <c r="I40" s="38" t="s">
        <v>6166</v>
      </c>
      <c r="J40" s="38" t="s">
        <v>6306</v>
      </c>
      <c r="K40" s="38"/>
      <c r="L40" s="38"/>
      <c r="M40" s="38"/>
    </row>
    <row r="41" ht="26.25" customHeight="1">
      <c r="A41" s="113" t="s">
        <v>399</v>
      </c>
      <c r="B41" s="35">
        <v>2023.0</v>
      </c>
      <c r="C41" s="42" t="s">
        <v>16</v>
      </c>
      <c r="D41" s="42">
        <v>9188.0</v>
      </c>
      <c r="E41" s="38" t="s">
        <v>6307</v>
      </c>
      <c r="F41" s="43" t="s">
        <v>6308</v>
      </c>
      <c r="G41" s="38" t="s">
        <v>6309</v>
      </c>
      <c r="H41" s="38" t="s">
        <v>6310</v>
      </c>
      <c r="I41" s="38" t="s">
        <v>6300</v>
      </c>
      <c r="J41" s="38" t="s">
        <v>6311</v>
      </c>
      <c r="K41" s="38"/>
      <c r="L41" s="38"/>
      <c r="M41" s="38"/>
    </row>
    <row r="42" ht="26.25" customHeight="1">
      <c r="A42" s="113" t="s">
        <v>404</v>
      </c>
      <c r="B42" s="35">
        <v>2023.0</v>
      </c>
      <c r="C42" s="42" t="s">
        <v>18</v>
      </c>
      <c r="D42" s="42">
        <v>9679.0</v>
      </c>
      <c r="E42" s="38" t="s">
        <v>6312</v>
      </c>
      <c r="F42" s="42" t="s">
        <v>6313</v>
      </c>
      <c r="G42" s="36"/>
      <c r="H42" s="38" t="s">
        <v>6314</v>
      </c>
      <c r="I42" s="144" t="s">
        <v>6166</v>
      </c>
      <c r="J42" s="38" t="s">
        <v>6315</v>
      </c>
      <c r="K42" s="38"/>
      <c r="L42" s="38"/>
      <c r="M42" s="38"/>
    </row>
    <row r="43" ht="26.25" customHeight="1">
      <c r="A43" s="113" t="s">
        <v>409</v>
      </c>
      <c r="B43" s="35">
        <v>2023.0</v>
      </c>
      <c r="C43" s="42" t="s">
        <v>18</v>
      </c>
      <c r="D43" s="42">
        <v>9752.0</v>
      </c>
      <c r="E43" s="38" t="s">
        <v>6316</v>
      </c>
      <c r="F43" s="42" t="s">
        <v>6317</v>
      </c>
      <c r="G43" s="38" t="s">
        <v>6318</v>
      </c>
      <c r="H43" s="38" t="s">
        <v>6319</v>
      </c>
      <c r="I43" s="144" t="s">
        <v>6166</v>
      </c>
      <c r="J43" s="38" t="s">
        <v>6320</v>
      </c>
      <c r="K43" s="38"/>
      <c r="L43" s="38"/>
      <c r="M43" s="38"/>
    </row>
    <row r="44" ht="26.25" customHeight="1">
      <c r="A44" s="113" t="s">
        <v>415</v>
      </c>
      <c r="B44" s="35">
        <v>2023.0</v>
      </c>
      <c r="C44" s="17" t="s">
        <v>19</v>
      </c>
      <c r="D44" s="17">
        <v>9941.0</v>
      </c>
      <c r="E44" s="36" t="s">
        <v>6321</v>
      </c>
      <c r="F44" s="42" t="s">
        <v>6322</v>
      </c>
      <c r="G44" s="38" t="s">
        <v>6323</v>
      </c>
      <c r="H44" s="36" t="s">
        <v>6324</v>
      </c>
      <c r="I44" s="38" t="s">
        <v>6300</v>
      </c>
      <c r="J44" s="38" t="s">
        <v>6325</v>
      </c>
      <c r="K44" s="38"/>
      <c r="L44" s="38"/>
      <c r="M44" s="38"/>
    </row>
    <row r="45" ht="26.25" customHeight="1">
      <c r="A45" s="113" t="s">
        <v>421</v>
      </c>
      <c r="B45" s="35">
        <v>2023.0</v>
      </c>
      <c r="C45" s="17" t="s">
        <v>19</v>
      </c>
      <c r="D45" s="17">
        <v>9884.0</v>
      </c>
      <c r="E45" s="36" t="s">
        <v>6326</v>
      </c>
      <c r="F45" s="42" t="s">
        <v>6327</v>
      </c>
      <c r="G45" s="38" t="s">
        <v>6328</v>
      </c>
      <c r="H45" s="36" t="s">
        <v>6329</v>
      </c>
      <c r="I45" s="38" t="s">
        <v>6166</v>
      </c>
      <c r="J45" s="38" t="s">
        <v>6330</v>
      </c>
      <c r="K45" s="38"/>
      <c r="L45" s="38"/>
      <c r="M45" s="38"/>
    </row>
    <row r="46" ht="26.25" customHeight="1">
      <c r="A46" s="113" t="s">
        <v>426</v>
      </c>
      <c r="B46" s="35">
        <v>2023.0</v>
      </c>
      <c r="C46" s="17" t="s">
        <v>19</v>
      </c>
      <c r="D46" s="17">
        <v>9988.0</v>
      </c>
      <c r="E46" s="36" t="s">
        <v>6331</v>
      </c>
      <c r="F46" s="43" t="s">
        <v>6332</v>
      </c>
      <c r="G46" s="38" t="s">
        <v>6333</v>
      </c>
      <c r="H46" s="36" t="s">
        <v>6334</v>
      </c>
      <c r="I46" s="38" t="s">
        <v>6166</v>
      </c>
      <c r="J46" s="38" t="s">
        <v>6335</v>
      </c>
      <c r="K46" s="38"/>
      <c r="L46" s="38"/>
      <c r="M46" s="38"/>
    </row>
    <row r="47" ht="26.25" customHeight="1">
      <c r="A47" s="113" t="s">
        <v>432</v>
      </c>
      <c r="B47" s="35">
        <v>2023.0</v>
      </c>
      <c r="C47" s="17" t="s">
        <v>20</v>
      </c>
      <c r="D47" s="17">
        <v>7465.0</v>
      </c>
      <c r="E47" s="36" t="s">
        <v>6336</v>
      </c>
      <c r="F47" s="43" t="s">
        <v>6337</v>
      </c>
      <c r="G47" s="38" t="s">
        <v>6338</v>
      </c>
      <c r="H47" s="36" t="s">
        <v>6336</v>
      </c>
      <c r="I47" s="38" t="s">
        <v>6155</v>
      </c>
      <c r="J47" s="38" t="s">
        <v>6339</v>
      </c>
      <c r="K47" s="38"/>
      <c r="L47" s="38"/>
      <c r="M47" s="38"/>
    </row>
    <row r="48" ht="26.25" customHeight="1">
      <c r="A48" s="113" t="s">
        <v>437</v>
      </c>
      <c r="B48" s="35">
        <v>2023.0</v>
      </c>
      <c r="C48" s="17" t="s">
        <v>20</v>
      </c>
      <c r="D48" s="17">
        <v>10227.0</v>
      </c>
      <c r="E48" s="36" t="s">
        <v>6340</v>
      </c>
      <c r="F48" s="43" t="s">
        <v>6341</v>
      </c>
      <c r="G48" s="38" t="s">
        <v>6342</v>
      </c>
      <c r="H48" s="36" t="s">
        <v>6343</v>
      </c>
      <c r="I48" s="38" t="s">
        <v>6166</v>
      </c>
      <c r="J48" s="38" t="s">
        <v>6344</v>
      </c>
      <c r="K48" s="38"/>
      <c r="L48" s="38"/>
      <c r="M48" s="38"/>
    </row>
    <row r="49" ht="26.25" customHeight="1">
      <c r="A49" s="113" t="s">
        <v>441</v>
      </c>
      <c r="B49" s="35">
        <v>2023.0</v>
      </c>
      <c r="C49" s="42" t="s">
        <v>21</v>
      </c>
      <c r="D49" s="42">
        <v>9265.0</v>
      </c>
      <c r="E49" s="38" t="s">
        <v>6302</v>
      </c>
      <c r="F49" s="43" t="s">
        <v>6303</v>
      </c>
      <c r="G49" s="38" t="s">
        <v>6304</v>
      </c>
      <c r="H49" s="38" t="s">
        <v>6345</v>
      </c>
      <c r="I49" s="38" t="s">
        <v>6166</v>
      </c>
      <c r="J49" s="38" t="s">
        <v>6306</v>
      </c>
      <c r="K49" s="38"/>
      <c r="L49" s="38"/>
      <c r="M49" s="38"/>
    </row>
    <row r="50" ht="26.25" customHeight="1">
      <c r="A50" s="113" t="s">
        <v>445</v>
      </c>
      <c r="B50" s="35">
        <v>2023.0</v>
      </c>
      <c r="C50" s="42" t="s">
        <v>21</v>
      </c>
      <c r="D50" s="42">
        <v>10527.0</v>
      </c>
      <c r="E50" s="38" t="s">
        <v>6346</v>
      </c>
      <c r="F50" s="43" t="s">
        <v>6347</v>
      </c>
      <c r="G50" s="38" t="s">
        <v>6348</v>
      </c>
      <c r="H50" s="38" t="s">
        <v>6349</v>
      </c>
      <c r="I50" s="38" t="s">
        <v>6166</v>
      </c>
      <c r="J50" s="38" t="s">
        <v>6350</v>
      </c>
      <c r="K50" s="38"/>
      <c r="L50" s="38"/>
      <c r="M50" s="38"/>
    </row>
    <row r="51" ht="26.25" customHeight="1">
      <c r="A51" s="113" t="s">
        <v>451</v>
      </c>
      <c r="B51" s="35">
        <v>2023.0</v>
      </c>
      <c r="C51" s="17" t="s">
        <v>21</v>
      </c>
      <c r="D51" s="17">
        <v>10646.0</v>
      </c>
      <c r="E51" s="36" t="s">
        <v>6351</v>
      </c>
      <c r="F51" s="43" t="s">
        <v>6352</v>
      </c>
      <c r="G51" s="38" t="s">
        <v>6353</v>
      </c>
      <c r="H51" s="36" t="s">
        <v>6354</v>
      </c>
      <c r="I51" s="38" t="s">
        <v>6194</v>
      </c>
      <c r="J51" s="38" t="s">
        <v>6355</v>
      </c>
      <c r="K51" s="38"/>
      <c r="L51" s="38"/>
      <c r="M51" s="38"/>
    </row>
    <row r="52" ht="26.25" customHeight="1">
      <c r="A52" s="113" t="s">
        <v>457</v>
      </c>
      <c r="B52" s="35">
        <v>2023.0</v>
      </c>
      <c r="C52" s="17" t="s">
        <v>21</v>
      </c>
      <c r="D52" s="17">
        <v>10620.0</v>
      </c>
      <c r="E52" s="36" t="s">
        <v>6356</v>
      </c>
      <c r="F52" s="43" t="s">
        <v>6357</v>
      </c>
      <c r="G52" s="38" t="s">
        <v>6358</v>
      </c>
      <c r="H52" s="38" t="s">
        <v>6359</v>
      </c>
      <c r="I52" s="38" t="s">
        <v>6282</v>
      </c>
      <c r="J52" s="38" t="s">
        <v>6360</v>
      </c>
      <c r="K52" s="38"/>
      <c r="L52" s="38"/>
      <c r="M52" s="38"/>
    </row>
    <row r="53" ht="26.25" customHeight="1">
      <c r="A53" s="113" t="s">
        <v>463</v>
      </c>
      <c r="B53" s="35">
        <v>2023.0</v>
      </c>
      <c r="C53" s="17" t="s">
        <v>22</v>
      </c>
      <c r="D53" s="17">
        <v>10620.0</v>
      </c>
      <c r="E53" s="36" t="s">
        <v>6356</v>
      </c>
      <c r="F53" s="43" t="s">
        <v>6357</v>
      </c>
      <c r="G53" s="38" t="s">
        <v>6358</v>
      </c>
      <c r="H53" s="38" t="s">
        <v>6361</v>
      </c>
      <c r="I53" s="38" t="s">
        <v>6282</v>
      </c>
      <c r="J53" s="38" t="s">
        <v>6360</v>
      </c>
      <c r="K53" s="38"/>
      <c r="L53" s="38"/>
      <c r="M53" s="38"/>
    </row>
    <row r="54" ht="26.25" customHeight="1">
      <c r="A54" s="113" t="s">
        <v>468</v>
      </c>
      <c r="B54" s="35">
        <v>2023.0</v>
      </c>
      <c r="C54" s="17" t="s">
        <v>22</v>
      </c>
      <c r="D54" s="17">
        <v>10526.0</v>
      </c>
      <c r="E54" s="36" t="s">
        <v>6362</v>
      </c>
      <c r="F54" s="43" t="s">
        <v>6363</v>
      </c>
      <c r="G54" s="36" t="s">
        <v>6364</v>
      </c>
      <c r="H54" s="38" t="s">
        <v>6365</v>
      </c>
      <c r="I54" s="38" t="s">
        <v>6226</v>
      </c>
      <c r="J54" s="38" t="s">
        <v>6366</v>
      </c>
      <c r="K54" s="38"/>
      <c r="L54" s="38"/>
      <c r="M54" s="38"/>
    </row>
    <row r="55" ht="26.25" customHeight="1">
      <c r="A55" s="113" t="s">
        <v>473</v>
      </c>
      <c r="B55" s="35">
        <v>2023.0</v>
      </c>
      <c r="C55" s="17" t="s">
        <v>22</v>
      </c>
      <c r="D55" s="17">
        <v>10526.0</v>
      </c>
      <c r="E55" s="36" t="s">
        <v>6362</v>
      </c>
      <c r="F55" s="43" t="s">
        <v>6363</v>
      </c>
      <c r="G55" s="36" t="s">
        <v>6364</v>
      </c>
      <c r="H55" s="38" t="s">
        <v>6367</v>
      </c>
      <c r="I55" s="38" t="s">
        <v>6226</v>
      </c>
      <c r="J55" s="38" t="s">
        <v>6366</v>
      </c>
      <c r="K55" s="38"/>
      <c r="L55" s="38"/>
      <c r="M55" s="38"/>
    </row>
    <row r="56" ht="26.25" customHeight="1">
      <c r="A56" s="113" t="s">
        <v>479</v>
      </c>
      <c r="B56" s="35">
        <v>2024.0</v>
      </c>
      <c r="C56" s="17" t="s">
        <v>11</v>
      </c>
      <c r="D56" s="17">
        <v>10878.0</v>
      </c>
      <c r="E56" s="36" t="s">
        <v>6368</v>
      </c>
      <c r="F56" s="43" t="s">
        <v>6369</v>
      </c>
      <c r="G56" s="36" t="s">
        <v>6370</v>
      </c>
      <c r="H56" s="36" t="s">
        <v>6371</v>
      </c>
      <c r="I56" s="38" t="s">
        <v>6166</v>
      </c>
      <c r="J56" s="38" t="s">
        <v>6372</v>
      </c>
      <c r="K56" s="38"/>
      <c r="L56" s="38"/>
      <c r="M56" s="38"/>
    </row>
    <row r="57" ht="26.25" customHeight="1">
      <c r="A57" s="113" t="s">
        <v>485</v>
      </c>
      <c r="B57" s="35">
        <v>2024.0</v>
      </c>
      <c r="C57" s="17" t="s">
        <v>11</v>
      </c>
      <c r="D57" s="17">
        <v>10946.0</v>
      </c>
      <c r="E57" s="36" t="s">
        <v>6373</v>
      </c>
      <c r="F57" s="43" t="s">
        <v>6374</v>
      </c>
      <c r="G57" s="36" t="s">
        <v>6375</v>
      </c>
      <c r="H57" s="38" t="s">
        <v>6376</v>
      </c>
      <c r="I57" s="38" t="s">
        <v>6242</v>
      </c>
      <c r="J57" s="38" t="s">
        <v>6377</v>
      </c>
      <c r="K57" s="38"/>
      <c r="L57" s="38"/>
      <c r="M57" s="38"/>
    </row>
    <row r="58" ht="26.25" customHeight="1">
      <c r="A58" s="113" t="s">
        <v>487</v>
      </c>
      <c r="B58" s="35">
        <v>2024.0</v>
      </c>
      <c r="C58" s="17" t="s">
        <v>11</v>
      </c>
      <c r="D58" s="17">
        <v>10646.0</v>
      </c>
      <c r="E58" s="36" t="s">
        <v>6378</v>
      </c>
      <c r="F58" s="43" t="s">
        <v>6352</v>
      </c>
      <c r="G58" s="36" t="s">
        <v>6353</v>
      </c>
      <c r="H58" s="38" t="s">
        <v>6379</v>
      </c>
      <c r="I58" s="38" t="s">
        <v>6166</v>
      </c>
      <c r="J58" s="38" t="s">
        <v>6355</v>
      </c>
      <c r="K58" s="38"/>
      <c r="L58" s="38"/>
      <c r="M58" s="38"/>
    </row>
    <row r="59" ht="26.25" customHeight="1">
      <c r="A59" s="113" t="s">
        <v>493</v>
      </c>
      <c r="B59" s="35">
        <v>2024.0</v>
      </c>
      <c r="C59" s="17" t="s">
        <v>11</v>
      </c>
      <c r="D59" s="17">
        <v>11109.0</v>
      </c>
      <c r="E59" s="36" t="s">
        <v>6380</v>
      </c>
      <c r="F59" s="43" t="s">
        <v>6381</v>
      </c>
      <c r="G59" s="36" t="s">
        <v>6382</v>
      </c>
      <c r="H59" s="36" t="s">
        <v>6383</v>
      </c>
      <c r="I59" s="38" t="s">
        <v>6242</v>
      </c>
      <c r="J59" s="38" t="s">
        <v>6384</v>
      </c>
      <c r="K59" s="38"/>
      <c r="L59" s="38"/>
      <c r="M59" s="38"/>
    </row>
    <row r="60" ht="26.25" customHeight="1">
      <c r="A60" s="113" t="s">
        <v>498</v>
      </c>
      <c r="B60" s="35">
        <v>2024.0</v>
      </c>
      <c r="C60" s="17" t="s">
        <v>12</v>
      </c>
      <c r="D60" s="17">
        <v>11335.0</v>
      </c>
      <c r="E60" s="36" t="s">
        <v>6385</v>
      </c>
      <c r="F60" s="43" t="s">
        <v>6386</v>
      </c>
      <c r="G60" s="36" t="s">
        <v>6387</v>
      </c>
      <c r="H60" s="36" t="s">
        <v>6388</v>
      </c>
      <c r="I60" s="38" t="s">
        <v>6242</v>
      </c>
      <c r="J60" s="38" t="s">
        <v>6389</v>
      </c>
      <c r="K60" s="38"/>
      <c r="L60" s="38"/>
      <c r="M60" s="38"/>
    </row>
    <row r="61" ht="26.25" customHeight="1">
      <c r="A61" s="113" t="s">
        <v>504</v>
      </c>
      <c r="B61" s="35">
        <v>2024.0</v>
      </c>
      <c r="C61" s="17" t="s">
        <v>13</v>
      </c>
      <c r="D61" s="17">
        <v>11304.0</v>
      </c>
      <c r="E61" s="36" t="s">
        <v>6390</v>
      </c>
      <c r="F61" s="43" t="s">
        <v>6391</v>
      </c>
      <c r="G61" s="36" t="s">
        <v>6392</v>
      </c>
      <c r="H61" s="36" t="s">
        <v>6393</v>
      </c>
      <c r="I61" s="38" t="s">
        <v>6166</v>
      </c>
      <c r="J61" s="38" t="s">
        <v>6394</v>
      </c>
      <c r="K61" s="38"/>
      <c r="L61" s="38"/>
      <c r="M61" s="38"/>
    </row>
    <row r="62" ht="26.25" customHeight="1">
      <c r="A62" s="113" t="s">
        <v>797</v>
      </c>
      <c r="B62" s="35">
        <v>2024.0</v>
      </c>
      <c r="C62" s="17" t="s">
        <v>12</v>
      </c>
      <c r="D62" s="17">
        <v>11332.0</v>
      </c>
      <c r="E62" s="36" t="s">
        <v>6395</v>
      </c>
      <c r="F62" s="43" t="s">
        <v>6396</v>
      </c>
      <c r="G62" s="36" t="s">
        <v>6397</v>
      </c>
      <c r="H62" s="36" t="s">
        <v>6398</v>
      </c>
      <c r="I62" s="38" t="s">
        <v>6166</v>
      </c>
      <c r="J62" s="38" t="s">
        <v>6399</v>
      </c>
      <c r="K62" s="38"/>
      <c r="L62" s="38"/>
      <c r="M62" s="38"/>
    </row>
    <row r="63" ht="26.25" customHeight="1">
      <c r="A63" s="113" t="s">
        <v>803</v>
      </c>
      <c r="B63" s="35">
        <v>2024.0</v>
      </c>
      <c r="C63" s="17" t="s">
        <v>13</v>
      </c>
      <c r="D63" s="17">
        <v>11598.0</v>
      </c>
      <c r="E63" s="36" t="s">
        <v>6400</v>
      </c>
      <c r="F63" s="43" t="s">
        <v>6401</v>
      </c>
      <c r="G63" s="36" t="s">
        <v>6402</v>
      </c>
      <c r="H63" s="36" t="s">
        <v>6400</v>
      </c>
      <c r="I63" s="38" t="s">
        <v>6226</v>
      </c>
      <c r="J63" s="38" t="s">
        <v>6403</v>
      </c>
      <c r="K63" s="38"/>
      <c r="L63" s="38"/>
      <c r="M63" s="38"/>
    </row>
    <row r="64" ht="26.25" customHeight="1">
      <c r="A64" s="113" t="s">
        <v>807</v>
      </c>
      <c r="B64" s="35">
        <v>2024.0</v>
      </c>
      <c r="C64" s="17" t="s">
        <v>15</v>
      </c>
      <c r="D64" s="17">
        <v>12156.0</v>
      </c>
      <c r="E64" s="36" t="s">
        <v>6404</v>
      </c>
      <c r="F64" s="48" t="s">
        <v>6405</v>
      </c>
      <c r="G64" s="36" t="s">
        <v>6406</v>
      </c>
      <c r="H64" s="36" t="s">
        <v>6404</v>
      </c>
      <c r="I64" s="36" t="s">
        <v>6166</v>
      </c>
      <c r="J64" s="38" t="s">
        <v>6407</v>
      </c>
      <c r="K64" s="38"/>
      <c r="L64" s="38"/>
      <c r="M64" s="38"/>
    </row>
    <row r="65" ht="26.25" customHeight="1">
      <c r="A65" s="113" t="s">
        <v>811</v>
      </c>
      <c r="B65" s="17">
        <v>2024.0</v>
      </c>
      <c r="C65" s="17" t="s">
        <v>15</v>
      </c>
      <c r="D65" s="17">
        <v>11536.0</v>
      </c>
      <c r="E65" s="36" t="s">
        <v>6408</v>
      </c>
      <c r="F65" s="48" t="s">
        <v>6409</v>
      </c>
      <c r="G65" s="36" t="s">
        <v>6410</v>
      </c>
      <c r="H65" s="36" t="s">
        <v>6411</v>
      </c>
      <c r="I65" s="36" t="s">
        <v>6226</v>
      </c>
      <c r="J65" s="38" t="s">
        <v>6412</v>
      </c>
      <c r="K65" s="38"/>
      <c r="L65" s="38"/>
      <c r="M65" s="38"/>
    </row>
    <row r="66" ht="26.25" customHeight="1">
      <c r="A66" s="113" t="s">
        <v>817</v>
      </c>
      <c r="B66" s="17">
        <v>2024.0</v>
      </c>
      <c r="C66" s="17" t="s">
        <v>15</v>
      </c>
      <c r="D66" s="17">
        <v>10527.0</v>
      </c>
      <c r="E66" s="36" t="s">
        <v>6346</v>
      </c>
      <c r="F66" s="48" t="s">
        <v>6347</v>
      </c>
      <c r="G66" s="36" t="s">
        <v>6348</v>
      </c>
      <c r="H66" s="36" t="s">
        <v>6413</v>
      </c>
      <c r="I66" s="36" t="s">
        <v>6166</v>
      </c>
      <c r="J66" s="38" t="s">
        <v>6414</v>
      </c>
      <c r="K66" s="38"/>
      <c r="L66" s="38"/>
      <c r="M66" s="38"/>
    </row>
    <row r="67" ht="26.25" customHeight="1">
      <c r="A67" s="113" t="s">
        <v>823</v>
      </c>
      <c r="B67" s="17">
        <v>2024.0</v>
      </c>
      <c r="C67" s="17" t="s">
        <v>16</v>
      </c>
      <c r="D67" s="17">
        <v>12396.0</v>
      </c>
      <c r="E67" s="36" t="s">
        <v>6415</v>
      </c>
      <c r="F67" s="48" t="s">
        <v>6416</v>
      </c>
      <c r="G67" s="47"/>
      <c r="H67" s="36" t="s">
        <v>6417</v>
      </c>
      <c r="I67" s="36" t="s">
        <v>6194</v>
      </c>
      <c r="J67" s="38" t="s">
        <v>6418</v>
      </c>
      <c r="K67" s="38"/>
      <c r="L67" s="38"/>
      <c r="M67" s="38"/>
    </row>
    <row r="68" ht="26.25" customHeight="1">
      <c r="A68" s="113" t="s">
        <v>829</v>
      </c>
      <c r="B68" s="17">
        <v>2024.0</v>
      </c>
      <c r="C68" s="17" t="s">
        <v>16</v>
      </c>
      <c r="D68" s="17">
        <v>12575.0</v>
      </c>
      <c r="E68" s="36" t="s">
        <v>6419</v>
      </c>
      <c r="F68" s="48" t="s">
        <v>6420</v>
      </c>
      <c r="G68" s="36" t="s">
        <v>6235</v>
      </c>
      <c r="H68" s="36" t="s">
        <v>6421</v>
      </c>
      <c r="I68" s="36" t="s">
        <v>6166</v>
      </c>
      <c r="J68" s="38" t="s">
        <v>6422</v>
      </c>
      <c r="K68" s="38"/>
      <c r="L68" s="38"/>
      <c r="M68" s="38"/>
    </row>
    <row r="69" ht="26.25" customHeight="1">
      <c r="A69" s="113" t="s">
        <v>831</v>
      </c>
      <c r="B69" s="17">
        <v>2024.0</v>
      </c>
      <c r="C69" s="17" t="s">
        <v>16</v>
      </c>
      <c r="D69" s="17">
        <v>12461.0</v>
      </c>
      <c r="E69" s="36" t="s">
        <v>6423</v>
      </c>
      <c r="F69" s="48" t="s">
        <v>6424</v>
      </c>
      <c r="G69" s="47"/>
      <c r="H69" s="36" t="s">
        <v>6425</v>
      </c>
      <c r="I69" s="36" t="s">
        <v>6166</v>
      </c>
      <c r="J69" s="38" t="s">
        <v>6426</v>
      </c>
      <c r="K69" s="38"/>
      <c r="L69" s="38"/>
      <c r="M69" s="38"/>
    </row>
    <row r="70" ht="26.25" customHeight="1">
      <c r="A70" s="113" t="s">
        <v>833</v>
      </c>
      <c r="B70" s="35">
        <v>2024.0</v>
      </c>
      <c r="C70" s="17" t="s">
        <v>17</v>
      </c>
      <c r="D70" s="17">
        <v>12599.0</v>
      </c>
      <c r="E70" s="36" t="s">
        <v>6427</v>
      </c>
      <c r="F70" s="48" t="s">
        <v>6428</v>
      </c>
      <c r="G70" s="36" t="s">
        <v>6429</v>
      </c>
      <c r="H70" s="37" t="s">
        <v>6427</v>
      </c>
      <c r="I70" s="36" t="s">
        <v>6166</v>
      </c>
      <c r="J70" s="38" t="s">
        <v>6430</v>
      </c>
      <c r="K70" s="38"/>
      <c r="L70" s="38"/>
      <c r="M70" s="38"/>
    </row>
    <row r="71" ht="26.25" customHeight="1">
      <c r="A71" s="113" t="s">
        <v>835</v>
      </c>
      <c r="B71" s="35">
        <v>2024.0</v>
      </c>
      <c r="C71" s="17" t="s">
        <v>17</v>
      </c>
      <c r="D71" s="15">
        <v>12748.0</v>
      </c>
      <c r="E71" s="49" t="s">
        <v>6431</v>
      </c>
      <c r="F71" s="50" t="s">
        <v>6432</v>
      </c>
      <c r="G71" s="36" t="s">
        <v>6433</v>
      </c>
      <c r="H71" s="49" t="s">
        <v>6434</v>
      </c>
      <c r="I71" s="49" t="s">
        <v>6166</v>
      </c>
      <c r="J71" s="38" t="s">
        <v>6435</v>
      </c>
      <c r="K71" s="38"/>
      <c r="L71" s="38"/>
      <c r="M71" s="38"/>
    </row>
    <row r="72" ht="26.25" customHeight="1">
      <c r="A72" s="113" t="s">
        <v>840</v>
      </c>
      <c r="B72" s="35">
        <v>2024.0</v>
      </c>
      <c r="C72" s="17" t="s">
        <v>17</v>
      </c>
      <c r="D72" s="15">
        <v>12760.0</v>
      </c>
      <c r="E72" s="49" t="s">
        <v>6436</v>
      </c>
      <c r="F72" s="50" t="s">
        <v>6437</v>
      </c>
      <c r="G72" s="36"/>
      <c r="H72" s="49" t="s">
        <v>6438</v>
      </c>
      <c r="I72" s="49" t="s">
        <v>6166</v>
      </c>
      <c r="J72" s="38" t="s">
        <v>6439</v>
      </c>
      <c r="K72" s="38"/>
      <c r="L72" s="38"/>
      <c r="M72" s="38"/>
    </row>
    <row r="73" ht="26.25" customHeight="1">
      <c r="A73" s="113" t="s">
        <v>846</v>
      </c>
      <c r="B73" s="35">
        <v>2024.0</v>
      </c>
      <c r="C73" s="17" t="s">
        <v>19</v>
      </c>
      <c r="D73" s="15">
        <v>10526.0</v>
      </c>
      <c r="E73" s="49" t="s">
        <v>6362</v>
      </c>
      <c r="F73" s="50" t="s">
        <v>6363</v>
      </c>
      <c r="G73" s="36" t="s">
        <v>6364</v>
      </c>
      <c r="H73" s="49" t="s">
        <v>6440</v>
      </c>
      <c r="I73" s="49" t="s">
        <v>6226</v>
      </c>
      <c r="J73" s="38" t="s">
        <v>6441</v>
      </c>
      <c r="K73" s="38"/>
      <c r="L73" s="38"/>
      <c r="M73" s="38"/>
    </row>
    <row r="74" ht="26.25" customHeight="1">
      <c r="A74" s="113" t="s">
        <v>849</v>
      </c>
      <c r="B74" s="35">
        <v>2024.0</v>
      </c>
      <c r="C74" s="17" t="s">
        <v>20</v>
      </c>
      <c r="D74" s="15">
        <v>13597.0</v>
      </c>
      <c r="E74" s="49" t="s">
        <v>6442</v>
      </c>
      <c r="F74" s="50" t="s">
        <v>6443</v>
      </c>
      <c r="G74" s="36" t="s">
        <v>6444</v>
      </c>
      <c r="H74" s="49" t="s">
        <v>6445</v>
      </c>
      <c r="I74" s="49" t="s">
        <v>6446</v>
      </c>
      <c r="J74" s="38" t="s">
        <v>6447</v>
      </c>
      <c r="K74" s="38"/>
      <c r="L74" s="38"/>
      <c r="M74" s="38"/>
    </row>
    <row r="75" ht="26.25" customHeight="1">
      <c r="A75" s="113" t="s">
        <v>854</v>
      </c>
      <c r="B75" s="35">
        <v>2024.0</v>
      </c>
      <c r="C75" s="17" t="s">
        <v>21</v>
      </c>
      <c r="D75" s="15">
        <v>13900.0</v>
      </c>
      <c r="E75" s="49" t="s">
        <v>6448</v>
      </c>
      <c r="F75" s="50" t="s">
        <v>6449</v>
      </c>
      <c r="G75" s="36" t="s">
        <v>6450</v>
      </c>
      <c r="H75" s="49" t="s">
        <v>6451</v>
      </c>
      <c r="I75" s="49" t="s">
        <v>6166</v>
      </c>
      <c r="J75" s="38" t="s">
        <v>6452</v>
      </c>
      <c r="K75" s="38"/>
      <c r="L75" s="38"/>
      <c r="M75" s="38"/>
    </row>
    <row r="76" ht="26.25" customHeight="1">
      <c r="A76" s="113" t="s">
        <v>860</v>
      </c>
      <c r="B76" s="35">
        <v>2024.0</v>
      </c>
      <c r="C76" s="17" t="s">
        <v>21</v>
      </c>
      <c r="D76" s="15">
        <v>13922.0</v>
      </c>
      <c r="E76" s="49" t="s">
        <v>6453</v>
      </c>
      <c r="F76" s="50" t="s">
        <v>6454</v>
      </c>
      <c r="G76" s="49" t="s">
        <v>6455</v>
      </c>
      <c r="H76" s="49" t="s">
        <v>6456</v>
      </c>
      <c r="I76" s="49" t="s">
        <v>6166</v>
      </c>
      <c r="J76" s="38" t="s">
        <v>6457</v>
      </c>
      <c r="K76" s="38"/>
      <c r="L76" s="38"/>
      <c r="M76" s="38"/>
    </row>
    <row r="77" ht="26.25" customHeight="1">
      <c r="A77" s="113" t="s">
        <v>866</v>
      </c>
      <c r="B77" s="35">
        <v>2024.0</v>
      </c>
      <c r="C77" s="17" t="s">
        <v>22</v>
      </c>
      <c r="D77" s="15">
        <v>14006.0</v>
      </c>
      <c r="E77" s="49" t="s">
        <v>6458</v>
      </c>
      <c r="F77" s="50" t="s">
        <v>6459</v>
      </c>
      <c r="G77" s="49" t="s">
        <v>6460</v>
      </c>
      <c r="H77" s="49" t="s">
        <v>6461</v>
      </c>
      <c r="I77" s="49" t="s">
        <v>6166</v>
      </c>
      <c r="J77" s="38" t="s">
        <v>6462</v>
      </c>
      <c r="K77" s="38"/>
      <c r="L77" s="38"/>
      <c r="M77" s="38"/>
    </row>
    <row r="78" ht="26.25" customHeight="1">
      <c r="A78" s="113" t="s">
        <v>869</v>
      </c>
      <c r="B78" s="35">
        <v>2024.0</v>
      </c>
      <c r="C78" s="17" t="s">
        <v>22</v>
      </c>
      <c r="D78" s="15">
        <v>13900.0</v>
      </c>
      <c r="E78" s="49" t="s">
        <v>6448</v>
      </c>
      <c r="F78" s="50" t="s">
        <v>6449</v>
      </c>
      <c r="G78" s="49" t="s">
        <v>6450</v>
      </c>
      <c r="H78" s="49" t="s">
        <v>6463</v>
      </c>
      <c r="I78" s="49" t="s">
        <v>6166</v>
      </c>
      <c r="J78" s="38" t="s">
        <v>6464</v>
      </c>
      <c r="K78" s="38"/>
      <c r="L78" s="38"/>
      <c r="M78" s="38"/>
    </row>
    <row r="79" ht="26.25" customHeight="1">
      <c r="A79" s="113" t="s">
        <v>875</v>
      </c>
      <c r="B79" s="35">
        <v>2025.0</v>
      </c>
      <c r="C79" s="17" t="s">
        <v>12</v>
      </c>
      <c r="D79" s="15">
        <v>14613.0</v>
      </c>
      <c r="E79" s="49" t="s">
        <v>6465</v>
      </c>
      <c r="F79" s="50" t="s">
        <v>6466</v>
      </c>
      <c r="G79" s="49" t="s">
        <v>6467</v>
      </c>
      <c r="H79" s="49" t="s">
        <v>6468</v>
      </c>
      <c r="I79" s="49" t="s">
        <v>6446</v>
      </c>
      <c r="J79" s="38" t="s">
        <v>6469</v>
      </c>
      <c r="K79" s="38"/>
      <c r="L79" s="38"/>
      <c r="M79" s="38"/>
    </row>
    <row r="80" ht="26.25" customHeight="1">
      <c r="A80" s="113" t="s">
        <v>880</v>
      </c>
      <c r="B80" s="35">
        <v>2025.0</v>
      </c>
      <c r="C80" s="17" t="s">
        <v>12</v>
      </c>
      <c r="D80" s="15">
        <v>14326.0</v>
      </c>
      <c r="E80" s="49" t="s">
        <v>6470</v>
      </c>
      <c r="F80" s="50" t="s">
        <v>6471</v>
      </c>
      <c r="G80" s="49" t="s">
        <v>6472</v>
      </c>
      <c r="H80" s="49" t="s">
        <v>6473</v>
      </c>
      <c r="I80" s="49" t="s">
        <v>6226</v>
      </c>
      <c r="J80" s="38" t="s">
        <v>6474</v>
      </c>
      <c r="K80" s="38"/>
      <c r="L80" s="38"/>
      <c r="M80" s="38"/>
    </row>
    <row r="81" ht="26.25" customHeight="1">
      <c r="A81" s="113" t="s">
        <v>887</v>
      </c>
      <c r="B81" s="35">
        <v>2025.0</v>
      </c>
      <c r="C81" s="17" t="s">
        <v>12</v>
      </c>
      <c r="D81" s="15">
        <v>14728.0</v>
      </c>
      <c r="E81" s="49" t="s">
        <v>6475</v>
      </c>
      <c r="F81" s="50" t="s">
        <v>6476</v>
      </c>
      <c r="G81" s="49" t="s">
        <v>6477</v>
      </c>
      <c r="H81" s="49" t="s">
        <v>6478</v>
      </c>
      <c r="I81" s="49" t="s">
        <v>6182</v>
      </c>
      <c r="J81" s="38" t="s">
        <v>6479</v>
      </c>
      <c r="K81" s="38"/>
      <c r="L81" s="38"/>
      <c r="M81" s="38"/>
    </row>
    <row r="82" ht="26.25" customHeight="1">
      <c r="A82" s="113" t="s">
        <v>889</v>
      </c>
      <c r="B82" s="35">
        <v>2025.0</v>
      </c>
      <c r="C82" s="17" t="s">
        <v>12</v>
      </c>
      <c r="D82" s="15">
        <v>14398.0</v>
      </c>
      <c r="E82" s="49" t="s">
        <v>6480</v>
      </c>
      <c r="F82" s="50" t="s">
        <v>6481</v>
      </c>
      <c r="G82" s="49" t="s">
        <v>6482</v>
      </c>
      <c r="H82" s="49" t="s">
        <v>6483</v>
      </c>
      <c r="I82" s="49" t="s">
        <v>6166</v>
      </c>
      <c r="J82" s="38" t="s">
        <v>6484</v>
      </c>
      <c r="K82" s="38"/>
      <c r="L82" s="38"/>
      <c r="M82" s="38"/>
    </row>
    <row r="83" ht="26.25" customHeight="1">
      <c r="A83" s="113" t="s">
        <v>891</v>
      </c>
      <c r="B83" s="17">
        <v>2025.0</v>
      </c>
      <c r="C83" s="17" t="s">
        <v>12</v>
      </c>
      <c r="D83" s="17">
        <v>5395.0</v>
      </c>
      <c r="E83" s="36" t="s">
        <v>6228</v>
      </c>
      <c r="F83" s="48" t="s">
        <v>6485</v>
      </c>
      <c r="G83" s="13" t="s">
        <v>6230</v>
      </c>
      <c r="H83" s="36" t="s">
        <v>6486</v>
      </c>
      <c r="I83" s="49" t="s">
        <v>6166</v>
      </c>
      <c r="J83" s="39" t="s">
        <v>6487</v>
      </c>
      <c r="K83" s="148"/>
      <c r="L83" s="148"/>
      <c r="M83" s="149"/>
    </row>
    <row r="84" ht="26.25" customHeight="1">
      <c r="A84" s="113" t="s">
        <v>896</v>
      </c>
      <c r="B84" s="17">
        <v>2025.0</v>
      </c>
      <c r="C84" s="17" t="s">
        <v>12</v>
      </c>
      <c r="D84" s="17">
        <v>14712.0</v>
      </c>
      <c r="E84" s="36" t="s">
        <v>6488</v>
      </c>
      <c r="F84" s="48" t="s">
        <v>6489</v>
      </c>
      <c r="G84" s="13" t="s">
        <v>6490</v>
      </c>
      <c r="H84" s="36" t="s">
        <v>6491</v>
      </c>
      <c r="I84" s="49" t="s">
        <v>6194</v>
      </c>
      <c r="J84" s="39" t="s">
        <v>6492</v>
      </c>
      <c r="K84" s="148"/>
      <c r="L84" s="148"/>
      <c r="M84" s="149"/>
    </row>
    <row r="85" ht="26.25" customHeight="1">
      <c r="A85" s="113" t="s">
        <v>901</v>
      </c>
      <c r="B85" s="17">
        <v>2025.0</v>
      </c>
      <c r="C85" s="17" t="s">
        <v>13</v>
      </c>
      <c r="D85" s="126">
        <v>10227.0</v>
      </c>
      <c r="E85" s="127" t="s">
        <v>6493</v>
      </c>
      <c r="F85" s="150" t="s">
        <v>6341</v>
      </c>
      <c r="G85" s="13" t="s">
        <v>6342</v>
      </c>
      <c r="H85" s="36" t="s">
        <v>6494</v>
      </c>
      <c r="I85" s="49" t="s">
        <v>6166</v>
      </c>
      <c r="J85" s="39" t="s">
        <v>6495</v>
      </c>
      <c r="K85" s="148"/>
      <c r="L85" s="148"/>
      <c r="M85" s="149"/>
    </row>
    <row r="86" ht="26.25" customHeight="1">
      <c r="A86" s="113" t="s">
        <v>907</v>
      </c>
      <c r="B86" s="17">
        <v>2025.0</v>
      </c>
      <c r="C86" s="17" t="s">
        <v>14</v>
      </c>
      <c r="D86" s="126">
        <v>15123.0</v>
      </c>
      <c r="E86" s="127" t="s">
        <v>6496</v>
      </c>
      <c r="F86" s="150" t="s">
        <v>6497</v>
      </c>
      <c r="G86" s="13" t="s">
        <v>6498</v>
      </c>
      <c r="H86" s="13" t="s">
        <v>6499</v>
      </c>
      <c r="I86" s="36" t="s">
        <v>6166</v>
      </c>
      <c r="J86" s="39" t="s">
        <v>6500</v>
      </c>
      <c r="K86" s="148"/>
      <c r="L86" s="148"/>
      <c r="M86" s="149"/>
    </row>
    <row r="87" ht="26.25" customHeight="1">
      <c r="A87" s="113" t="s">
        <v>913</v>
      </c>
      <c r="B87" s="17">
        <v>2025.0</v>
      </c>
      <c r="C87" s="17" t="s">
        <v>15</v>
      </c>
      <c r="D87" s="126">
        <v>15466.0</v>
      </c>
      <c r="E87" s="127" t="s">
        <v>6501</v>
      </c>
      <c r="F87" s="150" t="s">
        <v>6502</v>
      </c>
      <c r="G87" s="13" t="s">
        <v>6503</v>
      </c>
      <c r="H87" s="49" t="s">
        <v>6504</v>
      </c>
      <c r="I87" s="36" t="s">
        <v>6226</v>
      </c>
      <c r="J87" s="39" t="s">
        <v>6505</v>
      </c>
      <c r="K87" s="148"/>
      <c r="L87" s="148"/>
      <c r="M87" s="149"/>
    </row>
    <row r="88" ht="26.25" customHeight="1">
      <c r="A88" s="113" t="s">
        <v>919</v>
      </c>
      <c r="B88" s="17">
        <v>2025.0</v>
      </c>
      <c r="C88" s="17" t="s">
        <v>16</v>
      </c>
      <c r="D88" s="126">
        <v>15681.0</v>
      </c>
      <c r="E88" s="127" t="s">
        <v>6506</v>
      </c>
      <c r="F88" s="150" t="s">
        <v>6507</v>
      </c>
      <c r="G88" s="13"/>
      <c r="H88" s="49" t="s">
        <v>6508</v>
      </c>
      <c r="I88" s="36" t="s">
        <v>6166</v>
      </c>
      <c r="J88" s="39" t="s">
        <v>6509</v>
      </c>
      <c r="K88" s="148"/>
      <c r="L88" s="148"/>
      <c r="M88" s="149"/>
    </row>
    <row r="89" ht="26.25" customHeight="1">
      <c r="A89" s="113" t="s">
        <v>924</v>
      </c>
      <c r="B89" s="17">
        <v>2025.0</v>
      </c>
      <c r="C89" s="17" t="s">
        <v>6510</v>
      </c>
      <c r="D89" s="15">
        <v>11598.0</v>
      </c>
      <c r="E89" s="49" t="s">
        <v>6400</v>
      </c>
      <c r="F89" s="54" t="s">
        <v>6401</v>
      </c>
      <c r="G89" s="78" t="s">
        <v>6402</v>
      </c>
      <c r="H89" s="78" t="s">
        <v>6511</v>
      </c>
      <c r="I89" s="36" t="s">
        <v>6166</v>
      </c>
      <c r="J89" s="39" t="s">
        <v>6512</v>
      </c>
      <c r="K89" s="36"/>
      <c r="L89" s="36"/>
      <c r="M89" s="39"/>
    </row>
    <row r="90" ht="26.25" customHeight="1">
      <c r="A90" s="113" t="s">
        <v>930</v>
      </c>
      <c r="B90" s="17">
        <v>2025.0</v>
      </c>
      <c r="C90" s="17" t="s">
        <v>19</v>
      </c>
      <c r="D90" s="15">
        <v>16210.0</v>
      </c>
      <c r="E90" s="49" t="s">
        <v>6513</v>
      </c>
      <c r="F90" s="54" t="s">
        <v>6514</v>
      </c>
      <c r="G90" s="78" t="s">
        <v>6402</v>
      </c>
      <c r="H90" s="49" t="s">
        <v>6511</v>
      </c>
      <c r="I90" s="49" t="s">
        <v>6166</v>
      </c>
      <c r="J90" s="39" t="s">
        <v>6515</v>
      </c>
      <c r="K90" s="36"/>
      <c r="L90" s="36"/>
      <c r="M90" s="39"/>
    </row>
    <row r="91" ht="26.25" customHeight="1">
      <c r="A91" s="113" t="s">
        <v>935</v>
      </c>
      <c r="B91" s="17">
        <v>2025.0</v>
      </c>
      <c r="C91" s="17" t="s">
        <v>19</v>
      </c>
      <c r="D91" s="15">
        <v>10946.0</v>
      </c>
      <c r="E91" s="49" t="s">
        <v>6373</v>
      </c>
      <c r="F91" s="54" t="s">
        <v>6374</v>
      </c>
      <c r="G91" s="78" t="s">
        <v>6375</v>
      </c>
      <c r="H91" s="49" t="s">
        <v>6516</v>
      </c>
      <c r="I91" s="49" t="s">
        <v>6242</v>
      </c>
      <c r="J91" s="39" t="s">
        <v>6377</v>
      </c>
      <c r="K91" s="36"/>
      <c r="L91" s="36"/>
      <c r="M91" s="39"/>
    </row>
    <row r="92" ht="26.25" customHeight="1">
      <c r="A92" s="113" t="s">
        <v>941</v>
      </c>
      <c r="B92" s="17">
        <v>2025.0</v>
      </c>
      <c r="C92" s="17" t="s">
        <v>20</v>
      </c>
      <c r="D92" s="15">
        <v>9265.0</v>
      </c>
      <c r="E92" s="49" t="s">
        <v>6517</v>
      </c>
      <c r="F92" s="54" t="s">
        <v>6518</v>
      </c>
      <c r="G92" s="78" t="s">
        <v>6304</v>
      </c>
      <c r="H92" s="49" t="s">
        <v>6519</v>
      </c>
      <c r="I92" s="49" t="s">
        <v>6194</v>
      </c>
      <c r="J92" s="39" t="s">
        <v>6306</v>
      </c>
      <c r="K92" s="36"/>
      <c r="L92" s="36"/>
      <c r="M92" s="39"/>
    </row>
    <row r="93" ht="26.25" customHeight="1">
      <c r="A93" s="113" t="s">
        <v>947</v>
      </c>
      <c r="B93" s="17">
        <v>2025.0</v>
      </c>
      <c r="C93" s="17" t="s">
        <v>22</v>
      </c>
      <c r="D93" s="15">
        <v>11961.0</v>
      </c>
      <c r="E93" s="93" t="s">
        <v>6520</v>
      </c>
      <c r="F93" s="54" t="s">
        <v>6521</v>
      </c>
      <c r="G93" s="151" t="s">
        <v>6522</v>
      </c>
      <c r="H93" s="49" t="s">
        <v>6523</v>
      </c>
      <c r="I93" s="49" t="s">
        <v>6194</v>
      </c>
      <c r="J93" s="39" t="s">
        <v>6306</v>
      </c>
      <c r="K93" s="36"/>
      <c r="L93" s="36"/>
      <c r="M93" s="39"/>
    </row>
    <row r="94" ht="26.25" customHeight="1">
      <c r="A94" s="113" t="s">
        <v>951</v>
      </c>
      <c r="B94" s="17">
        <v>2026.0</v>
      </c>
      <c r="C94" s="17" t="s">
        <v>11</v>
      </c>
      <c r="D94" s="57">
        <v>17366.0</v>
      </c>
      <c r="E94" s="152" t="s">
        <v>6524</v>
      </c>
      <c r="F94" s="59" t="s">
        <v>6525</v>
      </c>
      <c r="G94" s="151" t="s">
        <v>6526</v>
      </c>
      <c r="H94" s="49" t="s">
        <v>6527</v>
      </c>
      <c r="I94" s="58" t="s">
        <v>6226</v>
      </c>
      <c r="J94" s="39" t="s">
        <v>6528</v>
      </c>
      <c r="K94" s="36"/>
      <c r="L94" s="36"/>
      <c r="M94" s="39"/>
    </row>
    <row r="95" ht="26.25" customHeight="1">
      <c r="A95" s="113" t="s">
        <v>953</v>
      </c>
      <c r="B95" s="17">
        <v>2026.0</v>
      </c>
      <c r="C95" s="20" t="s">
        <v>13</v>
      </c>
      <c r="D95" s="15">
        <v>18098.0</v>
      </c>
      <c r="E95" s="152" t="s">
        <v>6529</v>
      </c>
      <c r="F95" s="59" t="s">
        <v>6530</v>
      </c>
      <c r="G95" s="134" t="s">
        <v>6531</v>
      </c>
      <c r="H95" s="58" t="s">
        <v>6532</v>
      </c>
      <c r="I95" s="58" t="s">
        <v>6166</v>
      </c>
      <c r="J95" s="145" t="s">
        <v>6533</v>
      </c>
      <c r="K95" s="36"/>
      <c r="L95" s="36"/>
      <c r="M95" s="39"/>
    </row>
    <row r="96" ht="26.25" customHeight="1">
      <c r="A96" s="113" t="s">
        <v>959</v>
      </c>
      <c r="B96" s="17">
        <v>2026.0</v>
      </c>
      <c r="C96" s="20" t="s">
        <v>15</v>
      </c>
      <c r="D96" s="15">
        <v>18445.0</v>
      </c>
      <c r="E96" s="93" t="s">
        <v>6534</v>
      </c>
      <c r="F96" s="54" t="s">
        <v>6535</v>
      </c>
      <c r="G96" s="134" t="s">
        <v>6536</v>
      </c>
      <c r="H96" s="49" t="s">
        <v>6537</v>
      </c>
      <c r="I96" s="49" t="s">
        <v>6221</v>
      </c>
      <c r="J96" s="145" t="s">
        <v>6538</v>
      </c>
      <c r="K96" s="36"/>
      <c r="L96" s="36"/>
      <c r="M96" s="39"/>
    </row>
    <row r="97" ht="26.25" customHeight="1">
      <c r="A97" s="51" t="s">
        <v>222</v>
      </c>
      <c r="C97" s="52"/>
      <c r="D97" s="52"/>
      <c r="E97" s="53">
        <f t="array" ref="E97">sum(1/countif(E96,E96))</f>
        <v>1</v>
      </c>
      <c r="F97" s="52"/>
      <c r="G97" s="52"/>
      <c r="H97" s="53">
        <f t="array" ref="H97">sum(1/countif(H96,H96))</f>
        <v>1</v>
      </c>
      <c r="I97" s="53">
        <f t="array" ref="I97">sum(1/countif(I79:I90,I79:I90))</f>
        <v>5</v>
      </c>
      <c r="J97" s="53"/>
      <c r="K97" s="53"/>
      <c r="L97" s="53"/>
      <c r="M97" s="53"/>
    </row>
    <row r="98" ht="26.25" customHeight="1">
      <c r="A98" s="51" t="s">
        <v>223</v>
      </c>
      <c r="C98" s="52"/>
      <c r="E98" s="53">
        <f t="array" ref="E98">sum(1/countif(E5:E96,E5:E96))</f>
        <v>73</v>
      </c>
      <c r="F98" s="52"/>
      <c r="G98" s="52"/>
      <c r="H98" s="53">
        <f t="array" ref="H98">sum(1/countif(H5:H96,H5:H96))</f>
        <v>91</v>
      </c>
      <c r="I98" s="53">
        <f t="array" ref="I98">sum(1/countif(I5:I90,I5:I90))</f>
        <v>12</v>
      </c>
      <c r="J98" s="53"/>
      <c r="K98" s="53"/>
      <c r="L98" s="53"/>
      <c r="M98" s="53"/>
    </row>
  </sheetData>
  <mergeCells count="6">
    <mergeCell ref="A1:J1"/>
    <mergeCell ref="A2:J2"/>
    <mergeCell ref="A3:J3"/>
    <mergeCell ref="A97:B97"/>
    <mergeCell ref="A98:B98"/>
    <mergeCell ref="C98:D9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40" t="s">
        <v>18</v>
      </c>
      <c r="D5" s="40">
        <v>1599.0</v>
      </c>
      <c r="E5" s="39" t="s">
        <v>6539</v>
      </c>
      <c r="F5" s="41" t="s">
        <v>6540</v>
      </c>
      <c r="G5" s="39" t="s">
        <v>6541</v>
      </c>
      <c r="H5" s="39" t="s">
        <v>6542</v>
      </c>
      <c r="I5" s="39" t="s">
        <v>6543</v>
      </c>
      <c r="J5" s="39" t="s">
        <v>6544</v>
      </c>
    </row>
    <row r="6" ht="26.25" customHeight="1">
      <c r="A6" s="12" t="s">
        <v>80</v>
      </c>
      <c r="B6" s="17">
        <v>2021.0</v>
      </c>
      <c r="C6" s="40" t="s">
        <v>19</v>
      </c>
      <c r="D6" s="40">
        <v>316.0</v>
      </c>
      <c r="E6" s="39" t="s">
        <v>6545</v>
      </c>
      <c r="F6" s="40" t="s">
        <v>6546</v>
      </c>
      <c r="G6" s="39" t="s">
        <v>6547</v>
      </c>
      <c r="H6" s="39" t="s">
        <v>6548</v>
      </c>
      <c r="I6" s="39" t="s">
        <v>6549</v>
      </c>
      <c r="J6" s="39" t="s">
        <v>6550</v>
      </c>
    </row>
    <row r="7" ht="26.25" customHeight="1">
      <c r="A7" s="12" t="s">
        <v>87</v>
      </c>
      <c r="B7" s="17">
        <v>2021.0</v>
      </c>
      <c r="C7" s="40" t="s">
        <v>19</v>
      </c>
      <c r="D7" s="40">
        <v>2455.0</v>
      </c>
      <c r="E7" s="39" t="s">
        <v>6551</v>
      </c>
      <c r="F7" s="41" t="s">
        <v>6552</v>
      </c>
      <c r="G7" s="39" t="s">
        <v>6553</v>
      </c>
      <c r="H7" s="39" t="s">
        <v>6554</v>
      </c>
      <c r="I7" s="39" t="s">
        <v>6543</v>
      </c>
      <c r="J7" s="39" t="s">
        <v>6555</v>
      </c>
    </row>
    <row r="8" ht="26.25" customHeight="1">
      <c r="A8" s="12" t="s">
        <v>94</v>
      </c>
      <c r="B8" s="17">
        <v>2021.0</v>
      </c>
      <c r="C8" s="35" t="s">
        <v>22</v>
      </c>
      <c r="D8" s="35">
        <v>2625.0</v>
      </c>
      <c r="E8" s="37" t="s">
        <v>4127</v>
      </c>
      <c r="F8" s="35" t="s">
        <v>6556</v>
      </c>
      <c r="G8" s="39" t="s">
        <v>6557</v>
      </c>
      <c r="H8" s="37" t="s">
        <v>6558</v>
      </c>
      <c r="I8" s="39" t="s">
        <v>6543</v>
      </c>
      <c r="J8" s="39" t="s">
        <v>6559</v>
      </c>
    </row>
    <row r="9" ht="26.25" customHeight="1">
      <c r="A9" s="12" t="s">
        <v>101</v>
      </c>
      <c r="B9" s="17">
        <v>2021.0</v>
      </c>
      <c r="C9" s="35" t="s">
        <v>22</v>
      </c>
      <c r="D9" s="35">
        <v>3718.0</v>
      </c>
      <c r="E9" s="37" t="s">
        <v>6560</v>
      </c>
      <c r="F9" s="40" t="s">
        <v>6561</v>
      </c>
      <c r="G9" s="39" t="s">
        <v>6562</v>
      </c>
      <c r="H9" s="39" t="s">
        <v>6563</v>
      </c>
      <c r="I9" s="39" t="s">
        <v>6564</v>
      </c>
      <c r="J9" s="39" t="s">
        <v>6565</v>
      </c>
    </row>
    <row r="10" ht="26.25" customHeight="1">
      <c r="A10" s="12" t="s">
        <v>108</v>
      </c>
      <c r="B10" s="17">
        <v>2022.0</v>
      </c>
      <c r="C10" s="40" t="s">
        <v>18</v>
      </c>
      <c r="D10" s="40">
        <v>1599.0</v>
      </c>
      <c r="E10" s="39" t="s">
        <v>6539</v>
      </c>
      <c r="F10" s="41" t="s">
        <v>6540</v>
      </c>
      <c r="G10" s="39" t="s">
        <v>6541</v>
      </c>
      <c r="H10" s="39" t="s">
        <v>6566</v>
      </c>
      <c r="I10" s="39" t="s">
        <v>6543</v>
      </c>
      <c r="J10" s="39" t="s">
        <v>6544</v>
      </c>
    </row>
    <row r="11" ht="26.25" customHeight="1">
      <c r="A11" s="12" t="s">
        <v>113</v>
      </c>
      <c r="B11" s="17">
        <v>2023.0</v>
      </c>
      <c r="C11" s="40" t="s">
        <v>11</v>
      </c>
      <c r="D11" s="40">
        <v>5115.0</v>
      </c>
      <c r="E11" s="39" t="s">
        <v>6567</v>
      </c>
      <c r="F11" s="41" t="s">
        <v>6568</v>
      </c>
      <c r="G11" s="39" t="s">
        <v>6569</v>
      </c>
      <c r="H11" s="39" t="s">
        <v>6570</v>
      </c>
      <c r="I11" s="39" t="s">
        <v>6543</v>
      </c>
      <c r="J11" s="39" t="s">
        <v>6571</v>
      </c>
    </row>
    <row r="12" ht="26.25" customHeight="1">
      <c r="A12" s="12" t="s">
        <v>120</v>
      </c>
      <c r="B12" s="17">
        <v>2023.0</v>
      </c>
      <c r="C12" s="40" t="s">
        <v>14</v>
      </c>
      <c r="D12" s="17">
        <v>8808.0</v>
      </c>
      <c r="E12" s="36" t="s">
        <v>6572</v>
      </c>
      <c r="F12" s="48" t="s">
        <v>6573</v>
      </c>
      <c r="G12" s="39" t="s">
        <v>6574</v>
      </c>
      <c r="H12" s="39" t="s">
        <v>6575</v>
      </c>
      <c r="I12" s="39" t="s">
        <v>6576</v>
      </c>
      <c r="J12" s="39" t="s">
        <v>6577</v>
      </c>
    </row>
    <row r="13" ht="26.25" customHeight="1">
      <c r="A13" s="12" t="s">
        <v>126</v>
      </c>
      <c r="B13" s="17">
        <v>2023.0</v>
      </c>
      <c r="C13" s="40" t="s">
        <v>19</v>
      </c>
      <c r="D13" s="40">
        <v>1599.0</v>
      </c>
      <c r="E13" s="39" t="s">
        <v>6539</v>
      </c>
      <c r="F13" s="41" t="s">
        <v>6540</v>
      </c>
      <c r="G13" s="39" t="s">
        <v>6541</v>
      </c>
      <c r="H13" s="39" t="s">
        <v>6578</v>
      </c>
      <c r="I13" s="39" t="s">
        <v>6543</v>
      </c>
      <c r="J13" s="39" t="s">
        <v>6544</v>
      </c>
    </row>
    <row r="14" ht="26.25" customHeight="1">
      <c r="A14" s="12" t="s">
        <v>132</v>
      </c>
      <c r="B14" s="17">
        <v>2024.0</v>
      </c>
      <c r="C14" s="42" t="s">
        <v>13</v>
      </c>
      <c r="D14" s="17">
        <v>1599.0</v>
      </c>
      <c r="E14" s="36" t="s">
        <v>6579</v>
      </c>
      <c r="F14" s="17">
        <v>8.1253007877E10</v>
      </c>
      <c r="G14" s="38" t="s">
        <v>6541</v>
      </c>
      <c r="H14" s="38" t="s">
        <v>6580</v>
      </c>
      <c r="I14" s="38" t="s">
        <v>6543</v>
      </c>
      <c r="J14" s="38" t="s">
        <v>6544</v>
      </c>
    </row>
    <row r="15" ht="26.25" customHeight="1">
      <c r="A15" s="12" t="s">
        <v>138</v>
      </c>
      <c r="B15" s="17">
        <v>2024.0</v>
      </c>
      <c r="C15" s="17" t="s">
        <v>15</v>
      </c>
      <c r="D15" s="17">
        <v>11897.0</v>
      </c>
      <c r="E15" s="36" t="s">
        <v>6581</v>
      </c>
      <c r="F15" s="48" t="s">
        <v>6582</v>
      </c>
      <c r="G15" s="36" t="s">
        <v>6583</v>
      </c>
      <c r="H15" s="36" t="s">
        <v>6584</v>
      </c>
      <c r="I15" s="36" t="s">
        <v>6543</v>
      </c>
      <c r="J15" s="38" t="s">
        <v>6585</v>
      </c>
    </row>
    <row r="16" ht="26.25" customHeight="1">
      <c r="A16" s="12" t="s">
        <v>144</v>
      </c>
      <c r="B16" s="17">
        <v>2024.0</v>
      </c>
      <c r="C16" s="17" t="s">
        <v>17</v>
      </c>
      <c r="D16" s="15">
        <v>1599.0</v>
      </c>
      <c r="E16" s="49" t="s">
        <v>6579</v>
      </c>
      <c r="F16" s="50" t="s">
        <v>6540</v>
      </c>
      <c r="G16" s="36" t="s">
        <v>6541</v>
      </c>
      <c r="H16" s="49" t="s">
        <v>6586</v>
      </c>
      <c r="I16" s="49" t="s">
        <v>6543</v>
      </c>
      <c r="J16" s="38" t="s">
        <v>6587</v>
      </c>
    </row>
    <row r="17" ht="26.25" customHeight="1">
      <c r="A17" s="12" t="s">
        <v>146</v>
      </c>
      <c r="B17" s="17">
        <v>2024.0</v>
      </c>
      <c r="C17" s="17" t="s">
        <v>19</v>
      </c>
      <c r="D17" s="15">
        <v>13130.0</v>
      </c>
      <c r="E17" s="49" t="s">
        <v>6588</v>
      </c>
      <c r="F17" s="50" t="s">
        <v>6589</v>
      </c>
      <c r="G17" s="36" t="s">
        <v>6590</v>
      </c>
      <c r="H17" s="49" t="s">
        <v>6591</v>
      </c>
      <c r="I17" s="49" t="s">
        <v>6564</v>
      </c>
      <c r="J17" s="38" t="s">
        <v>6592</v>
      </c>
    </row>
    <row r="18" ht="26.25" customHeight="1">
      <c r="A18" s="12" t="s">
        <v>151</v>
      </c>
      <c r="B18" s="17">
        <v>2024.0</v>
      </c>
      <c r="C18" s="17" t="s">
        <v>22</v>
      </c>
      <c r="D18" s="15">
        <v>14057.0</v>
      </c>
      <c r="E18" s="49" t="s">
        <v>6593</v>
      </c>
      <c r="F18" s="50" t="s">
        <v>6594</v>
      </c>
      <c r="G18" s="36"/>
      <c r="H18" s="49" t="s">
        <v>6593</v>
      </c>
      <c r="I18" s="49" t="s">
        <v>6549</v>
      </c>
      <c r="J18" s="38" t="s">
        <v>6595</v>
      </c>
    </row>
    <row r="19" ht="26.25" customHeight="1">
      <c r="A19" s="12" t="s">
        <v>153</v>
      </c>
      <c r="B19" s="17">
        <v>2025.0</v>
      </c>
      <c r="C19" s="153" t="s">
        <v>1370</v>
      </c>
      <c r="D19" s="15">
        <v>14689.0</v>
      </c>
      <c r="E19" s="49" t="s">
        <v>6596</v>
      </c>
      <c r="F19" s="50" t="s">
        <v>6597</v>
      </c>
      <c r="G19" s="36" t="s">
        <v>6598</v>
      </c>
      <c r="H19" s="49" t="s">
        <v>6599</v>
      </c>
      <c r="I19" s="49" t="s">
        <v>6543</v>
      </c>
      <c r="J19" s="38" t="s">
        <v>6600</v>
      </c>
    </row>
    <row r="20" ht="26.25" customHeight="1">
      <c r="A20" s="12" t="s">
        <v>159</v>
      </c>
      <c r="B20" s="17">
        <v>2025.0</v>
      </c>
      <c r="C20" s="153" t="s">
        <v>13</v>
      </c>
      <c r="D20" s="15">
        <v>1599.0</v>
      </c>
      <c r="E20" s="49" t="s">
        <v>6539</v>
      </c>
      <c r="F20" s="125" t="s">
        <v>6540</v>
      </c>
      <c r="G20" s="49" t="s">
        <v>6541</v>
      </c>
      <c r="H20" s="49" t="s">
        <v>6601</v>
      </c>
      <c r="I20" s="49" t="s">
        <v>6576</v>
      </c>
      <c r="J20" s="49" t="s">
        <v>6602</v>
      </c>
    </row>
    <row r="21" ht="26.25" customHeight="1">
      <c r="A21" s="12" t="s">
        <v>165</v>
      </c>
      <c r="B21" s="17">
        <v>2025.0</v>
      </c>
      <c r="C21" s="153" t="s">
        <v>13</v>
      </c>
      <c r="D21" s="15">
        <v>1599.0</v>
      </c>
      <c r="E21" s="49" t="s">
        <v>6539</v>
      </c>
      <c r="F21" s="54" t="s">
        <v>6540</v>
      </c>
      <c r="G21" s="49" t="s">
        <v>6541</v>
      </c>
      <c r="H21" s="49" t="s">
        <v>6603</v>
      </c>
      <c r="I21" s="49" t="s">
        <v>6543</v>
      </c>
      <c r="J21" s="49" t="s">
        <v>6604</v>
      </c>
    </row>
    <row r="22" ht="26.25" customHeight="1">
      <c r="A22" s="12" t="s">
        <v>171</v>
      </c>
      <c r="B22" s="17">
        <v>2025.0</v>
      </c>
      <c r="C22" s="153" t="s">
        <v>14</v>
      </c>
      <c r="D22" s="15">
        <v>15137.0</v>
      </c>
      <c r="E22" s="49" t="s">
        <v>6605</v>
      </c>
      <c r="F22" s="54" t="s">
        <v>6606</v>
      </c>
      <c r="G22" s="49" t="s">
        <v>6607</v>
      </c>
      <c r="H22" s="49" t="s">
        <v>6608</v>
      </c>
      <c r="I22" s="49" t="s">
        <v>6609</v>
      </c>
      <c r="J22" s="49" t="s">
        <v>6610</v>
      </c>
    </row>
    <row r="23" ht="26.25" customHeight="1">
      <c r="A23" s="12" t="s">
        <v>173</v>
      </c>
      <c r="B23" s="17">
        <v>2025.0</v>
      </c>
      <c r="C23" s="153" t="s">
        <v>19</v>
      </c>
      <c r="D23" s="15">
        <v>1599.0</v>
      </c>
      <c r="E23" s="49" t="s">
        <v>6579</v>
      </c>
      <c r="F23" s="54" t="s">
        <v>6540</v>
      </c>
      <c r="G23" s="49" t="s">
        <v>6541</v>
      </c>
      <c r="H23" s="49" t="s">
        <v>6611</v>
      </c>
      <c r="I23" s="55" t="s">
        <v>6543</v>
      </c>
      <c r="J23" s="49" t="s">
        <v>6544</v>
      </c>
    </row>
    <row r="24" ht="26.25" customHeight="1">
      <c r="A24" s="12" t="s">
        <v>178</v>
      </c>
      <c r="B24" s="17">
        <v>2025.0</v>
      </c>
      <c r="C24" s="153" t="s">
        <v>21</v>
      </c>
      <c r="D24" s="15">
        <v>16775.0</v>
      </c>
      <c r="E24" s="49" t="s">
        <v>1705</v>
      </c>
      <c r="F24" s="54" t="s">
        <v>6612</v>
      </c>
      <c r="G24" s="49" t="s">
        <v>6613</v>
      </c>
      <c r="H24" s="49" t="s">
        <v>5478</v>
      </c>
      <c r="I24" s="49" t="s">
        <v>6564</v>
      </c>
      <c r="J24" s="49" t="s">
        <v>6614</v>
      </c>
    </row>
    <row r="25" ht="26.25" customHeight="1">
      <c r="A25" s="12" t="s">
        <v>184</v>
      </c>
      <c r="B25" s="20">
        <v>2026.0</v>
      </c>
      <c r="C25" s="154" t="s">
        <v>1370</v>
      </c>
      <c r="D25" s="57">
        <v>17572.0</v>
      </c>
      <c r="E25" s="49" t="s">
        <v>6615</v>
      </c>
      <c r="F25" s="59" t="s">
        <v>6616</v>
      </c>
      <c r="G25" s="61" t="s">
        <v>6617</v>
      </c>
      <c r="H25" s="58" t="s">
        <v>6618</v>
      </c>
      <c r="I25" s="58" t="s">
        <v>6549</v>
      </c>
      <c r="J25" s="61" t="s">
        <v>6619</v>
      </c>
    </row>
    <row r="26" ht="26.25" customHeight="1">
      <c r="A26" s="12" t="s">
        <v>190</v>
      </c>
      <c r="B26" s="20">
        <v>2026.0</v>
      </c>
      <c r="C26" s="154" t="s">
        <v>1370</v>
      </c>
      <c r="D26" s="57">
        <v>17717.0</v>
      </c>
      <c r="E26" s="58" t="s">
        <v>6620</v>
      </c>
      <c r="F26" s="59" t="s">
        <v>6621</v>
      </c>
      <c r="G26" s="61" t="s">
        <v>6622</v>
      </c>
      <c r="H26" s="61" t="s">
        <v>6623</v>
      </c>
      <c r="I26" s="58" t="s">
        <v>6543</v>
      </c>
      <c r="J26" s="80" t="s">
        <v>6624</v>
      </c>
    </row>
    <row r="27" ht="26.25" customHeight="1">
      <c r="A27" s="12" t="s">
        <v>196</v>
      </c>
      <c r="B27" s="20">
        <v>2026.0</v>
      </c>
      <c r="C27" s="154" t="s">
        <v>1370</v>
      </c>
      <c r="D27" s="57">
        <v>1599.0</v>
      </c>
      <c r="E27" s="58" t="s">
        <v>6579</v>
      </c>
      <c r="F27" s="59" t="s">
        <v>6540</v>
      </c>
      <c r="G27" s="61" t="s">
        <v>6541</v>
      </c>
      <c r="H27" s="81" t="s">
        <v>6625</v>
      </c>
      <c r="I27" s="58" t="s">
        <v>6543</v>
      </c>
      <c r="J27" s="80" t="s">
        <v>6544</v>
      </c>
    </row>
    <row r="28" ht="26.25" customHeight="1">
      <c r="A28" s="12" t="s">
        <v>202</v>
      </c>
      <c r="B28" s="20">
        <v>2026.0</v>
      </c>
      <c r="C28" s="154" t="s">
        <v>15</v>
      </c>
      <c r="D28" s="15">
        <v>18703.0</v>
      </c>
      <c r="E28" s="49" t="s">
        <v>6626</v>
      </c>
      <c r="F28" s="54" t="s">
        <v>6627</v>
      </c>
      <c r="G28" s="61" t="s">
        <v>6628</v>
      </c>
      <c r="H28" s="130" t="s">
        <v>6629</v>
      </c>
      <c r="I28" s="49" t="s">
        <v>6543</v>
      </c>
      <c r="J28" s="80" t="s">
        <v>6630</v>
      </c>
    </row>
    <row r="29" ht="26.25" customHeight="1">
      <c r="A29" s="12" t="s">
        <v>208</v>
      </c>
      <c r="B29" s="20">
        <v>2026.0</v>
      </c>
      <c r="C29" s="154" t="s">
        <v>16</v>
      </c>
      <c r="D29" s="62">
        <v>18941.0</v>
      </c>
      <c r="E29" s="63" t="s">
        <v>6631</v>
      </c>
      <c r="F29" s="64" t="s">
        <v>6632</v>
      </c>
      <c r="G29" s="97" t="s">
        <v>6633</v>
      </c>
      <c r="H29" s="142" t="s">
        <v>6634</v>
      </c>
      <c r="I29" s="63" t="s">
        <v>6543</v>
      </c>
      <c r="J29" s="61" t="s">
        <v>6635</v>
      </c>
    </row>
    <row r="30" ht="26.25" customHeight="1">
      <c r="A30" s="51" t="s">
        <v>222</v>
      </c>
      <c r="C30" s="52"/>
      <c r="D30" s="52"/>
      <c r="E30" s="53">
        <f t="array" ref="E30">sum(1/countif(E25:E29,E25:E29))</f>
        <v>5</v>
      </c>
      <c r="F30" s="52"/>
      <c r="G30" s="52"/>
      <c r="H30" s="53">
        <f t="array" ref="H30">sum(1/countif(H25:H29,H25:H29))</f>
        <v>5</v>
      </c>
      <c r="I30" s="53">
        <f t="array" ref="I30">sum(1/countif(I19:I24,I19:I24))</f>
        <v>4</v>
      </c>
      <c r="J30" s="53"/>
    </row>
    <row r="31" ht="26.25" customHeight="1">
      <c r="A31" s="51" t="s">
        <v>223</v>
      </c>
      <c r="C31" s="52"/>
      <c r="E31" s="53">
        <f t="array" ref="E31">sum(1/countif(E5:E29,E5:E29))</f>
        <v>18</v>
      </c>
      <c r="F31" s="52"/>
      <c r="G31" s="52"/>
      <c r="H31" s="53">
        <f t="array" ref="H31">sum(1/countif(H5:H29,H5:H29))</f>
        <v>25</v>
      </c>
      <c r="I31" s="53">
        <f t="array" ref="I31">sum(1/countif(I5:I24,I5:I24))</f>
        <v>5</v>
      </c>
      <c r="J31" s="53"/>
    </row>
  </sheetData>
  <mergeCells count="6">
    <mergeCell ref="A1:J1"/>
    <mergeCell ref="A2:J2"/>
    <mergeCell ref="A3:J3"/>
    <mergeCell ref="A30:B30"/>
    <mergeCell ref="A31:B31"/>
    <mergeCell ref="C31:D31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71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15</v>
      </c>
      <c r="D5" s="35">
        <v>515.0</v>
      </c>
      <c r="E5" s="37" t="s">
        <v>6636</v>
      </c>
      <c r="F5" s="35" t="s">
        <v>6637</v>
      </c>
      <c r="G5" s="37" t="s">
        <v>6638</v>
      </c>
      <c r="H5" s="39" t="s">
        <v>6639</v>
      </c>
      <c r="I5" s="39" t="s">
        <v>6640</v>
      </c>
      <c r="J5" s="39" t="s">
        <v>6641</v>
      </c>
    </row>
    <row r="6" ht="26.25" customHeight="1">
      <c r="A6" s="12" t="s">
        <v>80</v>
      </c>
      <c r="B6" s="17">
        <v>2021.0</v>
      </c>
      <c r="C6" s="35" t="s">
        <v>16</v>
      </c>
      <c r="D6" s="35">
        <v>1288.0</v>
      </c>
      <c r="E6" s="37" t="s">
        <v>6642</v>
      </c>
      <c r="F6" s="35" t="s">
        <v>6643</v>
      </c>
      <c r="G6" s="37" t="s">
        <v>6644</v>
      </c>
      <c r="H6" s="39" t="s">
        <v>6645</v>
      </c>
      <c r="I6" s="39" t="s">
        <v>6646</v>
      </c>
      <c r="J6" s="39" t="s">
        <v>6647</v>
      </c>
    </row>
    <row r="7" ht="26.25" customHeight="1">
      <c r="A7" s="12" t="s">
        <v>87</v>
      </c>
      <c r="B7" s="17">
        <v>2021.0</v>
      </c>
      <c r="C7" s="35" t="s">
        <v>17</v>
      </c>
      <c r="D7" s="35">
        <v>919.0</v>
      </c>
      <c r="E7" s="37" t="s">
        <v>6648</v>
      </c>
      <c r="F7" s="35" t="s">
        <v>6649</v>
      </c>
      <c r="G7" s="37" t="s">
        <v>6650</v>
      </c>
      <c r="H7" s="39" t="s">
        <v>6651</v>
      </c>
      <c r="I7" s="39" t="s">
        <v>6652</v>
      </c>
      <c r="J7" s="39" t="s">
        <v>6653</v>
      </c>
    </row>
    <row r="8" ht="26.25" customHeight="1">
      <c r="A8" s="12" t="s">
        <v>94</v>
      </c>
      <c r="B8" s="17">
        <v>2021.0</v>
      </c>
      <c r="C8" s="35" t="s">
        <v>17</v>
      </c>
      <c r="D8" s="35">
        <v>1592.0</v>
      </c>
      <c r="E8" s="37" t="s">
        <v>6654</v>
      </c>
      <c r="F8" s="35" t="s">
        <v>6655</v>
      </c>
      <c r="G8" s="37" t="s">
        <v>6656</v>
      </c>
      <c r="H8" s="39" t="s">
        <v>6657</v>
      </c>
      <c r="I8" s="39" t="s">
        <v>6640</v>
      </c>
      <c r="J8" s="39" t="s">
        <v>6658</v>
      </c>
    </row>
    <row r="9" ht="26.25" customHeight="1">
      <c r="A9" s="12" t="s">
        <v>101</v>
      </c>
      <c r="B9" s="17">
        <v>2021.0</v>
      </c>
      <c r="C9" s="40" t="s">
        <v>20</v>
      </c>
      <c r="D9" s="40">
        <v>2728.0</v>
      </c>
      <c r="E9" s="39" t="s">
        <v>6659</v>
      </c>
      <c r="F9" s="41" t="s">
        <v>6660</v>
      </c>
      <c r="G9" s="39" t="s">
        <v>6661</v>
      </c>
      <c r="H9" s="39" t="s">
        <v>6662</v>
      </c>
      <c r="I9" s="39" t="s">
        <v>6646</v>
      </c>
      <c r="J9" s="39" t="s">
        <v>6663</v>
      </c>
    </row>
    <row r="10" ht="26.25" customHeight="1">
      <c r="A10" s="12" t="s">
        <v>108</v>
      </c>
      <c r="B10" s="17">
        <v>2022.0</v>
      </c>
      <c r="C10" s="42" t="s">
        <v>12</v>
      </c>
      <c r="D10" s="42">
        <v>3819.0</v>
      </c>
      <c r="E10" s="38" t="s">
        <v>6664</v>
      </c>
      <c r="F10" s="42" t="s">
        <v>6665</v>
      </c>
      <c r="G10" s="36" t="s">
        <v>6666</v>
      </c>
      <c r="H10" s="38" t="s">
        <v>6667</v>
      </c>
      <c r="I10" s="38" t="s">
        <v>6668</v>
      </c>
      <c r="J10" s="38" t="s">
        <v>6669</v>
      </c>
    </row>
    <row r="11" ht="26.25" customHeight="1">
      <c r="A11" s="12" t="s">
        <v>113</v>
      </c>
      <c r="B11" s="17">
        <v>2023.0</v>
      </c>
      <c r="C11" s="42" t="s">
        <v>22</v>
      </c>
      <c r="D11" s="42">
        <v>10852.0</v>
      </c>
      <c r="E11" s="38" t="s">
        <v>6670</v>
      </c>
      <c r="F11" s="43" t="s">
        <v>6671</v>
      </c>
      <c r="G11" s="36" t="s">
        <v>6672</v>
      </c>
      <c r="H11" s="38" t="s">
        <v>1835</v>
      </c>
      <c r="I11" s="38" t="s">
        <v>6646</v>
      </c>
      <c r="J11" s="38" t="s">
        <v>6673</v>
      </c>
    </row>
    <row r="12" ht="26.25" customHeight="1">
      <c r="A12" s="12" t="s">
        <v>120</v>
      </c>
      <c r="B12" s="17">
        <v>2024.0</v>
      </c>
      <c r="C12" s="17" t="s">
        <v>17</v>
      </c>
      <c r="D12" s="17">
        <v>12557.0</v>
      </c>
      <c r="E12" s="36" t="s">
        <v>6674</v>
      </c>
      <c r="F12" s="48" t="s">
        <v>6675</v>
      </c>
      <c r="G12" s="37" t="s">
        <v>6676</v>
      </c>
      <c r="H12" s="37" t="s">
        <v>6677</v>
      </c>
      <c r="I12" s="36" t="s">
        <v>6678</v>
      </c>
      <c r="J12" s="39" t="s">
        <v>6679</v>
      </c>
    </row>
    <row r="13" ht="26.25" customHeight="1">
      <c r="A13" s="12" t="s">
        <v>126</v>
      </c>
      <c r="B13" s="17">
        <v>2024.0</v>
      </c>
      <c r="C13" s="15" t="s">
        <v>19</v>
      </c>
      <c r="D13" s="15">
        <v>13365.0</v>
      </c>
      <c r="E13" s="49" t="s">
        <v>6680</v>
      </c>
      <c r="F13" s="50" t="s">
        <v>6681</v>
      </c>
      <c r="G13" s="49"/>
      <c r="H13" s="49" t="s">
        <v>6682</v>
      </c>
      <c r="I13" s="49" t="s">
        <v>6678</v>
      </c>
      <c r="J13" s="39" t="s">
        <v>6683</v>
      </c>
    </row>
    <row r="14" ht="26.25" customHeight="1">
      <c r="A14" s="12" t="s">
        <v>132</v>
      </c>
      <c r="B14" s="17">
        <v>2025.0</v>
      </c>
      <c r="C14" s="15" t="s">
        <v>2492</v>
      </c>
      <c r="D14" s="15">
        <v>14826.0</v>
      </c>
      <c r="E14" s="49" t="s">
        <v>6684</v>
      </c>
      <c r="F14" s="54" t="s">
        <v>6685</v>
      </c>
      <c r="G14" s="49" t="s">
        <v>6686</v>
      </c>
      <c r="H14" s="49" t="s">
        <v>6687</v>
      </c>
      <c r="I14" s="49" t="s">
        <v>6678</v>
      </c>
      <c r="J14" s="39" t="s">
        <v>6688</v>
      </c>
    </row>
    <row r="15" ht="26.25" customHeight="1">
      <c r="A15" s="12" t="s">
        <v>138</v>
      </c>
      <c r="B15" s="17">
        <v>2025.0</v>
      </c>
      <c r="C15" s="15" t="s">
        <v>14</v>
      </c>
      <c r="D15" s="15">
        <v>15295.0</v>
      </c>
      <c r="E15" s="49" t="s">
        <v>6689</v>
      </c>
      <c r="F15" s="54" t="s">
        <v>6690</v>
      </c>
      <c r="G15" s="49" t="s">
        <v>6676</v>
      </c>
      <c r="H15" s="49" t="s">
        <v>6691</v>
      </c>
      <c r="I15" s="49" t="s">
        <v>6678</v>
      </c>
      <c r="J15" s="39" t="s">
        <v>6692</v>
      </c>
    </row>
    <row r="16" ht="26.25" customHeight="1">
      <c r="A16" s="12" t="s">
        <v>144</v>
      </c>
      <c r="B16" s="17">
        <v>2025.0</v>
      </c>
      <c r="C16" s="15" t="s">
        <v>22</v>
      </c>
      <c r="D16" s="15">
        <v>17209.0</v>
      </c>
      <c r="E16" s="49" t="s">
        <v>6693</v>
      </c>
      <c r="F16" s="54" t="s">
        <v>6694</v>
      </c>
      <c r="G16" s="49" t="s">
        <v>6695</v>
      </c>
      <c r="H16" s="49" t="s">
        <v>6696</v>
      </c>
      <c r="I16" s="49" t="s">
        <v>6697</v>
      </c>
      <c r="J16" s="39" t="s">
        <v>6698</v>
      </c>
    </row>
    <row r="17" ht="26.25" customHeight="1">
      <c r="A17" s="12" t="s">
        <v>146</v>
      </c>
      <c r="B17" s="20">
        <v>2026.0</v>
      </c>
      <c r="C17" s="15" t="s">
        <v>11</v>
      </c>
      <c r="D17" s="57">
        <v>17209.0</v>
      </c>
      <c r="E17" s="58" t="s">
        <v>6699</v>
      </c>
      <c r="F17" s="59">
        <v>8.1228189595E10</v>
      </c>
      <c r="G17" s="61" t="s">
        <v>6695</v>
      </c>
      <c r="H17" s="129" t="s">
        <v>6700</v>
      </c>
      <c r="I17" s="58" t="s">
        <v>6697</v>
      </c>
      <c r="J17" s="145" t="s">
        <v>6701</v>
      </c>
    </row>
    <row r="18" ht="26.25" customHeight="1">
      <c r="A18" s="12" t="s">
        <v>151</v>
      </c>
      <c r="B18" s="20">
        <v>2026.0</v>
      </c>
      <c r="C18" s="155" t="s">
        <v>16</v>
      </c>
      <c r="D18" s="65">
        <v>19032.0</v>
      </c>
      <c r="E18" s="66" t="s">
        <v>6702</v>
      </c>
      <c r="F18" s="67" t="s">
        <v>6703</v>
      </c>
      <c r="G18" s="71" t="s">
        <v>6704</v>
      </c>
      <c r="H18" s="58" t="s">
        <v>6705</v>
      </c>
      <c r="I18" s="63" t="s">
        <v>6640</v>
      </c>
      <c r="J18" s="87" t="s">
        <v>6706</v>
      </c>
    </row>
    <row r="19" ht="26.25" customHeight="1">
      <c r="A19" s="51" t="s">
        <v>222</v>
      </c>
      <c r="C19" s="52"/>
      <c r="D19" s="52"/>
      <c r="E19" s="53">
        <f t="array" ref="E19">sum(1/countif(E18,E18))</f>
        <v>1</v>
      </c>
      <c r="F19" s="52"/>
      <c r="G19" s="52"/>
      <c r="H19" s="53">
        <f t="array" ref="H19">sum(1/countif(H18,H18))</f>
        <v>1</v>
      </c>
      <c r="I19" s="53" t="str">
        <f t="array" ref="I19">sum(1/countif(#REF!,#REF!))</f>
        <v>#REF!</v>
      </c>
      <c r="J19" s="53"/>
    </row>
    <row r="20" ht="26.25" customHeight="1">
      <c r="A20" s="51" t="s">
        <v>223</v>
      </c>
      <c r="C20" s="52"/>
      <c r="E20" s="53">
        <f t="array" ref="E20">sum(1/countif(E5:E18,E5:E18))</f>
        <v>14</v>
      </c>
      <c r="F20" s="52"/>
      <c r="G20" s="52"/>
      <c r="H20" s="53">
        <f t="array" ref="H20">sum(1/countif(H5:H18,H5:H18))</f>
        <v>14</v>
      </c>
      <c r="I20" s="53">
        <f t="array" ref="I20">sum(1/countif(I5:I15,I5:I15))</f>
        <v>5</v>
      </c>
      <c r="J20" s="53"/>
    </row>
  </sheetData>
  <mergeCells count="6">
    <mergeCell ref="A1:J1"/>
    <mergeCell ref="A2:J2"/>
    <mergeCell ref="A3:J3"/>
    <mergeCell ref="A19:B19"/>
    <mergeCell ref="A20:B20"/>
    <mergeCell ref="C20:D20"/>
  </mergeCells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17" t="s">
        <v>15</v>
      </c>
      <c r="D5" s="17">
        <v>635.0</v>
      </c>
      <c r="E5" s="36" t="s">
        <v>6707</v>
      </c>
      <c r="F5" s="17" t="s">
        <v>6708</v>
      </c>
      <c r="G5" s="36" t="s">
        <v>6709</v>
      </c>
      <c r="H5" s="36" t="s">
        <v>6710</v>
      </c>
      <c r="I5" s="38" t="s">
        <v>6711</v>
      </c>
      <c r="J5" s="38" t="s">
        <v>6712</v>
      </c>
    </row>
    <row r="6" ht="26.25" customHeight="1">
      <c r="A6" s="12" t="s">
        <v>80</v>
      </c>
      <c r="B6" s="17">
        <v>2021.0</v>
      </c>
      <c r="C6" s="17" t="s">
        <v>16</v>
      </c>
      <c r="D6" s="17">
        <v>1231.0</v>
      </c>
      <c r="E6" s="36" t="s">
        <v>6713</v>
      </c>
      <c r="F6" s="17" t="s">
        <v>6714</v>
      </c>
      <c r="G6" s="36" t="s">
        <v>6715</v>
      </c>
      <c r="H6" s="38" t="s">
        <v>6716</v>
      </c>
      <c r="I6" s="38" t="s">
        <v>6711</v>
      </c>
      <c r="J6" s="38" t="s">
        <v>6717</v>
      </c>
    </row>
    <row r="7" ht="26.25" customHeight="1">
      <c r="A7" s="12" t="s">
        <v>87</v>
      </c>
      <c r="B7" s="17">
        <v>2021.0</v>
      </c>
      <c r="C7" s="42" t="s">
        <v>18</v>
      </c>
      <c r="D7" s="42">
        <v>856.0</v>
      </c>
      <c r="E7" s="38" t="s">
        <v>6718</v>
      </c>
      <c r="F7" s="43" t="s">
        <v>6719</v>
      </c>
      <c r="G7" s="38" t="s">
        <v>6720</v>
      </c>
      <c r="H7" s="38" t="s">
        <v>6721</v>
      </c>
      <c r="I7" s="38" t="s">
        <v>6722</v>
      </c>
      <c r="J7" s="38" t="s">
        <v>6723</v>
      </c>
    </row>
    <row r="8" ht="26.25" customHeight="1">
      <c r="A8" s="12" t="s">
        <v>94</v>
      </c>
      <c r="B8" s="17">
        <v>2021.0</v>
      </c>
      <c r="C8" s="42" t="s">
        <v>18</v>
      </c>
      <c r="D8" s="42">
        <v>1042.0</v>
      </c>
      <c r="E8" s="38" t="s">
        <v>6724</v>
      </c>
      <c r="F8" s="42" t="s">
        <v>6725</v>
      </c>
      <c r="G8" s="38" t="s">
        <v>6726</v>
      </c>
      <c r="H8" s="38" t="s">
        <v>6727</v>
      </c>
      <c r="I8" s="38" t="s">
        <v>6728</v>
      </c>
      <c r="J8" s="38" t="s">
        <v>6729</v>
      </c>
    </row>
    <row r="9" ht="26.25" customHeight="1">
      <c r="A9" s="12" t="s">
        <v>101</v>
      </c>
      <c r="B9" s="17">
        <v>2021.0</v>
      </c>
      <c r="C9" s="17" t="s">
        <v>20</v>
      </c>
      <c r="D9" s="17">
        <v>1231.0</v>
      </c>
      <c r="E9" s="36" t="s">
        <v>6713</v>
      </c>
      <c r="F9" s="42" t="s">
        <v>6730</v>
      </c>
      <c r="G9" s="38" t="s">
        <v>6715</v>
      </c>
      <c r="H9" s="38" t="s">
        <v>6731</v>
      </c>
      <c r="I9" s="38" t="s">
        <v>6711</v>
      </c>
      <c r="J9" s="38" t="s">
        <v>6732</v>
      </c>
    </row>
    <row r="10" ht="26.25" customHeight="1">
      <c r="A10" s="12" t="s">
        <v>108</v>
      </c>
      <c r="B10" s="17">
        <v>2021.0</v>
      </c>
      <c r="C10" s="42" t="s">
        <v>21</v>
      </c>
      <c r="D10" s="42">
        <v>3126.0</v>
      </c>
      <c r="E10" s="38" t="s">
        <v>6733</v>
      </c>
      <c r="F10" s="42" t="s">
        <v>6734</v>
      </c>
      <c r="G10" s="38" t="s">
        <v>6735</v>
      </c>
      <c r="H10" s="38" t="s">
        <v>6736</v>
      </c>
      <c r="I10" s="38" t="s">
        <v>6711</v>
      </c>
      <c r="J10" s="38" t="s">
        <v>6737</v>
      </c>
    </row>
    <row r="11" ht="26.25" customHeight="1">
      <c r="A11" s="12" t="s">
        <v>113</v>
      </c>
      <c r="B11" s="17">
        <v>2021.0</v>
      </c>
      <c r="C11" s="17" t="s">
        <v>21</v>
      </c>
      <c r="D11" s="17">
        <v>1811.0</v>
      </c>
      <c r="E11" s="36" t="s">
        <v>6738</v>
      </c>
      <c r="F11" s="17" t="s">
        <v>6739</v>
      </c>
      <c r="G11" s="36" t="s">
        <v>6740</v>
      </c>
      <c r="H11" s="36" t="s">
        <v>6741</v>
      </c>
      <c r="I11" s="38" t="s">
        <v>6722</v>
      </c>
      <c r="J11" s="38" t="s">
        <v>6742</v>
      </c>
    </row>
    <row r="12" ht="26.25" customHeight="1">
      <c r="A12" s="12" t="s">
        <v>120</v>
      </c>
      <c r="B12" s="17">
        <v>2021.0</v>
      </c>
      <c r="C12" s="17" t="s">
        <v>22</v>
      </c>
      <c r="D12" s="17">
        <v>3429.0</v>
      </c>
      <c r="E12" s="36" t="s">
        <v>6743</v>
      </c>
      <c r="F12" s="42" t="s">
        <v>6744</v>
      </c>
      <c r="G12" s="36" t="s">
        <v>6745</v>
      </c>
      <c r="H12" s="38" t="s">
        <v>6746</v>
      </c>
      <c r="I12" s="38" t="s">
        <v>6711</v>
      </c>
      <c r="J12" s="38" t="s">
        <v>6747</v>
      </c>
    </row>
    <row r="13" ht="26.25" customHeight="1">
      <c r="A13" s="12" t="s">
        <v>126</v>
      </c>
      <c r="B13" s="17">
        <v>2021.0</v>
      </c>
      <c r="C13" s="17" t="s">
        <v>22</v>
      </c>
      <c r="D13" s="17">
        <v>3544.0</v>
      </c>
      <c r="E13" s="36" t="s">
        <v>6748</v>
      </c>
      <c r="F13" s="17" t="s">
        <v>6749</v>
      </c>
      <c r="G13" s="36" t="s">
        <v>6750</v>
      </c>
      <c r="H13" s="36" t="s">
        <v>6751</v>
      </c>
      <c r="I13" s="38" t="s">
        <v>6668</v>
      </c>
      <c r="J13" s="38" t="s">
        <v>6752</v>
      </c>
    </row>
    <row r="14" ht="26.25" customHeight="1">
      <c r="A14" s="12" t="s">
        <v>132</v>
      </c>
      <c r="B14" s="17">
        <v>2021.0</v>
      </c>
      <c r="C14" s="17" t="s">
        <v>22</v>
      </c>
      <c r="D14" s="17">
        <v>2821.0</v>
      </c>
      <c r="E14" s="36" t="s">
        <v>6753</v>
      </c>
      <c r="F14" s="43" t="s">
        <v>6754</v>
      </c>
      <c r="G14" s="36" t="s">
        <v>6755</v>
      </c>
      <c r="H14" s="38" t="s">
        <v>6756</v>
      </c>
      <c r="I14" s="38" t="s">
        <v>6728</v>
      </c>
      <c r="J14" s="38" t="s">
        <v>6757</v>
      </c>
    </row>
    <row r="15" ht="26.25" customHeight="1">
      <c r="A15" s="12" t="s">
        <v>138</v>
      </c>
      <c r="B15" s="17">
        <v>2021.0</v>
      </c>
      <c r="C15" s="17" t="s">
        <v>22</v>
      </c>
      <c r="D15" s="17">
        <v>1129.0</v>
      </c>
      <c r="E15" s="36" t="s">
        <v>6758</v>
      </c>
      <c r="F15" s="17" t="s">
        <v>6759</v>
      </c>
      <c r="G15" s="36" t="s">
        <v>6760</v>
      </c>
      <c r="H15" s="36" t="s">
        <v>6761</v>
      </c>
      <c r="I15" s="38" t="s">
        <v>6762</v>
      </c>
      <c r="J15" s="38" t="s">
        <v>6763</v>
      </c>
    </row>
    <row r="16" ht="26.25" customHeight="1">
      <c r="A16" s="12" t="s">
        <v>144</v>
      </c>
      <c r="B16" s="17">
        <v>2021.0</v>
      </c>
      <c r="C16" s="17" t="s">
        <v>22</v>
      </c>
      <c r="D16" s="17">
        <v>3311.0</v>
      </c>
      <c r="E16" s="36" t="s">
        <v>6764</v>
      </c>
      <c r="F16" s="48" t="s">
        <v>6765</v>
      </c>
      <c r="G16" s="38" t="s">
        <v>6766</v>
      </c>
      <c r="H16" s="36" t="s">
        <v>6767</v>
      </c>
      <c r="I16" s="38" t="s">
        <v>6762</v>
      </c>
      <c r="J16" s="38" t="s">
        <v>6768</v>
      </c>
    </row>
    <row r="17" ht="26.25" customHeight="1">
      <c r="A17" s="12" t="s">
        <v>146</v>
      </c>
      <c r="B17" s="17">
        <v>2021.0</v>
      </c>
      <c r="C17" s="17" t="s">
        <v>22</v>
      </c>
      <c r="D17" s="17">
        <v>3744.0</v>
      </c>
      <c r="E17" s="36" t="s">
        <v>6769</v>
      </c>
      <c r="F17" s="42" t="s">
        <v>6770</v>
      </c>
      <c r="G17" s="36" t="s">
        <v>6771</v>
      </c>
      <c r="H17" s="38" t="s">
        <v>6772</v>
      </c>
      <c r="I17" s="38" t="s">
        <v>6668</v>
      </c>
      <c r="J17" s="38" t="s">
        <v>6773</v>
      </c>
    </row>
    <row r="18" ht="26.25" customHeight="1">
      <c r="A18" s="12" t="s">
        <v>151</v>
      </c>
      <c r="B18" s="17">
        <v>2021.0</v>
      </c>
      <c r="C18" s="17" t="s">
        <v>22</v>
      </c>
      <c r="D18" s="17">
        <v>3660.0</v>
      </c>
      <c r="E18" s="36" t="s">
        <v>6774</v>
      </c>
      <c r="F18" s="42" t="s">
        <v>6775</v>
      </c>
      <c r="G18" s="36" t="s">
        <v>6776</v>
      </c>
      <c r="H18" s="38" t="s">
        <v>6777</v>
      </c>
      <c r="I18" s="38" t="s">
        <v>6711</v>
      </c>
      <c r="J18" s="38" t="s">
        <v>6778</v>
      </c>
    </row>
    <row r="19" ht="26.25" customHeight="1">
      <c r="A19" s="12" t="s">
        <v>153</v>
      </c>
      <c r="B19" s="17">
        <v>2021.0</v>
      </c>
      <c r="C19" s="17" t="s">
        <v>22</v>
      </c>
      <c r="D19" s="17">
        <v>3270.0</v>
      </c>
      <c r="E19" s="36" t="s">
        <v>6779</v>
      </c>
      <c r="F19" s="17" t="s">
        <v>6780</v>
      </c>
      <c r="G19" s="36" t="s">
        <v>6781</v>
      </c>
      <c r="H19" s="36" t="s">
        <v>6782</v>
      </c>
      <c r="I19" s="38" t="s">
        <v>6711</v>
      </c>
      <c r="J19" s="38" t="s">
        <v>6783</v>
      </c>
    </row>
    <row r="20" ht="26.25" customHeight="1">
      <c r="A20" s="12" t="s">
        <v>159</v>
      </c>
      <c r="B20" s="17">
        <v>2021.0</v>
      </c>
      <c r="C20" s="42" t="s">
        <v>22</v>
      </c>
      <c r="D20" s="42">
        <v>3198.0</v>
      </c>
      <c r="E20" s="38" t="s">
        <v>6784</v>
      </c>
      <c r="F20" s="42" t="s">
        <v>6785</v>
      </c>
      <c r="G20" s="38" t="s">
        <v>6786</v>
      </c>
      <c r="H20" s="38" t="s">
        <v>6787</v>
      </c>
      <c r="I20" s="38" t="s">
        <v>6722</v>
      </c>
      <c r="J20" s="38" t="s">
        <v>6788</v>
      </c>
    </row>
    <row r="21" ht="26.25" customHeight="1">
      <c r="A21" s="12" t="s">
        <v>165</v>
      </c>
      <c r="B21" s="17">
        <v>2021.0</v>
      </c>
      <c r="C21" s="17" t="s">
        <v>22</v>
      </c>
      <c r="D21" s="17">
        <v>3439.0</v>
      </c>
      <c r="E21" s="36" t="s">
        <v>6789</v>
      </c>
      <c r="F21" s="17" t="s">
        <v>6790</v>
      </c>
      <c r="G21" s="36" t="s">
        <v>6791</v>
      </c>
      <c r="H21" s="36" t="s">
        <v>6792</v>
      </c>
      <c r="I21" s="38" t="s">
        <v>6668</v>
      </c>
      <c r="J21" s="38" t="s">
        <v>6793</v>
      </c>
    </row>
    <row r="22" ht="26.25" customHeight="1">
      <c r="A22" s="12" t="s">
        <v>171</v>
      </c>
      <c r="B22" s="17">
        <v>2022.0</v>
      </c>
      <c r="C22" s="42" t="s">
        <v>12</v>
      </c>
      <c r="D22" s="42">
        <v>3819.0</v>
      </c>
      <c r="E22" s="38" t="s">
        <v>6664</v>
      </c>
      <c r="F22" s="42" t="s">
        <v>6665</v>
      </c>
      <c r="G22" s="36" t="s">
        <v>6666</v>
      </c>
      <c r="H22" s="38" t="s">
        <v>6667</v>
      </c>
      <c r="I22" s="38" t="s">
        <v>6668</v>
      </c>
      <c r="J22" s="38" t="s">
        <v>6669</v>
      </c>
    </row>
    <row r="23" ht="26.25" customHeight="1">
      <c r="A23" s="12" t="s">
        <v>173</v>
      </c>
      <c r="B23" s="17">
        <v>2022.0</v>
      </c>
      <c r="C23" s="42" t="s">
        <v>12</v>
      </c>
      <c r="D23" s="42">
        <v>4487.0</v>
      </c>
      <c r="E23" s="38" t="s">
        <v>6794</v>
      </c>
      <c r="F23" s="43" t="s">
        <v>6795</v>
      </c>
      <c r="G23" s="36" t="s">
        <v>6796</v>
      </c>
      <c r="H23" s="38" t="s">
        <v>6797</v>
      </c>
      <c r="I23" s="38" t="s">
        <v>6711</v>
      </c>
      <c r="J23" s="38" t="s">
        <v>6798</v>
      </c>
    </row>
    <row r="24" ht="26.25" customHeight="1">
      <c r="A24" s="12" t="s">
        <v>178</v>
      </c>
      <c r="B24" s="17">
        <v>2022.0</v>
      </c>
      <c r="C24" s="42" t="s">
        <v>13</v>
      </c>
      <c r="D24" s="42">
        <v>4840.0</v>
      </c>
      <c r="E24" s="38" t="s">
        <v>6799</v>
      </c>
      <c r="F24" s="42" t="s">
        <v>6800</v>
      </c>
      <c r="G24" s="36" t="s">
        <v>6801</v>
      </c>
      <c r="H24" s="38" t="s">
        <v>6802</v>
      </c>
      <c r="I24" s="38" t="s">
        <v>6711</v>
      </c>
      <c r="J24" s="38" t="s">
        <v>6803</v>
      </c>
    </row>
    <row r="25" ht="26.25" customHeight="1">
      <c r="A25" s="12" t="s">
        <v>184</v>
      </c>
      <c r="B25" s="17">
        <v>2022.0</v>
      </c>
      <c r="C25" s="42" t="s">
        <v>13</v>
      </c>
      <c r="D25" s="42">
        <v>4858.0</v>
      </c>
      <c r="E25" s="38" t="s">
        <v>6804</v>
      </c>
      <c r="F25" s="42" t="s">
        <v>6805</v>
      </c>
      <c r="G25" s="36" t="s">
        <v>6806</v>
      </c>
      <c r="H25" s="38" t="s">
        <v>6807</v>
      </c>
      <c r="I25" s="38" t="s">
        <v>6711</v>
      </c>
      <c r="J25" s="38" t="s">
        <v>6808</v>
      </c>
    </row>
    <row r="26" ht="26.25" customHeight="1">
      <c r="A26" s="12" t="s">
        <v>190</v>
      </c>
      <c r="B26" s="17">
        <v>2022.0</v>
      </c>
      <c r="C26" s="42" t="s">
        <v>14</v>
      </c>
      <c r="D26" s="42">
        <v>5182.0</v>
      </c>
      <c r="E26" s="38" t="s">
        <v>6809</v>
      </c>
      <c r="F26" s="42" t="s">
        <v>6810</v>
      </c>
      <c r="G26" s="36" t="s">
        <v>6811</v>
      </c>
      <c r="H26" s="38" t="s">
        <v>6812</v>
      </c>
      <c r="I26" s="38" t="s">
        <v>6711</v>
      </c>
      <c r="J26" s="38" t="s">
        <v>6813</v>
      </c>
    </row>
    <row r="27" ht="26.25" customHeight="1">
      <c r="A27" s="12" t="s">
        <v>196</v>
      </c>
      <c r="B27" s="17">
        <v>2022.0</v>
      </c>
      <c r="C27" s="42" t="s">
        <v>14</v>
      </c>
      <c r="D27" s="42">
        <v>279.0</v>
      </c>
      <c r="E27" s="38" t="s">
        <v>6814</v>
      </c>
      <c r="F27" s="42" t="s">
        <v>6815</v>
      </c>
      <c r="G27" s="36" t="s">
        <v>6816</v>
      </c>
      <c r="H27" s="38" t="s">
        <v>6817</v>
      </c>
      <c r="I27" s="38" t="s">
        <v>6711</v>
      </c>
      <c r="J27" s="38" t="s">
        <v>6818</v>
      </c>
    </row>
    <row r="28" ht="26.25" customHeight="1">
      <c r="A28" s="12" t="s">
        <v>202</v>
      </c>
      <c r="B28" s="17">
        <v>2022.0</v>
      </c>
      <c r="C28" s="42" t="s">
        <v>14</v>
      </c>
      <c r="D28" s="42">
        <v>5195.0</v>
      </c>
      <c r="E28" s="38" t="s">
        <v>6819</v>
      </c>
      <c r="F28" s="42" t="s">
        <v>6820</v>
      </c>
      <c r="G28" s="36" t="s">
        <v>6821</v>
      </c>
      <c r="H28" s="38" t="s">
        <v>6822</v>
      </c>
      <c r="I28" s="38" t="s">
        <v>6711</v>
      </c>
      <c r="J28" s="38" t="s">
        <v>6823</v>
      </c>
    </row>
    <row r="29" ht="26.25" customHeight="1">
      <c r="A29" s="12" t="s">
        <v>208</v>
      </c>
      <c r="B29" s="17">
        <v>2022.0</v>
      </c>
      <c r="C29" s="42" t="s">
        <v>15</v>
      </c>
      <c r="D29" s="42">
        <v>5447.0</v>
      </c>
      <c r="E29" s="38" t="s">
        <v>6824</v>
      </c>
      <c r="F29" s="43" t="s">
        <v>6825</v>
      </c>
      <c r="G29" s="36" t="s">
        <v>6826</v>
      </c>
      <c r="H29" s="38" t="s">
        <v>1517</v>
      </c>
      <c r="I29" s="38" t="s">
        <v>6722</v>
      </c>
      <c r="J29" s="38" t="s">
        <v>6827</v>
      </c>
    </row>
    <row r="30" ht="26.25" customHeight="1">
      <c r="A30" s="12" t="s">
        <v>213</v>
      </c>
      <c r="B30" s="17">
        <v>2022.0</v>
      </c>
      <c r="C30" s="42" t="s">
        <v>16</v>
      </c>
      <c r="D30" s="42">
        <v>5313.0</v>
      </c>
      <c r="E30" s="38" t="s">
        <v>6828</v>
      </c>
      <c r="F30" s="42" t="s">
        <v>6829</v>
      </c>
      <c r="G30" s="36" t="s">
        <v>6830</v>
      </c>
      <c r="H30" s="38" t="s">
        <v>6831</v>
      </c>
      <c r="I30" s="38" t="s">
        <v>6711</v>
      </c>
      <c r="J30" s="38" t="s">
        <v>6832</v>
      </c>
    </row>
    <row r="31" ht="26.25" customHeight="1">
      <c r="A31" s="12" t="s">
        <v>215</v>
      </c>
      <c r="B31" s="17">
        <v>2022.0</v>
      </c>
      <c r="C31" s="42" t="s">
        <v>16</v>
      </c>
      <c r="D31" s="42">
        <v>5262.0</v>
      </c>
      <c r="E31" s="38" t="s">
        <v>6833</v>
      </c>
      <c r="F31" s="42" t="s">
        <v>6834</v>
      </c>
      <c r="G31" s="36" t="s">
        <v>6835</v>
      </c>
      <c r="H31" s="38" t="s">
        <v>6836</v>
      </c>
      <c r="I31" s="38" t="s">
        <v>6837</v>
      </c>
      <c r="J31" s="38" t="s">
        <v>6838</v>
      </c>
    </row>
    <row r="32" ht="26.25" customHeight="1">
      <c r="A32" s="12" t="s">
        <v>354</v>
      </c>
      <c r="B32" s="17">
        <v>2022.0</v>
      </c>
      <c r="C32" s="42" t="s">
        <v>16</v>
      </c>
      <c r="D32" s="42">
        <v>5364.0</v>
      </c>
      <c r="E32" s="38" t="s">
        <v>6839</v>
      </c>
      <c r="F32" s="42" t="s">
        <v>6840</v>
      </c>
      <c r="G32" s="36" t="s">
        <v>6841</v>
      </c>
      <c r="H32" s="38" t="s">
        <v>6842</v>
      </c>
      <c r="I32" s="38" t="s">
        <v>6837</v>
      </c>
      <c r="J32" s="38" t="s">
        <v>6843</v>
      </c>
    </row>
    <row r="33" ht="26.25" customHeight="1">
      <c r="A33" s="12" t="s">
        <v>358</v>
      </c>
      <c r="B33" s="17">
        <v>2022.0</v>
      </c>
      <c r="C33" s="42" t="s">
        <v>16</v>
      </c>
      <c r="D33" s="42">
        <v>5842.0</v>
      </c>
      <c r="E33" s="38" t="s">
        <v>6844</v>
      </c>
      <c r="F33" s="42" t="s">
        <v>6845</v>
      </c>
      <c r="G33" s="36" t="s">
        <v>6846</v>
      </c>
      <c r="H33" s="38" t="s">
        <v>6844</v>
      </c>
      <c r="I33" s="38" t="s">
        <v>6711</v>
      </c>
      <c r="J33" s="38" t="s">
        <v>6847</v>
      </c>
    </row>
    <row r="34" ht="26.25" customHeight="1">
      <c r="A34" s="12" t="s">
        <v>360</v>
      </c>
      <c r="B34" s="17">
        <v>2022.0</v>
      </c>
      <c r="C34" s="42" t="s">
        <v>18</v>
      </c>
      <c r="D34" s="17">
        <v>6364.0</v>
      </c>
      <c r="E34" s="36" t="s">
        <v>6848</v>
      </c>
      <c r="F34" s="43" t="s">
        <v>6849</v>
      </c>
      <c r="G34" s="36" t="s">
        <v>6850</v>
      </c>
      <c r="H34" s="38" t="s">
        <v>6851</v>
      </c>
      <c r="I34" s="38" t="s">
        <v>6668</v>
      </c>
      <c r="J34" s="38" t="s">
        <v>6852</v>
      </c>
    </row>
    <row r="35" ht="26.25" customHeight="1">
      <c r="A35" s="12" t="s">
        <v>366</v>
      </c>
      <c r="B35" s="17">
        <v>2022.0</v>
      </c>
      <c r="C35" s="42" t="s">
        <v>21</v>
      </c>
      <c r="D35" s="42">
        <v>4858.0</v>
      </c>
      <c r="E35" s="38" t="s">
        <v>6804</v>
      </c>
      <c r="F35" s="42" t="s">
        <v>6805</v>
      </c>
      <c r="G35" s="36" t="s">
        <v>6806</v>
      </c>
      <c r="H35" s="38" t="s">
        <v>6853</v>
      </c>
      <c r="I35" s="38" t="s">
        <v>6711</v>
      </c>
      <c r="J35" s="38" t="s">
        <v>6808</v>
      </c>
    </row>
    <row r="36" ht="26.25" customHeight="1">
      <c r="A36" s="12" t="s">
        <v>372</v>
      </c>
      <c r="B36" s="17">
        <v>2023.0</v>
      </c>
      <c r="C36" s="42" t="s">
        <v>13</v>
      </c>
      <c r="D36" s="42">
        <v>2591.0</v>
      </c>
      <c r="E36" s="38" t="s">
        <v>6854</v>
      </c>
      <c r="F36" s="43" t="s">
        <v>6855</v>
      </c>
      <c r="G36" s="36" t="s">
        <v>6856</v>
      </c>
      <c r="H36" s="38" t="s">
        <v>6857</v>
      </c>
      <c r="I36" s="38" t="s">
        <v>6711</v>
      </c>
      <c r="J36" s="38" t="s">
        <v>6858</v>
      </c>
    </row>
    <row r="37" ht="26.25" customHeight="1">
      <c r="A37" s="12" t="s">
        <v>377</v>
      </c>
      <c r="B37" s="17">
        <v>2023.0</v>
      </c>
      <c r="C37" s="42" t="s">
        <v>13</v>
      </c>
      <c r="D37" s="17">
        <v>8545.0</v>
      </c>
      <c r="E37" s="38" t="s">
        <v>6859</v>
      </c>
      <c r="F37" s="42" t="s">
        <v>6860</v>
      </c>
      <c r="G37" s="36" t="s">
        <v>6861</v>
      </c>
      <c r="H37" s="38" t="s">
        <v>6184</v>
      </c>
      <c r="I37" s="38" t="s">
        <v>6862</v>
      </c>
      <c r="J37" s="38" t="s">
        <v>6863</v>
      </c>
    </row>
    <row r="38" ht="26.25" customHeight="1">
      <c r="A38" s="12" t="s">
        <v>383</v>
      </c>
      <c r="B38" s="17">
        <v>2023.0</v>
      </c>
      <c r="C38" s="42" t="s">
        <v>14</v>
      </c>
      <c r="D38" s="42">
        <v>8574.0</v>
      </c>
      <c r="E38" s="38" t="s">
        <v>6864</v>
      </c>
      <c r="F38" s="43" t="s">
        <v>6865</v>
      </c>
      <c r="G38" s="36" t="s">
        <v>6866</v>
      </c>
      <c r="H38" s="38" t="s">
        <v>6867</v>
      </c>
      <c r="I38" s="38" t="s">
        <v>6711</v>
      </c>
      <c r="J38" s="38" t="s">
        <v>6868</v>
      </c>
    </row>
    <row r="39" ht="26.25" customHeight="1">
      <c r="A39" s="12" t="s">
        <v>390</v>
      </c>
      <c r="B39" s="17">
        <v>2023.0</v>
      </c>
      <c r="C39" s="42" t="s">
        <v>15</v>
      </c>
      <c r="D39" s="42">
        <v>8992.0</v>
      </c>
      <c r="E39" s="38" t="s">
        <v>6869</v>
      </c>
      <c r="F39" s="43" t="s">
        <v>6870</v>
      </c>
      <c r="G39" s="36" t="s">
        <v>6871</v>
      </c>
      <c r="H39" s="38" t="s">
        <v>6872</v>
      </c>
      <c r="I39" s="38" t="s">
        <v>6711</v>
      </c>
      <c r="J39" s="38" t="s">
        <v>6873</v>
      </c>
    </row>
    <row r="40" ht="26.25" customHeight="1">
      <c r="A40" s="12" t="s">
        <v>393</v>
      </c>
      <c r="B40" s="17">
        <v>2023.0</v>
      </c>
      <c r="C40" s="42" t="s">
        <v>6874</v>
      </c>
      <c r="D40" s="42">
        <v>9384.0</v>
      </c>
      <c r="E40" s="38" t="s">
        <v>6875</v>
      </c>
      <c r="F40" s="43" t="s">
        <v>6876</v>
      </c>
      <c r="G40" s="36" t="s">
        <v>6877</v>
      </c>
      <c r="H40" s="38" t="s">
        <v>6878</v>
      </c>
      <c r="I40" s="38" t="s">
        <v>6728</v>
      </c>
      <c r="J40" s="38" t="s">
        <v>6879</v>
      </c>
    </row>
    <row r="41" ht="26.25" customHeight="1">
      <c r="A41" s="12" t="s">
        <v>399</v>
      </c>
      <c r="B41" s="17">
        <v>2023.0</v>
      </c>
      <c r="C41" s="42" t="s">
        <v>17</v>
      </c>
      <c r="D41" s="42">
        <v>9459.0</v>
      </c>
      <c r="E41" s="38" t="s">
        <v>6880</v>
      </c>
      <c r="F41" s="43" t="s">
        <v>6881</v>
      </c>
      <c r="G41" s="36" t="s">
        <v>6882</v>
      </c>
      <c r="H41" s="38" t="s">
        <v>6883</v>
      </c>
      <c r="I41" s="38" t="s">
        <v>6711</v>
      </c>
      <c r="J41" s="38" t="s">
        <v>6884</v>
      </c>
    </row>
    <row r="42" ht="26.25" customHeight="1">
      <c r="A42" s="12" t="s">
        <v>404</v>
      </c>
      <c r="B42" s="17">
        <v>2023.0</v>
      </c>
      <c r="C42" s="42" t="s">
        <v>18</v>
      </c>
      <c r="D42" s="42">
        <v>9654.0</v>
      </c>
      <c r="E42" s="38" t="s">
        <v>6885</v>
      </c>
      <c r="F42" s="42" t="s">
        <v>6886</v>
      </c>
      <c r="G42" s="36" t="s">
        <v>6887</v>
      </c>
      <c r="H42" s="38" t="s">
        <v>6888</v>
      </c>
      <c r="I42" s="38" t="s">
        <v>6711</v>
      </c>
      <c r="J42" s="38" t="s">
        <v>6889</v>
      </c>
    </row>
    <row r="43" ht="26.25" customHeight="1">
      <c r="A43" s="12" t="s">
        <v>409</v>
      </c>
      <c r="B43" s="17">
        <v>2023.0</v>
      </c>
      <c r="C43" s="42" t="s">
        <v>19</v>
      </c>
      <c r="D43" s="42">
        <v>10080.0</v>
      </c>
      <c r="E43" s="38" t="s">
        <v>6890</v>
      </c>
      <c r="F43" s="42" t="s">
        <v>6891</v>
      </c>
      <c r="G43" s="36" t="s">
        <v>6892</v>
      </c>
      <c r="H43" s="38" t="s">
        <v>6893</v>
      </c>
      <c r="I43" s="38" t="s">
        <v>6668</v>
      </c>
      <c r="J43" s="38" t="s">
        <v>6894</v>
      </c>
    </row>
    <row r="44" ht="26.25" customHeight="1">
      <c r="A44" s="12" t="s">
        <v>415</v>
      </c>
      <c r="B44" s="17">
        <v>2023.0</v>
      </c>
      <c r="C44" s="42" t="s">
        <v>19</v>
      </c>
      <c r="D44" s="17">
        <v>10139.0</v>
      </c>
      <c r="E44" s="38" t="s">
        <v>6895</v>
      </c>
      <c r="F44" s="42" t="s">
        <v>6896</v>
      </c>
      <c r="G44" s="36" t="s">
        <v>6897</v>
      </c>
      <c r="H44" s="38" t="s">
        <v>6898</v>
      </c>
      <c r="I44" s="38" t="s">
        <v>6668</v>
      </c>
      <c r="J44" s="38" t="s">
        <v>6899</v>
      </c>
    </row>
    <row r="45" ht="26.25" customHeight="1">
      <c r="A45" s="12" t="s">
        <v>421</v>
      </c>
      <c r="B45" s="17">
        <v>2023.0</v>
      </c>
      <c r="C45" s="42" t="s">
        <v>20</v>
      </c>
      <c r="D45" s="42">
        <v>10376.0</v>
      </c>
      <c r="E45" s="38" t="s">
        <v>6900</v>
      </c>
      <c r="F45" s="43" t="s">
        <v>6901</v>
      </c>
      <c r="G45" s="36" t="s">
        <v>6902</v>
      </c>
      <c r="H45" s="38" t="s">
        <v>6903</v>
      </c>
      <c r="I45" s="38" t="s">
        <v>6711</v>
      </c>
      <c r="J45" s="38" t="s">
        <v>6904</v>
      </c>
    </row>
    <row r="46" ht="26.25" customHeight="1">
      <c r="A46" s="12" t="s">
        <v>426</v>
      </c>
      <c r="B46" s="17">
        <v>2023.0</v>
      </c>
      <c r="C46" s="17" t="s">
        <v>20</v>
      </c>
      <c r="D46" s="17">
        <v>10496.0</v>
      </c>
      <c r="E46" s="36" t="s">
        <v>6905</v>
      </c>
      <c r="F46" s="43" t="s">
        <v>6906</v>
      </c>
      <c r="G46" s="36" t="s">
        <v>6907</v>
      </c>
      <c r="H46" s="36" t="s">
        <v>6908</v>
      </c>
      <c r="I46" s="38" t="s">
        <v>6711</v>
      </c>
      <c r="J46" s="38" t="s">
        <v>6909</v>
      </c>
    </row>
    <row r="47" ht="26.25" customHeight="1">
      <c r="A47" s="12" t="s">
        <v>432</v>
      </c>
      <c r="B47" s="17">
        <v>2024.0</v>
      </c>
      <c r="C47" s="17" t="s">
        <v>12</v>
      </c>
      <c r="D47" s="17">
        <v>635.0</v>
      </c>
      <c r="E47" s="36" t="s">
        <v>6910</v>
      </c>
      <c r="F47" s="43" t="s">
        <v>6911</v>
      </c>
      <c r="G47" s="36" t="s">
        <v>6709</v>
      </c>
      <c r="H47" s="36" t="s">
        <v>6912</v>
      </c>
      <c r="I47" s="38" t="s">
        <v>6711</v>
      </c>
      <c r="J47" s="13" t="s">
        <v>6712</v>
      </c>
    </row>
    <row r="48" ht="26.25" customHeight="1">
      <c r="A48" s="12" t="s">
        <v>437</v>
      </c>
      <c r="B48" s="17">
        <v>2024.0</v>
      </c>
      <c r="C48" s="17" t="s">
        <v>16</v>
      </c>
      <c r="D48" s="35">
        <v>4858.0</v>
      </c>
      <c r="E48" s="36" t="s">
        <v>6913</v>
      </c>
      <c r="F48" s="48" t="s">
        <v>6914</v>
      </c>
      <c r="G48" s="36" t="s">
        <v>6806</v>
      </c>
      <c r="H48" s="36" t="s">
        <v>6915</v>
      </c>
      <c r="I48" s="36" t="s">
        <v>6711</v>
      </c>
      <c r="J48" s="13" t="s">
        <v>6916</v>
      </c>
    </row>
    <row r="49" ht="26.25" customHeight="1">
      <c r="A49" s="12" t="s">
        <v>441</v>
      </c>
      <c r="B49" s="17">
        <v>2024.0</v>
      </c>
      <c r="C49" s="17" t="s">
        <v>16</v>
      </c>
      <c r="D49" s="35">
        <v>12362.0</v>
      </c>
      <c r="E49" s="36" t="s">
        <v>4145</v>
      </c>
      <c r="F49" s="48" t="s">
        <v>6917</v>
      </c>
      <c r="G49" s="36" t="s">
        <v>6918</v>
      </c>
      <c r="H49" s="36" t="s">
        <v>6919</v>
      </c>
      <c r="I49" s="36" t="s">
        <v>6920</v>
      </c>
      <c r="J49" s="13" t="s">
        <v>6921</v>
      </c>
    </row>
    <row r="50" ht="26.25" customHeight="1">
      <c r="A50" s="12" t="s">
        <v>445</v>
      </c>
      <c r="B50" s="17">
        <v>2025.0</v>
      </c>
      <c r="C50" s="17" t="s">
        <v>12</v>
      </c>
      <c r="D50" s="35">
        <v>14764.0</v>
      </c>
      <c r="E50" s="36" t="s">
        <v>6922</v>
      </c>
      <c r="F50" s="48" t="s">
        <v>6923</v>
      </c>
      <c r="G50" s="36" t="s">
        <v>6924</v>
      </c>
      <c r="H50" s="36" t="s">
        <v>6925</v>
      </c>
      <c r="I50" s="36" t="s">
        <v>6711</v>
      </c>
      <c r="J50" s="36" t="s">
        <v>6926</v>
      </c>
    </row>
    <row r="51" ht="26.25" customHeight="1">
      <c r="A51" s="12" t="s">
        <v>451</v>
      </c>
      <c r="B51" s="17">
        <v>2025.0</v>
      </c>
      <c r="C51" s="17" t="s">
        <v>1157</v>
      </c>
      <c r="D51" s="35">
        <v>15161.0</v>
      </c>
      <c r="E51" s="36" t="s">
        <v>6927</v>
      </c>
      <c r="F51" s="17">
        <v>8.5849120511E10</v>
      </c>
      <c r="G51" s="36" t="s">
        <v>6928</v>
      </c>
      <c r="H51" s="49" t="s">
        <v>6929</v>
      </c>
      <c r="I51" s="36" t="s">
        <v>6728</v>
      </c>
      <c r="J51" s="13" t="s">
        <v>6930</v>
      </c>
    </row>
    <row r="52" ht="26.25" customHeight="1">
      <c r="A52" s="12" t="s">
        <v>457</v>
      </c>
      <c r="B52" s="17">
        <v>2025.0</v>
      </c>
      <c r="C52" s="17" t="s">
        <v>16</v>
      </c>
      <c r="D52" s="35">
        <v>14624.0</v>
      </c>
      <c r="E52" s="36" t="s">
        <v>6931</v>
      </c>
      <c r="F52" s="48" t="s">
        <v>6932</v>
      </c>
      <c r="G52" s="36" t="s">
        <v>6933</v>
      </c>
      <c r="H52" s="49" t="s">
        <v>6934</v>
      </c>
      <c r="I52" s="36" t="s">
        <v>6668</v>
      </c>
      <c r="J52" s="156" t="s">
        <v>6935</v>
      </c>
    </row>
    <row r="53" ht="26.25" customHeight="1">
      <c r="A53" s="12" t="s">
        <v>463</v>
      </c>
      <c r="B53" s="17">
        <v>2025.0</v>
      </c>
      <c r="C53" s="17" t="s">
        <v>17</v>
      </c>
      <c r="D53" s="15">
        <v>9654.0</v>
      </c>
      <c r="E53" s="49" t="s">
        <v>6936</v>
      </c>
      <c r="F53" s="54" t="s">
        <v>6937</v>
      </c>
      <c r="G53" s="36" t="s">
        <v>6887</v>
      </c>
      <c r="H53" s="49" t="s">
        <v>6938</v>
      </c>
      <c r="I53" s="36" t="s">
        <v>6711</v>
      </c>
      <c r="J53" s="156" t="s">
        <v>6889</v>
      </c>
    </row>
    <row r="54" ht="26.25" customHeight="1">
      <c r="A54" s="12" t="s">
        <v>468</v>
      </c>
      <c r="B54" s="20">
        <v>2026.0</v>
      </c>
      <c r="C54" s="20" t="s">
        <v>16</v>
      </c>
      <c r="D54" s="57">
        <v>18721.0</v>
      </c>
      <c r="E54" s="58" t="s">
        <v>6939</v>
      </c>
      <c r="F54" s="59" t="s">
        <v>6940</v>
      </c>
      <c r="G54" s="157" t="s">
        <v>6941</v>
      </c>
      <c r="H54" s="58" t="s">
        <v>6942</v>
      </c>
      <c r="I54" s="58" t="s">
        <v>6728</v>
      </c>
      <c r="J54" s="158" t="s">
        <v>6943</v>
      </c>
    </row>
    <row r="55" ht="26.25" customHeight="1">
      <c r="A55" s="51" t="s">
        <v>222</v>
      </c>
      <c r="C55" s="52"/>
      <c r="D55" s="52"/>
      <c r="E55" s="53" t="str">
        <f t="array" ref="E55">sum(1/countif(E55,E55))</f>
        <v>#REF!</v>
      </c>
      <c r="F55" s="52"/>
      <c r="G55" s="52"/>
      <c r="H55" s="53" t="str">
        <f t="array" ref="H55">sum(1/countif(H55,H55))</f>
        <v>#REF!</v>
      </c>
      <c r="I55" s="53">
        <f t="array" ref="I55">sum(1/countif(I54,I54))</f>
        <v>1</v>
      </c>
      <c r="J55" s="53"/>
    </row>
    <row r="56" ht="26.25" customHeight="1">
      <c r="A56" s="51" t="s">
        <v>223</v>
      </c>
      <c r="C56" s="52"/>
      <c r="E56" s="53">
        <f t="array" ref="E56">sum(1/countif(E5:E55,E5:E55))</f>
        <v>48</v>
      </c>
      <c r="F56" s="52"/>
      <c r="G56" s="52"/>
      <c r="H56" s="53">
        <f t="array" ref="H56">sum(1/countif(H5:H55,H5:H55))</f>
        <v>51</v>
      </c>
      <c r="I56" s="53">
        <f t="array" ref="I56">sum(1/countif(I5:I54,I5:I54))</f>
        <v>8</v>
      </c>
      <c r="J56" s="53"/>
    </row>
  </sheetData>
  <mergeCells count="6">
    <mergeCell ref="A1:J1"/>
    <mergeCell ref="A2:J2"/>
    <mergeCell ref="A3:J3"/>
    <mergeCell ref="A55:B55"/>
    <mergeCell ref="A56:B56"/>
    <mergeCell ref="C56:D5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21</v>
      </c>
      <c r="D5" s="35">
        <v>1530.0</v>
      </c>
      <c r="E5" s="37" t="s">
        <v>6944</v>
      </c>
      <c r="F5" s="40" t="s">
        <v>6945</v>
      </c>
      <c r="G5" s="39" t="s">
        <v>6946</v>
      </c>
      <c r="H5" s="39" t="s">
        <v>6947</v>
      </c>
      <c r="I5" s="39" t="s">
        <v>6948</v>
      </c>
      <c r="J5" s="39" t="s">
        <v>6949</v>
      </c>
    </row>
    <row r="6" ht="26.25" customHeight="1">
      <c r="A6" s="12" t="s">
        <v>80</v>
      </c>
      <c r="B6" s="17">
        <v>2022.0</v>
      </c>
      <c r="C6" s="40" t="s">
        <v>13</v>
      </c>
      <c r="D6" s="40">
        <v>4792.0</v>
      </c>
      <c r="E6" s="39" t="s">
        <v>6950</v>
      </c>
      <c r="F6" s="40" t="s">
        <v>6951</v>
      </c>
      <c r="G6" s="39" t="s">
        <v>6952</v>
      </c>
      <c r="H6" s="39" t="s">
        <v>6953</v>
      </c>
      <c r="I6" s="39" t="s">
        <v>6954</v>
      </c>
      <c r="J6" s="39" t="s">
        <v>6955</v>
      </c>
    </row>
    <row r="7" ht="26.25" customHeight="1">
      <c r="A7" s="12" t="s">
        <v>87</v>
      </c>
      <c r="B7" s="17">
        <v>2024.0</v>
      </c>
      <c r="C7" s="42" t="s">
        <v>19</v>
      </c>
      <c r="D7" s="15">
        <v>13131.0</v>
      </c>
      <c r="E7" s="49" t="s">
        <v>6956</v>
      </c>
      <c r="F7" s="50" t="s">
        <v>6957</v>
      </c>
      <c r="G7" s="39" t="s">
        <v>6958</v>
      </c>
      <c r="H7" s="49" t="s">
        <v>6959</v>
      </c>
      <c r="I7" s="49" t="s">
        <v>6960</v>
      </c>
      <c r="J7" s="39" t="s">
        <v>6961</v>
      </c>
    </row>
    <row r="8" ht="26.25" customHeight="1">
      <c r="A8" s="51" t="s">
        <v>222</v>
      </c>
      <c r="C8" s="52"/>
      <c r="D8" s="52"/>
      <c r="E8" s="53" t="str">
        <f t="array" ref="E8">sum(1/countif(E8,E8))</f>
        <v>#REF!</v>
      </c>
      <c r="F8" s="52"/>
      <c r="G8" s="52"/>
      <c r="H8" s="53" t="str">
        <f t="array" ref="H8">sum(1/countif(H8,H8))</f>
        <v>#REF!</v>
      </c>
      <c r="I8" s="53">
        <v>0.0</v>
      </c>
      <c r="J8" s="53"/>
    </row>
    <row r="9" ht="26.25" customHeight="1">
      <c r="A9" s="51" t="s">
        <v>223</v>
      </c>
      <c r="C9" s="52"/>
      <c r="E9" s="53">
        <f t="array" ref="E9">sum(1/countif(E5:E8,E5:E8))</f>
        <v>4</v>
      </c>
      <c r="F9" s="52"/>
      <c r="G9" s="52"/>
      <c r="H9" s="53">
        <f t="array" ref="H9">sum(1/countif(H5:H8,H5:H8))</f>
        <v>4</v>
      </c>
      <c r="I9" s="53">
        <f t="array" ref="I9">sum(1/countif(I5:I7,I5:I7))</f>
        <v>3</v>
      </c>
      <c r="J9" s="53"/>
    </row>
  </sheetData>
  <mergeCells count="6">
    <mergeCell ref="A1:J1"/>
    <mergeCell ref="A2:J2"/>
    <mergeCell ref="A3:J3"/>
    <mergeCell ref="A8:B8"/>
    <mergeCell ref="A9:B9"/>
    <mergeCell ref="C9:D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2021.0</v>
      </c>
      <c r="C5" s="35" t="s">
        <v>15</v>
      </c>
      <c r="D5" s="35">
        <v>543.0</v>
      </c>
      <c r="E5" s="36" t="s">
        <v>6962</v>
      </c>
      <c r="F5" s="35" t="s">
        <v>6963</v>
      </c>
      <c r="G5" s="37" t="s">
        <v>6964</v>
      </c>
      <c r="H5" s="37" t="s">
        <v>6965</v>
      </c>
      <c r="I5" s="39" t="s">
        <v>6966</v>
      </c>
      <c r="J5" s="39" t="s">
        <v>6967</v>
      </c>
    </row>
    <row r="6" ht="26.25" customHeight="1">
      <c r="A6" s="12" t="s">
        <v>80</v>
      </c>
      <c r="B6" s="17">
        <v>2021.0</v>
      </c>
      <c r="C6" s="35" t="s">
        <v>15</v>
      </c>
      <c r="D6" s="35">
        <v>570.0</v>
      </c>
      <c r="E6" s="36" t="s">
        <v>6968</v>
      </c>
      <c r="F6" s="35" t="s">
        <v>6969</v>
      </c>
      <c r="G6" s="37" t="s">
        <v>6970</v>
      </c>
      <c r="H6" s="159" t="s">
        <v>6971</v>
      </c>
      <c r="I6" s="39" t="s">
        <v>6966</v>
      </c>
      <c r="J6" s="39" t="s">
        <v>6972</v>
      </c>
    </row>
    <row r="7" ht="26.25" customHeight="1">
      <c r="A7" s="12" t="s">
        <v>87</v>
      </c>
      <c r="B7" s="17">
        <v>2021.0</v>
      </c>
      <c r="C7" s="35" t="s">
        <v>16</v>
      </c>
      <c r="D7" s="35">
        <v>1355.0</v>
      </c>
      <c r="E7" s="36" t="s">
        <v>6973</v>
      </c>
      <c r="F7" s="35" t="s">
        <v>6974</v>
      </c>
      <c r="G7" s="37" t="s">
        <v>6975</v>
      </c>
      <c r="H7" s="159" t="s">
        <v>6976</v>
      </c>
      <c r="I7" s="39" t="s">
        <v>6966</v>
      </c>
      <c r="J7" s="39" t="s">
        <v>6977</v>
      </c>
    </row>
    <row r="8" ht="26.25" customHeight="1">
      <c r="A8" s="12" t="s">
        <v>94</v>
      </c>
      <c r="B8" s="17">
        <v>2021.0</v>
      </c>
      <c r="C8" s="40" t="s">
        <v>16</v>
      </c>
      <c r="D8" s="40">
        <v>925.0</v>
      </c>
      <c r="E8" s="38" t="s">
        <v>6978</v>
      </c>
      <c r="F8" s="41" t="s">
        <v>6979</v>
      </c>
      <c r="G8" s="37" t="s">
        <v>6980</v>
      </c>
      <c r="H8" s="145" t="s">
        <v>6981</v>
      </c>
      <c r="I8" s="39" t="s">
        <v>6966</v>
      </c>
      <c r="J8" s="39" t="s">
        <v>6982</v>
      </c>
    </row>
    <row r="9" ht="26.25" customHeight="1">
      <c r="A9" s="12" t="s">
        <v>101</v>
      </c>
      <c r="B9" s="17">
        <v>2021.0</v>
      </c>
      <c r="C9" s="35" t="s">
        <v>16</v>
      </c>
      <c r="D9" s="35">
        <v>1299.0</v>
      </c>
      <c r="E9" s="36" t="s">
        <v>6983</v>
      </c>
      <c r="F9" s="35" t="s">
        <v>6984</v>
      </c>
      <c r="G9" s="37" t="s">
        <v>6985</v>
      </c>
      <c r="H9" s="145" t="s">
        <v>6986</v>
      </c>
      <c r="I9" s="39" t="s">
        <v>6966</v>
      </c>
      <c r="J9" s="39" t="s">
        <v>6987</v>
      </c>
    </row>
    <row r="10" ht="26.25" customHeight="1">
      <c r="A10" s="12" t="s">
        <v>108</v>
      </c>
      <c r="B10" s="17">
        <v>2021.0</v>
      </c>
      <c r="C10" s="35" t="s">
        <v>1766</v>
      </c>
      <c r="D10" s="35">
        <v>1437.0</v>
      </c>
      <c r="E10" s="36" t="s">
        <v>6988</v>
      </c>
      <c r="F10" s="72" t="s">
        <v>6989</v>
      </c>
      <c r="G10" s="37" t="s">
        <v>6990</v>
      </c>
      <c r="H10" s="159" t="s">
        <v>6991</v>
      </c>
      <c r="I10" s="39" t="s">
        <v>6966</v>
      </c>
      <c r="J10" s="39" t="s">
        <v>6992</v>
      </c>
    </row>
    <row r="11" ht="26.25" customHeight="1">
      <c r="A11" s="12" t="s">
        <v>113</v>
      </c>
      <c r="B11" s="17">
        <v>2021.0</v>
      </c>
      <c r="C11" s="35" t="s">
        <v>17</v>
      </c>
      <c r="D11" s="35">
        <v>384.0</v>
      </c>
      <c r="E11" s="36" t="s">
        <v>6993</v>
      </c>
      <c r="F11" s="35" t="s">
        <v>6994</v>
      </c>
      <c r="G11" s="37" t="s">
        <v>6995</v>
      </c>
      <c r="H11" s="145" t="s">
        <v>6996</v>
      </c>
      <c r="I11" s="39" t="s">
        <v>6997</v>
      </c>
      <c r="J11" s="39" t="s">
        <v>6998</v>
      </c>
    </row>
    <row r="12" ht="26.25" customHeight="1">
      <c r="A12" s="12" t="s">
        <v>120</v>
      </c>
      <c r="B12" s="17">
        <v>2021.0</v>
      </c>
      <c r="C12" s="40" t="s">
        <v>18</v>
      </c>
      <c r="D12" s="40">
        <v>2041.0</v>
      </c>
      <c r="E12" s="38" t="s">
        <v>6999</v>
      </c>
      <c r="F12" s="40" t="s">
        <v>7000</v>
      </c>
      <c r="G12" s="39" t="s">
        <v>7001</v>
      </c>
      <c r="H12" s="39" t="s">
        <v>7002</v>
      </c>
      <c r="I12" s="39" t="s">
        <v>6966</v>
      </c>
      <c r="J12" s="39" t="s">
        <v>7003</v>
      </c>
    </row>
    <row r="13" ht="26.25" customHeight="1">
      <c r="A13" s="12" t="s">
        <v>126</v>
      </c>
      <c r="B13" s="17">
        <v>2021.0</v>
      </c>
      <c r="C13" s="40" t="s">
        <v>18</v>
      </c>
      <c r="D13" s="40">
        <v>2223.0</v>
      </c>
      <c r="E13" s="38" t="s">
        <v>7004</v>
      </c>
      <c r="F13" s="40" t="s">
        <v>7005</v>
      </c>
      <c r="G13" s="39" t="s">
        <v>7006</v>
      </c>
      <c r="H13" s="39" t="s">
        <v>7007</v>
      </c>
      <c r="I13" s="39" t="s">
        <v>6966</v>
      </c>
      <c r="J13" s="39" t="s">
        <v>7008</v>
      </c>
    </row>
    <row r="14" ht="26.25" customHeight="1">
      <c r="A14" s="12" t="s">
        <v>132</v>
      </c>
      <c r="B14" s="17">
        <v>2021.0</v>
      </c>
      <c r="C14" s="40" t="s">
        <v>19</v>
      </c>
      <c r="D14" s="40">
        <v>1828.0</v>
      </c>
      <c r="E14" s="38" t="s">
        <v>7009</v>
      </c>
      <c r="F14" s="40" t="s">
        <v>7010</v>
      </c>
      <c r="G14" s="39" t="s">
        <v>7011</v>
      </c>
      <c r="H14" s="39" t="s">
        <v>7012</v>
      </c>
      <c r="I14" s="39" t="s">
        <v>6966</v>
      </c>
      <c r="J14" s="39" t="s">
        <v>7013</v>
      </c>
    </row>
    <row r="15" ht="26.25" customHeight="1">
      <c r="A15" s="12" t="s">
        <v>138</v>
      </c>
      <c r="B15" s="17">
        <v>2021.0</v>
      </c>
      <c r="C15" s="40" t="s">
        <v>19</v>
      </c>
      <c r="D15" s="40">
        <v>1694.0</v>
      </c>
      <c r="E15" s="38" t="s">
        <v>7014</v>
      </c>
      <c r="F15" s="40" t="s">
        <v>7015</v>
      </c>
      <c r="G15" s="39" t="s">
        <v>7016</v>
      </c>
      <c r="H15" s="145" t="s">
        <v>7017</v>
      </c>
      <c r="I15" s="39" t="s">
        <v>7018</v>
      </c>
      <c r="J15" s="39" t="s">
        <v>7019</v>
      </c>
    </row>
    <row r="16" ht="26.25" customHeight="1">
      <c r="A16" s="12" t="s">
        <v>144</v>
      </c>
      <c r="B16" s="17">
        <v>2021.0</v>
      </c>
      <c r="C16" s="40" t="s">
        <v>19</v>
      </c>
      <c r="D16" s="40">
        <v>1828.0</v>
      </c>
      <c r="E16" s="38" t="s">
        <v>7009</v>
      </c>
      <c r="F16" s="40" t="s">
        <v>7010</v>
      </c>
      <c r="G16" s="39" t="s">
        <v>7011</v>
      </c>
      <c r="H16" s="145" t="s">
        <v>7020</v>
      </c>
      <c r="I16" s="39" t="s">
        <v>6966</v>
      </c>
      <c r="J16" s="39" t="s">
        <v>7021</v>
      </c>
    </row>
    <row r="17" ht="26.25" customHeight="1">
      <c r="A17" s="12" t="s">
        <v>146</v>
      </c>
      <c r="B17" s="17">
        <v>2021.0</v>
      </c>
      <c r="C17" s="40" t="s">
        <v>20</v>
      </c>
      <c r="D17" s="40">
        <v>2824.0</v>
      </c>
      <c r="E17" s="38" t="s">
        <v>7022</v>
      </c>
      <c r="F17" s="40" t="s">
        <v>7023</v>
      </c>
      <c r="G17" s="39" t="s">
        <v>7024</v>
      </c>
      <c r="H17" s="39" t="s">
        <v>7025</v>
      </c>
      <c r="I17" s="39" t="s">
        <v>6966</v>
      </c>
      <c r="J17" s="39" t="s">
        <v>7026</v>
      </c>
    </row>
    <row r="18" ht="26.25" customHeight="1">
      <c r="A18" s="12" t="s">
        <v>151</v>
      </c>
      <c r="B18" s="17">
        <v>2021.0</v>
      </c>
      <c r="C18" s="35" t="s">
        <v>22</v>
      </c>
      <c r="D18" s="35">
        <v>3806.0</v>
      </c>
      <c r="E18" s="36" t="s">
        <v>7027</v>
      </c>
      <c r="F18" s="41" t="s">
        <v>7028</v>
      </c>
      <c r="G18" s="39" t="s">
        <v>7029</v>
      </c>
      <c r="H18" s="39" t="s">
        <v>7030</v>
      </c>
      <c r="I18" s="39" t="s">
        <v>6966</v>
      </c>
      <c r="J18" s="39" t="s">
        <v>7031</v>
      </c>
    </row>
    <row r="19" ht="26.25" customHeight="1">
      <c r="A19" s="12" t="s">
        <v>153</v>
      </c>
      <c r="B19" s="17">
        <v>2021.0</v>
      </c>
      <c r="C19" s="35" t="s">
        <v>22</v>
      </c>
      <c r="D19" s="35">
        <v>3791.0</v>
      </c>
      <c r="E19" s="36" t="s">
        <v>7032</v>
      </c>
      <c r="F19" s="40" t="s">
        <v>7033</v>
      </c>
      <c r="G19" s="39" t="s">
        <v>7034</v>
      </c>
      <c r="H19" s="39" t="s">
        <v>7035</v>
      </c>
      <c r="I19" s="39" t="s">
        <v>6966</v>
      </c>
      <c r="J19" s="39" t="s">
        <v>7036</v>
      </c>
    </row>
    <row r="20" ht="26.25" customHeight="1">
      <c r="A20" s="12" t="s">
        <v>159</v>
      </c>
      <c r="B20" s="17">
        <v>2021.0</v>
      </c>
      <c r="C20" s="35" t="s">
        <v>22</v>
      </c>
      <c r="D20" s="35">
        <v>3588.0</v>
      </c>
      <c r="E20" s="36" t="s">
        <v>7037</v>
      </c>
      <c r="F20" s="40" t="s">
        <v>7038</v>
      </c>
      <c r="G20" s="37" t="s">
        <v>7039</v>
      </c>
      <c r="H20" s="145" t="s">
        <v>7040</v>
      </c>
      <c r="I20" s="39" t="s">
        <v>6966</v>
      </c>
      <c r="J20" s="39" t="s">
        <v>7041</v>
      </c>
    </row>
    <row r="21" ht="26.25" customHeight="1">
      <c r="A21" s="12" t="s">
        <v>165</v>
      </c>
      <c r="B21" s="17">
        <v>2022.0</v>
      </c>
      <c r="C21" s="35" t="s">
        <v>15</v>
      </c>
      <c r="D21" s="35">
        <v>5501.0</v>
      </c>
      <c r="E21" s="36" t="s">
        <v>7042</v>
      </c>
      <c r="F21" s="35" t="s">
        <v>7043</v>
      </c>
      <c r="G21" s="37"/>
      <c r="H21" s="37" t="s">
        <v>7044</v>
      </c>
      <c r="I21" s="39" t="s">
        <v>7045</v>
      </c>
      <c r="J21" s="39" t="s">
        <v>7046</v>
      </c>
    </row>
    <row r="22" ht="26.25" customHeight="1">
      <c r="A22" s="12" t="s">
        <v>171</v>
      </c>
      <c r="B22" s="17">
        <v>2022.0</v>
      </c>
      <c r="C22" s="35" t="s">
        <v>16</v>
      </c>
      <c r="D22" s="35">
        <v>5847.0</v>
      </c>
      <c r="E22" s="36" t="s">
        <v>7047</v>
      </c>
      <c r="F22" s="35" t="s">
        <v>7048</v>
      </c>
      <c r="G22" s="37" t="s">
        <v>7049</v>
      </c>
      <c r="H22" s="159" t="s">
        <v>7050</v>
      </c>
      <c r="I22" s="39" t="s">
        <v>6966</v>
      </c>
      <c r="J22" s="39" t="s">
        <v>7051</v>
      </c>
    </row>
    <row r="23" ht="26.25" customHeight="1">
      <c r="A23" s="12" t="s">
        <v>173</v>
      </c>
      <c r="B23" s="17">
        <v>2022.0</v>
      </c>
      <c r="C23" s="35" t="s">
        <v>17</v>
      </c>
      <c r="D23" s="17">
        <v>6293.0</v>
      </c>
      <c r="E23" s="38" t="s">
        <v>7052</v>
      </c>
      <c r="F23" s="43" t="s">
        <v>7053</v>
      </c>
      <c r="G23" s="37"/>
      <c r="H23" s="159" t="s">
        <v>7054</v>
      </c>
      <c r="I23" s="39" t="s">
        <v>6966</v>
      </c>
      <c r="J23" s="39" t="s">
        <v>7055</v>
      </c>
    </row>
    <row r="24" ht="26.25" customHeight="1">
      <c r="A24" s="12" t="s">
        <v>178</v>
      </c>
      <c r="B24" s="17">
        <v>2022.0</v>
      </c>
      <c r="C24" s="40" t="s">
        <v>21</v>
      </c>
      <c r="D24" s="40">
        <v>7517.0</v>
      </c>
      <c r="E24" s="38" t="s">
        <v>7056</v>
      </c>
      <c r="F24" s="41" t="s">
        <v>7057</v>
      </c>
      <c r="G24" s="37" t="s">
        <v>7058</v>
      </c>
      <c r="H24" s="39" t="s">
        <v>7059</v>
      </c>
      <c r="I24" s="39" t="s">
        <v>6966</v>
      </c>
      <c r="J24" s="39" t="s">
        <v>7060</v>
      </c>
    </row>
    <row r="25" ht="26.25" customHeight="1">
      <c r="A25" s="12" t="s">
        <v>184</v>
      </c>
      <c r="B25" s="17">
        <v>2022.0</v>
      </c>
      <c r="C25" s="40" t="s">
        <v>22</v>
      </c>
      <c r="D25" s="40">
        <v>7517.0</v>
      </c>
      <c r="E25" s="38" t="s">
        <v>7056</v>
      </c>
      <c r="F25" s="41" t="s">
        <v>7057</v>
      </c>
      <c r="G25" s="37" t="s">
        <v>7058</v>
      </c>
      <c r="H25" s="38" t="s">
        <v>7061</v>
      </c>
      <c r="I25" s="39" t="s">
        <v>6966</v>
      </c>
      <c r="J25" s="39" t="s">
        <v>7060</v>
      </c>
    </row>
    <row r="26" ht="26.25" customHeight="1">
      <c r="A26" s="12" t="s">
        <v>190</v>
      </c>
      <c r="B26" s="17">
        <v>2023.0</v>
      </c>
      <c r="C26" s="40" t="s">
        <v>11</v>
      </c>
      <c r="D26" s="40">
        <v>6598.0</v>
      </c>
      <c r="E26" s="38" t="s">
        <v>7062</v>
      </c>
      <c r="F26" s="41" t="s">
        <v>7063</v>
      </c>
      <c r="G26" s="37"/>
      <c r="H26" s="145" t="s">
        <v>7064</v>
      </c>
      <c r="I26" s="39" t="s">
        <v>6966</v>
      </c>
      <c r="J26" s="39" t="s">
        <v>7065</v>
      </c>
    </row>
    <row r="27" ht="26.25" customHeight="1">
      <c r="A27" s="12" t="s">
        <v>196</v>
      </c>
      <c r="B27" s="17">
        <v>2023.0</v>
      </c>
      <c r="C27" s="40" t="s">
        <v>14</v>
      </c>
      <c r="D27" s="17">
        <v>8771.0</v>
      </c>
      <c r="E27" s="36" t="s">
        <v>7066</v>
      </c>
      <c r="F27" s="42" t="s">
        <v>7067</v>
      </c>
      <c r="G27" s="37"/>
      <c r="H27" s="157" t="s">
        <v>7068</v>
      </c>
      <c r="I27" s="39" t="s">
        <v>6966</v>
      </c>
      <c r="J27" s="39" t="s">
        <v>7060</v>
      </c>
    </row>
    <row r="28" ht="26.25" customHeight="1">
      <c r="A28" s="12" t="s">
        <v>202</v>
      </c>
      <c r="B28" s="17">
        <v>2023.0</v>
      </c>
      <c r="C28" s="17" t="s">
        <v>21</v>
      </c>
      <c r="D28" s="17">
        <v>10444.0</v>
      </c>
      <c r="E28" s="36" t="s">
        <v>7069</v>
      </c>
      <c r="F28" s="43" t="s">
        <v>7070</v>
      </c>
      <c r="G28" s="37"/>
      <c r="H28" s="36" t="s">
        <v>7071</v>
      </c>
      <c r="I28" s="39" t="s">
        <v>6966</v>
      </c>
      <c r="J28" s="39" t="s">
        <v>7072</v>
      </c>
    </row>
    <row r="29" ht="26.25" customHeight="1">
      <c r="A29" s="12" t="s">
        <v>208</v>
      </c>
      <c r="B29" s="17">
        <v>2024.0</v>
      </c>
      <c r="C29" s="35" t="s">
        <v>11</v>
      </c>
      <c r="D29" s="35">
        <v>9644.0</v>
      </c>
      <c r="E29" s="37" t="s">
        <v>7073</v>
      </c>
      <c r="F29" s="41" t="s">
        <v>7074</v>
      </c>
      <c r="G29" s="37" t="s">
        <v>7075</v>
      </c>
      <c r="H29" s="159" t="s">
        <v>7076</v>
      </c>
      <c r="I29" s="39" t="s">
        <v>6966</v>
      </c>
      <c r="J29" s="39" t="s">
        <v>7077</v>
      </c>
    </row>
    <row r="30" ht="26.25" customHeight="1">
      <c r="A30" s="12" t="s">
        <v>213</v>
      </c>
      <c r="B30" s="17">
        <v>2024.0</v>
      </c>
      <c r="C30" s="35" t="s">
        <v>11</v>
      </c>
      <c r="D30" s="35">
        <v>11010.0</v>
      </c>
      <c r="E30" s="37" t="s">
        <v>7078</v>
      </c>
      <c r="F30" s="41" t="s">
        <v>7079</v>
      </c>
      <c r="G30" s="37"/>
      <c r="H30" s="159" t="s">
        <v>7080</v>
      </c>
      <c r="I30" s="39" t="s">
        <v>6966</v>
      </c>
      <c r="J30" s="39" t="s">
        <v>7081</v>
      </c>
    </row>
    <row r="31" ht="26.25" customHeight="1">
      <c r="A31" s="12" t="s">
        <v>215</v>
      </c>
      <c r="B31" s="17">
        <v>2024.0</v>
      </c>
      <c r="C31" s="35" t="s">
        <v>12</v>
      </c>
      <c r="D31" s="35">
        <v>8225.0</v>
      </c>
      <c r="E31" s="37" t="s">
        <v>7082</v>
      </c>
      <c r="F31" s="41" t="s">
        <v>7083</v>
      </c>
      <c r="G31" s="37"/>
      <c r="H31" s="37" t="s">
        <v>7084</v>
      </c>
      <c r="I31" s="39" t="s">
        <v>6966</v>
      </c>
      <c r="J31" s="39" t="s">
        <v>7085</v>
      </c>
    </row>
    <row r="32" ht="26.25" customHeight="1">
      <c r="A32" s="12" t="s">
        <v>354</v>
      </c>
      <c r="B32" s="17">
        <v>2024.0</v>
      </c>
      <c r="C32" s="35" t="s">
        <v>13</v>
      </c>
      <c r="D32" s="35">
        <v>11488.0</v>
      </c>
      <c r="E32" s="37" t="s">
        <v>7086</v>
      </c>
      <c r="F32" s="41" t="s">
        <v>7087</v>
      </c>
      <c r="G32" s="37" t="s">
        <v>7088</v>
      </c>
      <c r="H32" s="159" t="s">
        <v>7089</v>
      </c>
      <c r="I32" s="39" t="s">
        <v>6966</v>
      </c>
      <c r="J32" s="39" t="s">
        <v>7090</v>
      </c>
    </row>
    <row r="33" ht="26.25" customHeight="1">
      <c r="A33" s="12" t="s">
        <v>358</v>
      </c>
      <c r="B33" s="17">
        <v>2024.0</v>
      </c>
      <c r="C33" s="35" t="s">
        <v>15</v>
      </c>
      <c r="D33" s="35">
        <v>12027.0</v>
      </c>
      <c r="E33" s="37" t="s">
        <v>7091</v>
      </c>
      <c r="F33" s="72" t="s">
        <v>7092</v>
      </c>
      <c r="G33" s="37" t="s">
        <v>7093</v>
      </c>
      <c r="H33" s="159" t="s">
        <v>7094</v>
      </c>
      <c r="I33" s="39" t="s">
        <v>6966</v>
      </c>
      <c r="J33" s="39" t="s">
        <v>7095</v>
      </c>
    </row>
    <row r="34" ht="26.25" customHeight="1">
      <c r="A34" s="12" t="s">
        <v>360</v>
      </c>
      <c r="B34" s="17">
        <v>2024.0</v>
      </c>
      <c r="C34" s="35" t="s">
        <v>16</v>
      </c>
      <c r="D34" s="35">
        <v>12507.0</v>
      </c>
      <c r="E34" s="37" t="s">
        <v>7096</v>
      </c>
      <c r="F34" s="72" t="s">
        <v>7097</v>
      </c>
      <c r="G34" s="37" t="s">
        <v>7098</v>
      </c>
      <c r="H34" s="159" t="s">
        <v>7099</v>
      </c>
      <c r="I34" s="37" t="s">
        <v>6966</v>
      </c>
      <c r="J34" s="39" t="s">
        <v>7100</v>
      </c>
    </row>
    <row r="35" ht="26.25" customHeight="1">
      <c r="A35" s="12" t="s">
        <v>366</v>
      </c>
      <c r="B35" s="17">
        <v>2024.0</v>
      </c>
      <c r="C35" s="17" t="s">
        <v>17</v>
      </c>
      <c r="D35" s="35">
        <v>12579.0</v>
      </c>
      <c r="E35" s="37" t="s">
        <v>7101</v>
      </c>
      <c r="F35" s="72" t="s">
        <v>7102</v>
      </c>
      <c r="G35" s="37"/>
      <c r="H35" s="49" t="s">
        <v>7103</v>
      </c>
      <c r="I35" s="37" t="s">
        <v>6966</v>
      </c>
      <c r="J35" s="39" t="s">
        <v>7104</v>
      </c>
    </row>
    <row r="36" ht="26.25" customHeight="1">
      <c r="A36" s="12" t="s">
        <v>372</v>
      </c>
      <c r="B36" s="17">
        <v>2024.0</v>
      </c>
      <c r="C36" s="17" t="s">
        <v>17</v>
      </c>
      <c r="D36" s="35">
        <v>12579.0</v>
      </c>
      <c r="E36" s="37" t="s">
        <v>7101</v>
      </c>
      <c r="F36" s="72" t="s">
        <v>7102</v>
      </c>
      <c r="G36" s="37"/>
      <c r="H36" s="49" t="s">
        <v>7105</v>
      </c>
      <c r="I36" s="37" t="s">
        <v>6966</v>
      </c>
      <c r="J36" s="39" t="s">
        <v>7106</v>
      </c>
    </row>
    <row r="37" ht="26.25" customHeight="1">
      <c r="A37" s="12" t="s">
        <v>377</v>
      </c>
      <c r="B37" s="17">
        <v>2024.0</v>
      </c>
      <c r="C37" s="17" t="s">
        <v>17</v>
      </c>
      <c r="D37" s="35">
        <v>12579.0</v>
      </c>
      <c r="E37" s="37" t="s">
        <v>7101</v>
      </c>
      <c r="F37" s="72" t="s">
        <v>7102</v>
      </c>
      <c r="G37" s="37"/>
      <c r="H37" s="49" t="s">
        <v>7107</v>
      </c>
      <c r="I37" s="37" t="s">
        <v>6966</v>
      </c>
      <c r="J37" s="39" t="s">
        <v>7108</v>
      </c>
    </row>
    <row r="38" ht="26.25" customHeight="1">
      <c r="A38" s="12" t="s">
        <v>383</v>
      </c>
      <c r="B38" s="17">
        <v>2024.0</v>
      </c>
      <c r="C38" s="17" t="s">
        <v>19</v>
      </c>
      <c r="D38" s="15">
        <v>12579.0</v>
      </c>
      <c r="E38" s="49" t="s">
        <v>7109</v>
      </c>
      <c r="F38" s="50" t="s">
        <v>7102</v>
      </c>
      <c r="G38" s="37"/>
      <c r="H38" s="49" t="s">
        <v>7110</v>
      </c>
      <c r="I38" s="37" t="s">
        <v>6966</v>
      </c>
      <c r="J38" s="39" t="s">
        <v>7104</v>
      </c>
    </row>
    <row r="39" ht="26.25" customHeight="1">
      <c r="A39" s="12" t="s">
        <v>390</v>
      </c>
      <c r="B39" s="17">
        <v>2024.0</v>
      </c>
      <c r="C39" s="17" t="s">
        <v>20</v>
      </c>
      <c r="D39" s="15">
        <v>13348.0</v>
      </c>
      <c r="E39" s="49" t="s">
        <v>7111</v>
      </c>
      <c r="F39" s="50" t="s">
        <v>7112</v>
      </c>
      <c r="G39" s="37"/>
      <c r="H39" s="49" t="s">
        <v>7113</v>
      </c>
      <c r="I39" s="37" t="s">
        <v>6966</v>
      </c>
      <c r="J39" s="39" t="s">
        <v>7114</v>
      </c>
    </row>
    <row r="40" ht="26.25" customHeight="1">
      <c r="A40" s="12" t="s">
        <v>393</v>
      </c>
      <c r="B40" s="17">
        <v>2025.0</v>
      </c>
      <c r="C40" s="17" t="s">
        <v>11</v>
      </c>
      <c r="D40" s="15">
        <v>14344.0</v>
      </c>
      <c r="E40" s="49" t="s">
        <v>7115</v>
      </c>
      <c r="F40" s="50" t="s">
        <v>7116</v>
      </c>
      <c r="G40" s="37" t="s">
        <v>7117</v>
      </c>
      <c r="H40" s="49" t="s">
        <v>7118</v>
      </c>
      <c r="I40" s="37" t="s">
        <v>6966</v>
      </c>
      <c r="J40" s="39" t="s">
        <v>7119</v>
      </c>
    </row>
    <row r="41" ht="26.25" customHeight="1">
      <c r="A41" s="12" t="s">
        <v>399</v>
      </c>
      <c r="B41" s="17">
        <v>2025.0</v>
      </c>
      <c r="C41" s="17" t="s">
        <v>12</v>
      </c>
      <c r="D41" s="15">
        <v>14827.0</v>
      </c>
      <c r="E41" s="49" t="s">
        <v>7120</v>
      </c>
      <c r="F41" s="50" t="s">
        <v>7121</v>
      </c>
      <c r="G41" s="37"/>
      <c r="H41" s="49" t="s">
        <v>7122</v>
      </c>
      <c r="I41" s="37" t="s">
        <v>6966</v>
      </c>
      <c r="J41" s="39" t="s">
        <v>7123</v>
      </c>
    </row>
    <row r="42" ht="26.25" customHeight="1">
      <c r="A42" s="12" t="s">
        <v>404</v>
      </c>
      <c r="B42" s="17">
        <v>2025.0</v>
      </c>
      <c r="C42" s="17" t="s">
        <v>13</v>
      </c>
      <c r="D42" s="15">
        <v>14719.0</v>
      </c>
      <c r="E42" s="49" t="s">
        <v>7124</v>
      </c>
      <c r="F42" s="50" t="s">
        <v>7125</v>
      </c>
      <c r="G42" s="37"/>
      <c r="H42" s="49" t="s">
        <v>7126</v>
      </c>
      <c r="I42" s="37" t="s">
        <v>6966</v>
      </c>
      <c r="J42" s="39" t="s">
        <v>7127</v>
      </c>
    </row>
    <row r="43" ht="26.25" customHeight="1">
      <c r="A43" s="12" t="s">
        <v>409</v>
      </c>
      <c r="B43" s="17">
        <v>2025.0</v>
      </c>
      <c r="C43" s="17" t="s">
        <v>14</v>
      </c>
      <c r="D43" s="15">
        <v>15129.0</v>
      </c>
      <c r="E43" s="49" t="s">
        <v>7128</v>
      </c>
      <c r="F43" s="54" t="s">
        <v>7129</v>
      </c>
      <c r="G43" s="49" t="s">
        <v>7130</v>
      </c>
      <c r="H43" s="49" t="s">
        <v>7131</v>
      </c>
      <c r="I43" s="37" t="s">
        <v>6966</v>
      </c>
      <c r="J43" s="39" t="s">
        <v>7132</v>
      </c>
    </row>
    <row r="44" ht="26.25" customHeight="1">
      <c r="A44" s="12" t="s">
        <v>415</v>
      </c>
      <c r="B44" s="17">
        <v>2025.0</v>
      </c>
      <c r="C44" s="17" t="s">
        <v>15</v>
      </c>
      <c r="D44" s="15">
        <v>15401.0</v>
      </c>
      <c r="E44" s="49" t="s">
        <v>7133</v>
      </c>
      <c r="F44" s="54" t="s">
        <v>7134</v>
      </c>
      <c r="G44" s="49" t="s">
        <v>7135</v>
      </c>
      <c r="H44" s="49" t="s">
        <v>7136</v>
      </c>
      <c r="I44" s="37" t="s">
        <v>6966</v>
      </c>
      <c r="J44" s="39" t="s">
        <v>7137</v>
      </c>
    </row>
    <row r="45" ht="26.25" customHeight="1">
      <c r="A45" s="12" t="s">
        <v>421</v>
      </c>
      <c r="B45" s="17">
        <v>2025.0</v>
      </c>
      <c r="C45" s="17" t="s">
        <v>16</v>
      </c>
      <c r="D45" s="15">
        <v>15573.0</v>
      </c>
      <c r="E45" s="49" t="s">
        <v>7138</v>
      </c>
      <c r="F45" s="54" t="s">
        <v>7139</v>
      </c>
      <c r="G45" s="49" t="s">
        <v>7140</v>
      </c>
      <c r="H45" s="49" t="s">
        <v>7141</v>
      </c>
      <c r="I45" s="37" t="s">
        <v>6966</v>
      </c>
      <c r="J45" s="39" t="s">
        <v>7142</v>
      </c>
    </row>
    <row r="46" ht="26.25" customHeight="1">
      <c r="A46" s="12" t="s">
        <v>426</v>
      </c>
      <c r="B46" s="17">
        <v>2025.0</v>
      </c>
      <c r="C46" s="17" t="s">
        <v>17</v>
      </c>
      <c r="D46" s="15">
        <v>15915.0</v>
      </c>
      <c r="E46" s="77" t="s">
        <v>7143</v>
      </c>
      <c r="F46" s="54" t="s">
        <v>7144</v>
      </c>
      <c r="G46" s="49" t="s">
        <v>7145</v>
      </c>
      <c r="H46" s="49" t="s">
        <v>7146</v>
      </c>
      <c r="I46" s="37" t="s">
        <v>6966</v>
      </c>
      <c r="J46" s="39" t="s">
        <v>7147</v>
      </c>
    </row>
    <row r="47" ht="26.25" customHeight="1">
      <c r="A47" s="12" t="s">
        <v>432</v>
      </c>
      <c r="B47" s="17">
        <v>2025.0</v>
      </c>
      <c r="C47" s="17" t="s">
        <v>20</v>
      </c>
      <c r="D47" s="15">
        <v>16393.0</v>
      </c>
      <c r="E47" s="49" t="s">
        <v>7148</v>
      </c>
      <c r="F47" s="54" t="s">
        <v>7149</v>
      </c>
      <c r="G47" s="49"/>
      <c r="H47" s="49" t="s">
        <v>7150</v>
      </c>
      <c r="I47" s="37" t="s">
        <v>6966</v>
      </c>
      <c r="J47" s="38" t="s">
        <v>7151</v>
      </c>
    </row>
    <row r="48" ht="26.25" customHeight="1">
      <c r="A48" s="12" t="s">
        <v>437</v>
      </c>
      <c r="B48" s="17">
        <v>2025.0</v>
      </c>
      <c r="C48" s="17" t="s">
        <v>22</v>
      </c>
      <c r="D48" s="15">
        <v>16963.0</v>
      </c>
      <c r="E48" s="49" t="s">
        <v>7152</v>
      </c>
      <c r="F48" s="54" t="s">
        <v>7153</v>
      </c>
      <c r="G48" s="49" t="s">
        <v>7154</v>
      </c>
      <c r="H48" s="49" t="s">
        <v>7155</v>
      </c>
      <c r="I48" s="37" t="s">
        <v>6966</v>
      </c>
      <c r="J48" s="38" t="s">
        <v>7156</v>
      </c>
    </row>
    <row r="49" ht="26.25" customHeight="1">
      <c r="A49" s="12" t="s">
        <v>441</v>
      </c>
      <c r="B49" s="17">
        <v>2026.0</v>
      </c>
      <c r="C49" s="17" t="s">
        <v>11</v>
      </c>
      <c r="D49" s="57">
        <v>17470.0</v>
      </c>
      <c r="E49" s="58" t="s">
        <v>7157</v>
      </c>
      <c r="F49" s="59" t="s">
        <v>7158</v>
      </c>
      <c r="G49" s="49" t="s">
        <v>7159</v>
      </c>
      <c r="H49" s="58" t="s">
        <v>7160</v>
      </c>
      <c r="I49" s="37" t="s">
        <v>6966</v>
      </c>
      <c r="J49" s="38" t="s">
        <v>7161</v>
      </c>
    </row>
    <row r="50" ht="26.25" customHeight="1">
      <c r="A50" s="12" t="s">
        <v>445</v>
      </c>
      <c r="B50" s="17">
        <v>2026.0</v>
      </c>
      <c r="C50" s="17" t="s">
        <v>11</v>
      </c>
      <c r="D50" s="57">
        <v>17403.0</v>
      </c>
      <c r="E50" s="58" t="s">
        <v>7162</v>
      </c>
      <c r="F50" s="59" t="s">
        <v>7163</v>
      </c>
      <c r="G50" s="61" t="s">
        <v>7164</v>
      </c>
      <c r="H50" s="58" t="s">
        <v>7165</v>
      </c>
      <c r="I50" s="37" t="s">
        <v>6966</v>
      </c>
      <c r="J50" s="96" t="s">
        <v>7166</v>
      </c>
    </row>
    <row r="51" ht="26.25" customHeight="1">
      <c r="A51" s="12" t="s">
        <v>451</v>
      </c>
      <c r="B51" s="17">
        <v>2026.0</v>
      </c>
      <c r="C51" s="17" t="s">
        <v>11</v>
      </c>
      <c r="D51" s="57">
        <v>17409.0</v>
      </c>
      <c r="E51" s="58" t="s">
        <v>7167</v>
      </c>
      <c r="F51" s="59" t="s">
        <v>7168</v>
      </c>
      <c r="G51" s="61" t="s">
        <v>7169</v>
      </c>
      <c r="H51" s="49" t="s">
        <v>7170</v>
      </c>
      <c r="I51" s="37" t="s">
        <v>6966</v>
      </c>
      <c r="J51" s="96" t="s">
        <v>7171</v>
      </c>
    </row>
    <row r="52" ht="26.25" customHeight="1">
      <c r="A52" s="12" t="s">
        <v>457</v>
      </c>
      <c r="B52" s="17">
        <v>2026.0</v>
      </c>
      <c r="C52" s="20" t="s">
        <v>12</v>
      </c>
      <c r="D52" s="57">
        <v>17725.0</v>
      </c>
      <c r="E52" s="58" t="s">
        <v>7172</v>
      </c>
      <c r="F52" s="59" t="s">
        <v>7173</v>
      </c>
      <c r="G52" s="61" t="s">
        <v>7174</v>
      </c>
      <c r="H52" s="160" t="s">
        <v>7175</v>
      </c>
      <c r="I52" s="37" t="s">
        <v>6966</v>
      </c>
      <c r="J52" s="96" t="s">
        <v>7176</v>
      </c>
    </row>
    <row r="53" ht="26.25" customHeight="1">
      <c r="A53" s="12" t="s">
        <v>463</v>
      </c>
      <c r="B53" s="17">
        <v>2026.0</v>
      </c>
      <c r="C53" s="20" t="s">
        <v>12</v>
      </c>
      <c r="D53" s="15">
        <v>17512.0</v>
      </c>
      <c r="E53" s="49" t="s">
        <v>7177</v>
      </c>
      <c r="F53" s="54" t="s">
        <v>7178</v>
      </c>
      <c r="G53" s="61" t="s">
        <v>7179</v>
      </c>
      <c r="H53" s="161" t="s">
        <v>7180</v>
      </c>
      <c r="I53" s="37" t="s">
        <v>6966</v>
      </c>
      <c r="J53" s="96" t="s">
        <v>7181</v>
      </c>
    </row>
    <row r="54" ht="26.25" customHeight="1">
      <c r="A54" s="12" t="s">
        <v>468</v>
      </c>
      <c r="B54" s="17">
        <v>2026.0</v>
      </c>
      <c r="C54" s="20" t="s">
        <v>12</v>
      </c>
      <c r="D54" s="57">
        <v>17818.0</v>
      </c>
      <c r="E54" s="58" t="s">
        <v>7182</v>
      </c>
      <c r="F54" s="59" t="s">
        <v>7183</v>
      </c>
      <c r="G54" s="61"/>
      <c r="H54" s="81" t="s">
        <v>7184</v>
      </c>
      <c r="I54" s="37" t="s">
        <v>6966</v>
      </c>
      <c r="J54" s="96" t="s">
        <v>7185</v>
      </c>
    </row>
    <row r="55" ht="26.25" customHeight="1">
      <c r="A55" s="12" t="s">
        <v>473</v>
      </c>
      <c r="B55" s="17">
        <v>2026.0</v>
      </c>
      <c r="C55" s="20" t="s">
        <v>12</v>
      </c>
      <c r="D55" s="57">
        <v>17869.0</v>
      </c>
      <c r="E55" s="58" t="s">
        <v>7186</v>
      </c>
      <c r="F55" s="59" t="s">
        <v>7187</v>
      </c>
      <c r="G55" s="61"/>
      <c r="H55" s="81" t="s">
        <v>7188</v>
      </c>
      <c r="I55" s="37" t="s">
        <v>6966</v>
      </c>
      <c r="J55" s="96" t="s">
        <v>7189</v>
      </c>
    </row>
    <row r="56" ht="26.25" customHeight="1">
      <c r="A56" s="12" t="s">
        <v>479</v>
      </c>
      <c r="B56" s="17">
        <v>2026.0</v>
      </c>
      <c r="C56" s="20" t="s">
        <v>13</v>
      </c>
      <c r="D56" s="57">
        <v>17938.0</v>
      </c>
      <c r="E56" s="58" t="s">
        <v>7190</v>
      </c>
      <c r="F56" s="59" t="s">
        <v>7191</v>
      </c>
      <c r="G56" s="61" t="s">
        <v>7192</v>
      </c>
      <c r="H56" s="162" t="s">
        <v>7193</v>
      </c>
      <c r="I56" s="37" t="s">
        <v>6966</v>
      </c>
      <c r="J56" s="96" t="s">
        <v>7194</v>
      </c>
    </row>
    <row r="57" ht="26.25" customHeight="1">
      <c r="A57" s="12" t="s">
        <v>485</v>
      </c>
      <c r="B57" s="17">
        <v>2026.0</v>
      </c>
      <c r="C57" s="20" t="s">
        <v>13</v>
      </c>
      <c r="D57" s="57">
        <v>18063.0</v>
      </c>
      <c r="E57" s="58" t="s">
        <v>7195</v>
      </c>
      <c r="F57" s="59" t="s">
        <v>7196</v>
      </c>
      <c r="G57" s="61" t="s">
        <v>7197</v>
      </c>
      <c r="H57" s="162" t="s">
        <v>7198</v>
      </c>
      <c r="I57" s="37" t="s">
        <v>6966</v>
      </c>
      <c r="J57" s="96" t="s">
        <v>7199</v>
      </c>
    </row>
    <row r="58" ht="26.25" customHeight="1">
      <c r="A58" s="12" t="s">
        <v>487</v>
      </c>
      <c r="B58" s="17">
        <v>2026.0</v>
      </c>
      <c r="C58" s="20" t="s">
        <v>15</v>
      </c>
      <c r="D58" s="15">
        <v>18587.0</v>
      </c>
      <c r="E58" s="49" t="s">
        <v>7200</v>
      </c>
      <c r="F58" s="54" t="s">
        <v>7201</v>
      </c>
      <c r="G58" s="61"/>
      <c r="H58" s="130" t="s">
        <v>7202</v>
      </c>
      <c r="I58" s="37" t="s">
        <v>6966</v>
      </c>
      <c r="J58" s="96" t="s">
        <v>7203</v>
      </c>
    </row>
    <row r="59" ht="26.25" customHeight="1">
      <c r="A59" s="12" t="s">
        <v>493</v>
      </c>
      <c r="B59" s="17">
        <v>2026.0</v>
      </c>
      <c r="C59" s="20" t="s">
        <v>17</v>
      </c>
      <c r="D59" s="62">
        <v>19087.0</v>
      </c>
      <c r="E59" s="63" t="s">
        <v>7204</v>
      </c>
      <c r="F59" s="64" t="s">
        <v>7205</v>
      </c>
      <c r="G59" s="85" t="s">
        <v>7206</v>
      </c>
      <c r="H59" s="98" t="s">
        <v>7207</v>
      </c>
      <c r="I59" s="37" t="s">
        <v>6966</v>
      </c>
      <c r="J59" s="87" t="s">
        <v>7208</v>
      </c>
    </row>
    <row r="60" ht="26.25" customHeight="1">
      <c r="A60" s="51" t="s">
        <v>222</v>
      </c>
      <c r="C60" s="52"/>
      <c r="D60" s="52"/>
      <c r="E60" s="53">
        <f t="array" ref="E60">sum(1/countif(E49:E55,E49:E55))</f>
        <v>7</v>
      </c>
      <c r="F60" s="52"/>
      <c r="G60" s="52"/>
      <c r="H60" s="53">
        <f t="array" ref="H60">sum(1/countif(H49:H55,H49:H55))</f>
        <v>7</v>
      </c>
      <c r="I60" s="53"/>
      <c r="J60" s="53"/>
    </row>
    <row r="61" ht="26.25" customHeight="1">
      <c r="A61" s="51" t="s">
        <v>223</v>
      </c>
      <c r="C61" s="52"/>
      <c r="E61" s="53">
        <f t="array" ref="E61">sum(1/countif(E5:E55,E5:E55))</f>
        <v>47</v>
      </c>
      <c r="F61" s="52"/>
      <c r="G61" s="52"/>
      <c r="H61" s="53">
        <f t="array" ref="H61">sum(1/countif(H5:H55,H5:H55))</f>
        <v>51</v>
      </c>
      <c r="I61" s="53"/>
      <c r="J61" s="53"/>
    </row>
  </sheetData>
  <mergeCells count="6">
    <mergeCell ref="A1:J1"/>
    <mergeCell ref="A2:J2"/>
    <mergeCell ref="A3:J3"/>
    <mergeCell ref="A60:B60"/>
    <mergeCell ref="A61:B61"/>
    <mergeCell ref="C61:D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2"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939.0</v>
      </c>
      <c r="E5" s="37" t="s">
        <v>7209</v>
      </c>
      <c r="F5" s="35" t="s">
        <v>7210</v>
      </c>
      <c r="G5" s="37" t="s">
        <v>7211</v>
      </c>
      <c r="H5" s="37" t="s">
        <v>7212</v>
      </c>
      <c r="I5" s="39" t="s">
        <v>7213</v>
      </c>
      <c r="J5" s="39" t="s">
        <v>7214</v>
      </c>
    </row>
    <row r="6" ht="26.25" customHeight="1">
      <c r="A6" s="12" t="s">
        <v>80</v>
      </c>
      <c r="B6" s="35">
        <v>2021.0</v>
      </c>
      <c r="C6" s="35" t="s">
        <v>18</v>
      </c>
      <c r="D6" s="35">
        <v>1884.0</v>
      </c>
      <c r="E6" s="37" t="s">
        <v>7215</v>
      </c>
      <c r="F6" s="35" t="s">
        <v>7216</v>
      </c>
      <c r="G6" s="37" t="s">
        <v>7217</v>
      </c>
      <c r="H6" s="37" t="s">
        <v>7218</v>
      </c>
      <c r="I6" s="39" t="s">
        <v>7219</v>
      </c>
      <c r="J6" s="39" t="s">
        <v>7220</v>
      </c>
    </row>
    <row r="7" ht="26.25" customHeight="1">
      <c r="A7" s="12" t="s">
        <v>87</v>
      </c>
      <c r="B7" s="35">
        <v>2021.0</v>
      </c>
      <c r="C7" s="40" t="s">
        <v>19</v>
      </c>
      <c r="D7" s="40">
        <v>2175.0</v>
      </c>
      <c r="E7" s="39" t="s">
        <v>7221</v>
      </c>
      <c r="F7" s="40" t="s">
        <v>7222</v>
      </c>
      <c r="G7" s="39" t="s">
        <v>7223</v>
      </c>
      <c r="H7" s="39" t="s">
        <v>7224</v>
      </c>
      <c r="I7" s="39" t="s">
        <v>7225</v>
      </c>
      <c r="J7" s="39" t="s">
        <v>7226</v>
      </c>
    </row>
    <row r="8" ht="26.25" customHeight="1">
      <c r="A8" s="12" t="s">
        <v>94</v>
      </c>
      <c r="B8" s="35">
        <v>2021.0</v>
      </c>
      <c r="C8" s="40" t="s">
        <v>20</v>
      </c>
      <c r="D8" s="40">
        <v>455.0</v>
      </c>
      <c r="E8" s="39" t="s">
        <v>7227</v>
      </c>
      <c r="F8" s="40" t="s">
        <v>7228</v>
      </c>
      <c r="G8" s="39" t="s">
        <v>7229</v>
      </c>
      <c r="H8" s="39" t="s">
        <v>7230</v>
      </c>
      <c r="I8" s="39" t="s">
        <v>7225</v>
      </c>
      <c r="J8" s="39" t="s">
        <v>7231</v>
      </c>
    </row>
    <row r="9" ht="26.25" customHeight="1">
      <c r="A9" s="12" t="s">
        <v>101</v>
      </c>
      <c r="B9" s="35">
        <v>2022.0</v>
      </c>
      <c r="C9" s="40" t="s">
        <v>11</v>
      </c>
      <c r="D9" s="40">
        <v>3981.0</v>
      </c>
      <c r="E9" s="39" t="s">
        <v>7232</v>
      </c>
      <c r="F9" s="40" t="s">
        <v>7233</v>
      </c>
      <c r="G9" s="37" t="s">
        <v>7234</v>
      </c>
      <c r="H9" s="120" t="s">
        <v>7235</v>
      </c>
      <c r="I9" s="39" t="s">
        <v>7236</v>
      </c>
      <c r="J9" s="39" t="s">
        <v>7237</v>
      </c>
    </row>
    <row r="10" ht="26.25" customHeight="1">
      <c r="A10" s="12" t="s">
        <v>108</v>
      </c>
      <c r="B10" s="35">
        <v>2022.0</v>
      </c>
      <c r="C10" s="40" t="s">
        <v>15</v>
      </c>
      <c r="D10" s="40">
        <v>5475.0</v>
      </c>
      <c r="E10" s="39" t="s">
        <v>7238</v>
      </c>
      <c r="F10" s="40" t="s">
        <v>7239</v>
      </c>
      <c r="G10" s="37" t="s">
        <v>7240</v>
      </c>
      <c r="H10" s="39" t="s">
        <v>7241</v>
      </c>
      <c r="I10" s="39" t="s">
        <v>7236</v>
      </c>
      <c r="J10" s="39" t="s">
        <v>7242</v>
      </c>
    </row>
    <row r="11" ht="26.25" customHeight="1">
      <c r="A11" s="12" t="s">
        <v>113</v>
      </c>
      <c r="B11" s="35">
        <v>2022.0</v>
      </c>
      <c r="C11" s="40" t="s">
        <v>20</v>
      </c>
      <c r="D11" s="40">
        <v>6967.0</v>
      </c>
      <c r="E11" s="39" t="s">
        <v>7243</v>
      </c>
      <c r="F11" s="41" t="s">
        <v>7244</v>
      </c>
      <c r="G11" s="37" t="s">
        <v>7245</v>
      </c>
      <c r="H11" s="39" t="s">
        <v>7246</v>
      </c>
      <c r="I11" s="39" t="s">
        <v>7225</v>
      </c>
      <c r="J11" s="39" t="s">
        <v>7247</v>
      </c>
    </row>
    <row r="12" ht="26.25" customHeight="1">
      <c r="A12" s="12" t="s">
        <v>120</v>
      </c>
      <c r="B12" s="17">
        <v>2023.0</v>
      </c>
      <c r="C12" s="40" t="s">
        <v>15</v>
      </c>
      <c r="D12" s="40">
        <v>8823.0</v>
      </c>
      <c r="E12" s="39" t="s">
        <v>7243</v>
      </c>
      <c r="F12" s="41" t="s">
        <v>7248</v>
      </c>
      <c r="G12" s="37" t="s">
        <v>7249</v>
      </c>
      <c r="H12" s="39" t="s">
        <v>7250</v>
      </c>
      <c r="I12" s="39" t="s">
        <v>7225</v>
      </c>
      <c r="J12" s="39" t="s">
        <v>7251</v>
      </c>
    </row>
    <row r="13" ht="26.25" customHeight="1">
      <c r="A13" s="12" t="s">
        <v>126</v>
      </c>
      <c r="B13" s="17">
        <v>2023.0</v>
      </c>
      <c r="C13" s="40" t="s">
        <v>16</v>
      </c>
      <c r="D13" s="40">
        <v>9055.0</v>
      </c>
      <c r="E13" s="39" t="s">
        <v>7252</v>
      </c>
      <c r="F13" s="41" t="s">
        <v>7253</v>
      </c>
      <c r="G13" s="37" t="s">
        <v>7254</v>
      </c>
      <c r="H13" s="39" t="s">
        <v>7255</v>
      </c>
      <c r="I13" s="39" t="s">
        <v>7213</v>
      </c>
      <c r="J13" s="39" t="s">
        <v>7256</v>
      </c>
    </row>
    <row r="14" ht="26.25" customHeight="1">
      <c r="A14" s="12" t="s">
        <v>132</v>
      </c>
      <c r="B14" s="17">
        <v>2023.0</v>
      </c>
      <c r="C14" s="40" t="s">
        <v>17</v>
      </c>
      <c r="D14" s="40">
        <v>9257.0</v>
      </c>
      <c r="E14" s="39" t="s">
        <v>7257</v>
      </c>
      <c r="F14" s="41" t="s">
        <v>7258</v>
      </c>
      <c r="G14" s="37" t="s">
        <v>7259</v>
      </c>
      <c r="H14" s="39" t="s">
        <v>7260</v>
      </c>
      <c r="I14" s="39" t="s">
        <v>7213</v>
      </c>
      <c r="J14" s="39" t="s">
        <v>7261</v>
      </c>
    </row>
    <row r="15" ht="26.25" customHeight="1">
      <c r="A15" s="12" t="s">
        <v>138</v>
      </c>
      <c r="B15" s="17">
        <v>2023.0</v>
      </c>
      <c r="C15" s="40" t="s">
        <v>18</v>
      </c>
      <c r="D15" s="40">
        <v>9683.0</v>
      </c>
      <c r="E15" s="39" t="s">
        <v>7262</v>
      </c>
      <c r="F15" s="40" t="s">
        <v>7263</v>
      </c>
      <c r="G15" s="37" t="s">
        <v>7264</v>
      </c>
      <c r="H15" s="39" t="s">
        <v>7265</v>
      </c>
      <c r="I15" s="39" t="s">
        <v>7213</v>
      </c>
      <c r="J15" s="39" t="s">
        <v>7266</v>
      </c>
    </row>
    <row r="16" ht="26.25" customHeight="1">
      <c r="A16" s="12" t="s">
        <v>144</v>
      </c>
      <c r="B16" s="17">
        <v>2023.0</v>
      </c>
      <c r="C16" s="42" t="s">
        <v>22</v>
      </c>
      <c r="D16" s="42">
        <v>10886.0</v>
      </c>
      <c r="E16" s="38" t="s">
        <v>7267</v>
      </c>
      <c r="F16" s="43" t="s">
        <v>7268</v>
      </c>
      <c r="G16" s="36" t="s">
        <v>7269</v>
      </c>
      <c r="H16" s="36" t="s">
        <v>7270</v>
      </c>
      <c r="I16" s="38" t="s">
        <v>7213</v>
      </c>
      <c r="J16" s="38" t="s">
        <v>7271</v>
      </c>
    </row>
    <row r="17" ht="26.25" customHeight="1">
      <c r="A17" s="12" t="s">
        <v>146</v>
      </c>
      <c r="B17" s="17">
        <v>2023.0</v>
      </c>
      <c r="C17" s="42" t="s">
        <v>22</v>
      </c>
      <c r="D17" s="42">
        <v>10886.0</v>
      </c>
      <c r="E17" s="38" t="s">
        <v>7267</v>
      </c>
      <c r="F17" s="43" t="s">
        <v>7268</v>
      </c>
      <c r="G17" s="36" t="s">
        <v>7269</v>
      </c>
      <c r="H17" s="36" t="s">
        <v>7272</v>
      </c>
      <c r="I17" s="38" t="s">
        <v>7213</v>
      </c>
      <c r="J17" s="38" t="s">
        <v>7271</v>
      </c>
    </row>
    <row r="18" ht="26.25" customHeight="1">
      <c r="A18" s="12" t="s">
        <v>151</v>
      </c>
      <c r="B18" s="17">
        <v>2024.0</v>
      </c>
      <c r="C18" s="17" t="s">
        <v>11</v>
      </c>
      <c r="D18" s="17">
        <v>10886.0</v>
      </c>
      <c r="E18" s="36" t="s">
        <v>7273</v>
      </c>
      <c r="F18" s="43" t="s">
        <v>7268</v>
      </c>
      <c r="G18" s="36" t="s">
        <v>7269</v>
      </c>
      <c r="H18" s="36" t="s">
        <v>7270</v>
      </c>
      <c r="I18" s="38" t="s">
        <v>7213</v>
      </c>
      <c r="J18" s="38" t="s">
        <v>7274</v>
      </c>
    </row>
    <row r="19" ht="26.25" customHeight="1">
      <c r="A19" s="12" t="s">
        <v>153</v>
      </c>
      <c r="B19" s="17">
        <v>2024.0</v>
      </c>
      <c r="C19" s="17" t="s">
        <v>11</v>
      </c>
      <c r="D19" s="17">
        <v>10886.0</v>
      </c>
      <c r="E19" s="36" t="s">
        <v>7273</v>
      </c>
      <c r="F19" s="43" t="s">
        <v>7268</v>
      </c>
      <c r="G19" s="36" t="s">
        <v>7269</v>
      </c>
      <c r="H19" s="36" t="s">
        <v>7272</v>
      </c>
      <c r="I19" s="38" t="s">
        <v>7213</v>
      </c>
      <c r="J19" s="38" t="s">
        <v>7275</v>
      </c>
    </row>
    <row r="20" ht="26.25" customHeight="1">
      <c r="A20" s="12" t="s">
        <v>159</v>
      </c>
      <c r="B20" s="17">
        <v>2024.0</v>
      </c>
      <c r="C20" s="17" t="s">
        <v>14</v>
      </c>
      <c r="D20" s="17">
        <v>10358.0</v>
      </c>
      <c r="E20" s="36" t="s">
        <v>7276</v>
      </c>
      <c r="F20" s="43" t="s">
        <v>7277</v>
      </c>
      <c r="G20" s="36" t="s">
        <v>7278</v>
      </c>
      <c r="H20" s="36" t="s">
        <v>7279</v>
      </c>
      <c r="I20" s="38" t="s">
        <v>7225</v>
      </c>
      <c r="J20" s="38" t="s">
        <v>7280</v>
      </c>
    </row>
    <row r="21" ht="26.25" customHeight="1">
      <c r="A21" s="12" t="s">
        <v>165</v>
      </c>
      <c r="B21" s="17">
        <v>2024.0</v>
      </c>
      <c r="C21" s="17" t="s">
        <v>15</v>
      </c>
      <c r="D21" s="17">
        <v>8214.0</v>
      </c>
      <c r="E21" s="36" t="s">
        <v>7281</v>
      </c>
      <c r="F21" s="48" t="s">
        <v>7282</v>
      </c>
      <c r="G21" s="36" t="s">
        <v>7283</v>
      </c>
      <c r="H21" s="36" t="s">
        <v>7284</v>
      </c>
      <c r="I21" s="36" t="s">
        <v>7213</v>
      </c>
      <c r="J21" s="38" t="s">
        <v>7285</v>
      </c>
    </row>
    <row r="22" ht="26.25" customHeight="1">
      <c r="A22" s="12" t="s">
        <v>165</v>
      </c>
      <c r="B22" s="17">
        <v>2024.0</v>
      </c>
      <c r="C22" s="17" t="s">
        <v>17</v>
      </c>
      <c r="D22" s="15">
        <v>9683.0</v>
      </c>
      <c r="E22" s="49" t="s">
        <v>7286</v>
      </c>
      <c r="F22" s="50" t="s">
        <v>7287</v>
      </c>
      <c r="G22" s="49"/>
      <c r="H22" s="49" t="s">
        <v>7288</v>
      </c>
      <c r="I22" s="49" t="s">
        <v>7213</v>
      </c>
      <c r="J22" s="38" t="s">
        <v>7289</v>
      </c>
    </row>
    <row r="23" ht="26.25" customHeight="1">
      <c r="A23" s="12" t="s">
        <v>171</v>
      </c>
      <c r="B23" s="17">
        <v>2025.0</v>
      </c>
      <c r="C23" s="17" t="s">
        <v>1370</v>
      </c>
      <c r="D23" s="15">
        <v>14512.0</v>
      </c>
      <c r="E23" s="49" t="s">
        <v>7290</v>
      </c>
      <c r="F23" s="50" t="s">
        <v>7291</v>
      </c>
      <c r="G23" s="49" t="s">
        <v>7292</v>
      </c>
      <c r="H23" s="49" t="s">
        <v>7293</v>
      </c>
      <c r="I23" s="49" t="s">
        <v>7213</v>
      </c>
      <c r="J23" s="38" t="s">
        <v>7294</v>
      </c>
    </row>
    <row r="24" ht="26.25" customHeight="1">
      <c r="A24" s="12" t="s">
        <v>173</v>
      </c>
      <c r="B24" s="17">
        <v>2025.0</v>
      </c>
      <c r="C24" s="17" t="s">
        <v>13</v>
      </c>
      <c r="D24" s="15">
        <v>14305.0</v>
      </c>
      <c r="E24" s="49" t="s">
        <v>7295</v>
      </c>
      <c r="F24" s="54" t="s">
        <v>7296</v>
      </c>
      <c r="G24" s="49"/>
      <c r="H24" s="49" t="s">
        <v>7297</v>
      </c>
      <c r="I24" s="49" t="s">
        <v>7213</v>
      </c>
      <c r="J24" s="38" t="s">
        <v>7298</v>
      </c>
    </row>
    <row r="25" ht="26.25" customHeight="1">
      <c r="A25" s="12" t="s">
        <v>178</v>
      </c>
      <c r="B25" s="17">
        <v>2025.0</v>
      </c>
      <c r="C25" s="17" t="s">
        <v>15</v>
      </c>
      <c r="D25" s="54" t="s">
        <v>7299</v>
      </c>
      <c r="E25" s="49" t="s">
        <v>7300</v>
      </c>
      <c r="F25" s="54" t="s">
        <v>7301</v>
      </c>
      <c r="G25" s="49" t="s">
        <v>7302</v>
      </c>
      <c r="H25" s="49" t="s">
        <v>7303</v>
      </c>
      <c r="I25" s="49" t="s">
        <v>7236</v>
      </c>
      <c r="J25" s="38" t="s">
        <v>7304</v>
      </c>
    </row>
    <row r="26" ht="26.25" customHeight="1">
      <c r="A26" s="12" t="s">
        <v>184</v>
      </c>
      <c r="B26" s="17">
        <v>2025.0</v>
      </c>
      <c r="C26" s="17" t="s">
        <v>17</v>
      </c>
      <c r="D26" s="15">
        <v>13834.0</v>
      </c>
      <c r="E26" s="49" t="s">
        <v>7305</v>
      </c>
      <c r="F26" s="54" t="s">
        <v>7306</v>
      </c>
      <c r="G26" s="49" t="s">
        <v>7307</v>
      </c>
      <c r="H26" s="49" t="s">
        <v>7308</v>
      </c>
      <c r="I26" s="49" t="s">
        <v>7309</v>
      </c>
      <c r="J26" s="38" t="s">
        <v>7310</v>
      </c>
    </row>
    <row r="27" ht="26.25" customHeight="1">
      <c r="A27" s="12" t="s">
        <v>190</v>
      </c>
      <c r="B27" s="17">
        <v>2026.0</v>
      </c>
      <c r="C27" s="17" t="s">
        <v>11</v>
      </c>
      <c r="D27" s="57">
        <v>17325.0</v>
      </c>
      <c r="E27" s="58" t="s">
        <v>7311</v>
      </c>
      <c r="F27" s="59" t="s">
        <v>7312</v>
      </c>
      <c r="G27" s="49" t="s">
        <v>7313</v>
      </c>
      <c r="H27" s="58" t="s">
        <v>7314</v>
      </c>
      <c r="I27" s="58" t="s">
        <v>7315</v>
      </c>
      <c r="J27" s="38" t="s">
        <v>7316</v>
      </c>
    </row>
    <row r="28" ht="26.25" customHeight="1">
      <c r="A28" s="12" t="s">
        <v>196</v>
      </c>
      <c r="B28" s="17">
        <v>2026.0</v>
      </c>
      <c r="C28" s="20" t="s">
        <v>15</v>
      </c>
      <c r="D28" s="65">
        <v>18524.0</v>
      </c>
      <c r="E28" s="66" t="s">
        <v>7317</v>
      </c>
      <c r="F28" s="67" t="s">
        <v>7318</v>
      </c>
      <c r="G28" s="68" t="s">
        <v>7319</v>
      </c>
      <c r="H28" s="66" t="s">
        <v>7320</v>
      </c>
      <c r="I28" s="66" t="s">
        <v>7321</v>
      </c>
      <c r="J28" s="132" t="s">
        <v>7322</v>
      </c>
    </row>
    <row r="29" ht="26.25" customHeight="1">
      <c r="A29" s="163" t="s">
        <v>222</v>
      </c>
      <c r="C29" s="53"/>
      <c r="D29" s="53"/>
      <c r="E29" s="53">
        <f t="array" ref="E29">sum(1/countif(E28,E28))</f>
        <v>1</v>
      </c>
      <c r="F29" s="53"/>
      <c r="G29" s="53"/>
      <c r="H29" s="53">
        <f t="array" ref="H29">sum(1/countif(H28,H28))</f>
        <v>1</v>
      </c>
      <c r="I29" s="53"/>
      <c r="J29" s="53"/>
    </row>
    <row r="30" ht="26.25" customHeight="1">
      <c r="A30" s="163" t="s">
        <v>7323</v>
      </c>
      <c r="C30" s="53"/>
      <c r="D30" s="53"/>
      <c r="E30" s="53">
        <f t="array" ref="E30">sum(1/countif(E5:E28,E5:E28))</f>
        <v>21</v>
      </c>
      <c r="F30" s="53"/>
      <c r="G30" s="53"/>
      <c r="H30" s="53">
        <f t="array" ref="H30">sum(1/countif(H5:H28,H5:H28))</f>
        <v>22</v>
      </c>
      <c r="I30" s="53"/>
      <c r="J30" s="53"/>
    </row>
  </sheetData>
  <mergeCells count="5">
    <mergeCell ref="A1:J1"/>
    <mergeCell ref="A2:J2"/>
    <mergeCell ref="A3:J3"/>
    <mergeCell ref="A29:B29"/>
    <mergeCell ref="A30:B30"/>
  </mergeCells>
  <hyperlinks>
    <hyperlink r:id="rId1" ref="H9"/>
  </hyperlinks>
  <drawing r:id="rId2"/>
  <tableParts count="2">
    <tablePart r:id="rId5"/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14</v>
      </c>
      <c r="D5" s="35">
        <v>293.0</v>
      </c>
      <c r="E5" s="37" t="s">
        <v>7324</v>
      </c>
      <c r="F5" s="72" t="s">
        <v>7325</v>
      </c>
      <c r="G5" s="37" t="s">
        <v>7326</v>
      </c>
      <c r="H5" s="37" t="s">
        <v>7327</v>
      </c>
      <c r="I5" s="39" t="s">
        <v>7328</v>
      </c>
      <c r="J5" s="39" t="s">
        <v>7329</v>
      </c>
    </row>
    <row r="6" ht="26.25" customHeight="1">
      <c r="A6" s="12" t="s">
        <v>80</v>
      </c>
      <c r="B6" s="35">
        <v>2024.0</v>
      </c>
      <c r="C6" s="17" t="s">
        <v>7330</v>
      </c>
      <c r="D6" s="15">
        <v>14051.0</v>
      </c>
      <c r="E6" s="49" t="s">
        <v>7331</v>
      </c>
      <c r="F6" s="50" t="s">
        <v>7332</v>
      </c>
      <c r="G6" s="37"/>
      <c r="H6" s="49" t="s">
        <v>7333</v>
      </c>
      <c r="I6" s="49" t="s">
        <v>7334</v>
      </c>
      <c r="J6" s="39" t="s">
        <v>7335</v>
      </c>
    </row>
    <row r="7" ht="26.25" customHeight="1">
      <c r="A7" s="163" t="s">
        <v>222</v>
      </c>
      <c r="C7" s="53"/>
      <c r="D7" s="53"/>
      <c r="E7" s="53" t="str">
        <f t="array" ref="E7">sum(1/countif(E7,E7))</f>
        <v>#REF!</v>
      </c>
      <c r="F7" s="53"/>
      <c r="G7" s="53"/>
      <c r="H7" s="53" t="str">
        <f t="array" ref="H7">sum(1/countif(H7,H7))</f>
        <v>#REF!</v>
      </c>
      <c r="I7" s="53">
        <v>0.0</v>
      </c>
      <c r="J7" s="53"/>
    </row>
    <row r="8" ht="26.25" customHeight="1">
      <c r="A8" s="163" t="s">
        <v>7323</v>
      </c>
      <c r="C8" s="53"/>
      <c r="D8" s="53"/>
      <c r="E8" s="53">
        <f t="array" ref="E8">sum(1/countif(E5:E7,E5:E7))</f>
        <v>3</v>
      </c>
      <c r="F8" s="53"/>
      <c r="G8" s="53"/>
      <c r="H8" s="53">
        <f t="array" ref="H8">sum(1/countif(H5:H7,H5:H7))</f>
        <v>3</v>
      </c>
      <c r="I8" s="53">
        <f t="array" ref="I8">sum(1/countif(I5:I6,I5:I6))</f>
        <v>2</v>
      </c>
      <c r="J8" s="53"/>
    </row>
  </sheetData>
  <mergeCells count="5">
    <mergeCell ref="A1:J1"/>
    <mergeCell ref="A2:J2"/>
    <mergeCell ref="A3:J3"/>
    <mergeCell ref="A7:B7"/>
    <mergeCell ref="A8:B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2" t="s">
        <v>11</v>
      </c>
      <c r="D5" s="44"/>
      <c r="E5" s="45"/>
      <c r="F5" s="164"/>
      <c r="G5" s="45"/>
      <c r="H5" s="36"/>
      <c r="I5" s="38"/>
      <c r="J5" s="38"/>
    </row>
    <row r="6" ht="26.25" customHeight="1">
      <c r="A6" s="163" t="s">
        <v>222</v>
      </c>
      <c r="C6" s="53"/>
      <c r="D6" s="53"/>
      <c r="E6" s="53">
        <v>0.0</v>
      </c>
      <c r="F6" s="53"/>
      <c r="G6" s="53"/>
      <c r="H6" s="53">
        <v>0.0</v>
      </c>
      <c r="I6" s="53">
        <v>0.0</v>
      </c>
      <c r="J6" s="53"/>
    </row>
    <row r="7" ht="26.25" customHeight="1">
      <c r="A7" s="163" t="s">
        <v>7323</v>
      </c>
      <c r="C7" s="53"/>
      <c r="D7" s="53"/>
      <c r="E7" s="53">
        <v>0.0</v>
      </c>
      <c r="F7" s="53"/>
      <c r="G7" s="53"/>
      <c r="H7" s="53">
        <v>0.0</v>
      </c>
      <c r="I7" s="53">
        <v>0.0</v>
      </c>
      <c r="J7" s="53"/>
    </row>
  </sheetData>
  <mergeCells count="5">
    <mergeCell ref="A1:J1"/>
    <mergeCell ref="A2:J2"/>
    <mergeCell ref="A3:J3"/>
    <mergeCell ref="A6:B6"/>
    <mergeCell ref="A7:B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1376.0</v>
      </c>
      <c r="E5" s="37" t="s">
        <v>7336</v>
      </c>
      <c r="F5" s="35" t="s">
        <v>7337</v>
      </c>
      <c r="G5" s="37" t="s">
        <v>7338</v>
      </c>
      <c r="H5" s="37" t="s">
        <v>7339</v>
      </c>
      <c r="I5" s="39" t="s">
        <v>7340</v>
      </c>
      <c r="J5" s="39" t="s">
        <v>7341</v>
      </c>
    </row>
    <row r="6" ht="26.25" customHeight="1">
      <c r="A6" s="12" t="s">
        <v>80</v>
      </c>
      <c r="B6" s="35">
        <v>2021.0</v>
      </c>
      <c r="C6" s="35" t="s">
        <v>17</v>
      </c>
      <c r="D6" s="35">
        <v>1559.0</v>
      </c>
      <c r="E6" s="37" t="s">
        <v>7342</v>
      </c>
      <c r="F6" s="35" t="s">
        <v>7343</v>
      </c>
      <c r="G6" s="37" t="s">
        <v>7344</v>
      </c>
      <c r="H6" s="37" t="s">
        <v>7345</v>
      </c>
      <c r="I6" s="39" t="s">
        <v>7340</v>
      </c>
      <c r="J6" s="39" t="s">
        <v>7346</v>
      </c>
    </row>
    <row r="7" ht="26.25" customHeight="1">
      <c r="A7" s="12" t="s">
        <v>87</v>
      </c>
      <c r="B7" s="17">
        <v>2022.0</v>
      </c>
      <c r="C7" s="40" t="s">
        <v>12</v>
      </c>
      <c r="D7" s="40">
        <v>4766.0</v>
      </c>
      <c r="E7" s="39" t="s">
        <v>7347</v>
      </c>
      <c r="F7" s="40" t="s">
        <v>7348</v>
      </c>
      <c r="G7" s="37" t="s">
        <v>7349</v>
      </c>
      <c r="H7" s="39" t="s">
        <v>7350</v>
      </c>
      <c r="I7" s="39" t="s">
        <v>7351</v>
      </c>
      <c r="J7" s="39" t="s">
        <v>7352</v>
      </c>
    </row>
    <row r="8" ht="26.25" customHeight="1">
      <c r="A8" s="12" t="s">
        <v>94</v>
      </c>
      <c r="B8" s="17">
        <v>2022.0</v>
      </c>
      <c r="C8" s="40" t="s">
        <v>15</v>
      </c>
      <c r="D8" s="40">
        <v>3704.0</v>
      </c>
      <c r="E8" s="39" t="s">
        <v>7353</v>
      </c>
      <c r="F8" s="40" t="s">
        <v>7354</v>
      </c>
      <c r="G8" s="37" t="s">
        <v>7355</v>
      </c>
      <c r="H8" s="39" t="s">
        <v>7356</v>
      </c>
      <c r="I8" s="39" t="s">
        <v>7357</v>
      </c>
      <c r="J8" s="39" t="s">
        <v>7358</v>
      </c>
    </row>
    <row r="9" ht="26.25" customHeight="1">
      <c r="A9" s="12" t="s">
        <v>101</v>
      </c>
      <c r="B9" s="17">
        <v>2022.0</v>
      </c>
      <c r="C9" s="35" t="s">
        <v>21</v>
      </c>
      <c r="D9" s="35">
        <v>1376.0</v>
      </c>
      <c r="E9" s="37" t="s">
        <v>7336</v>
      </c>
      <c r="F9" s="35" t="s">
        <v>7337</v>
      </c>
      <c r="G9" s="37" t="s">
        <v>7338</v>
      </c>
      <c r="H9" s="37" t="s">
        <v>7359</v>
      </c>
      <c r="I9" s="39" t="s">
        <v>7340</v>
      </c>
      <c r="J9" s="39" t="s">
        <v>7341</v>
      </c>
    </row>
    <row r="10" ht="26.25" customHeight="1">
      <c r="A10" s="12" t="s">
        <v>108</v>
      </c>
      <c r="B10" s="17">
        <v>2024.0</v>
      </c>
      <c r="C10" s="40" t="s">
        <v>16</v>
      </c>
      <c r="D10" s="35">
        <v>12472.0</v>
      </c>
      <c r="E10" s="36" t="s">
        <v>7360</v>
      </c>
      <c r="F10" s="48" t="s">
        <v>7361</v>
      </c>
      <c r="G10" s="37" t="s">
        <v>7362</v>
      </c>
      <c r="H10" s="36" t="s">
        <v>7363</v>
      </c>
      <c r="I10" s="36" t="s">
        <v>7364</v>
      </c>
      <c r="J10" s="39" t="s">
        <v>7365</v>
      </c>
    </row>
    <row r="11" ht="26.25" customHeight="1">
      <c r="A11" s="12" t="s">
        <v>113</v>
      </c>
      <c r="B11" s="17">
        <v>2025.0</v>
      </c>
      <c r="C11" s="42" t="s">
        <v>20</v>
      </c>
      <c r="D11" s="15">
        <v>16305.0</v>
      </c>
      <c r="E11" s="49" t="s">
        <v>7366</v>
      </c>
      <c r="F11" s="54" t="s">
        <v>7367</v>
      </c>
      <c r="G11" s="37" t="s">
        <v>7368</v>
      </c>
      <c r="H11" s="49" t="s">
        <v>7369</v>
      </c>
      <c r="I11" s="55" t="s">
        <v>7357</v>
      </c>
      <c r="J11" s="39" t="s">
        <v>7370</v>
      </c>
    </row>
    <row r="12" ht="26.25" customHeight="1">
      <c r="A12" s="163" t="s">
        <v>222</v>
      </c>
      <c r="C12" s="53"/>
      <c r="D12" s="53"/>
      <c r="E12" s="53" t="str">
        <f t="array" ref="E12">sum(1/countif(E12,E12))</f>
        <v>#REF!</v>
      </c>
      <c r="F12" s="53"/>
      <c r="G12" s="53"/>
      <c r="H12" s="53" t="str">
        <f t="array" ref="H12">sum(1/countif(H12,H12))</f>
        <v>#REF!</v>
      </c>
      <c r="I12" s="53">
        <v>0.0</v>
      </c>
      <c r="J12" s="53"/>
    </row>
    <row r="13" ht="26.25" customHeight="1">
      <c r="A13" s="163" t="s">
        <v>7323</v>
      </c>
      <c r="C13" s="53"/>
      <c r="D13" s="53"/>
      <c r="E13" s="53">
        <f t="array" ref="E13">sum(1/countif(E5:E12,E5:E12))</f>
        <v>7</v>
      </c>
      <c r="F13" s="53"/>
      <c r="G13" s="53"/>
      <c r="H13" s="53">
        <f t="array" ref="H13">sum(1/countif(H5:H12,H5:H12))</f>
        <v>8</v>
      </c>
      <c r="I13" s="53">
        <f t="array" ref="I13">sum(1/countif(I5:I11,I5:I11))</f>
        <v>4</v>
      </c>
      <c r="J13" s="53"/>
    </row>
  </sheetData>
  <mergeCells count="5">
    <mergeCell ref="A1:J1"/>
    <mergeCell ref="A2:J2"/>
    <mergeCell ref="A3:J3"/>
    <mergeCell ref="A12:B12"/>
    <mergeCell ref="A13:B1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40" t="s">
        <v>19</v>
      </c>
      <c r="D5" s="40">
        <v>1865.0</v>
      </c>
      <c r="E5" s="39" t="s">
        <v>7371</v>
      </c>
      <c r="F5" s="40" t="s">
        <v>7372</v>
      </c>
      <c r="G5" s="39" t="s">
        <v>7373</v>
      </c>
      <c r="H5" s="39" t="s">
        <v>7374</v>
      </c>
      <c r="I5" s="39" t="s">
        <v>7375</v>
      </c>
      <c r="J5" s="39" t="s">
        <v>7376</v>
      </c>
    </row>
    <row r="6" ht="26.25" customHeight="1">
      <c r="A6" s="12" t="s">
        <v>80</v>
      </c>
      <c r="B6" s="17">
        <v>2022.0</v>
      </c>
      <c r="C6" s="40" t="s">
        <v>13</v>
      </c>
      <c r="D6" s="40">
        <v>4240.0</v>
      </c>
      <c r="E6" s="39" t="s">
        <v>7377</v>
      </c>
      <c r="F6" s="40" t="s">
        <v>7378</v>
      </c>
      <c r="G6" s="39" t="s">
        <v>7379</v>
      </c>
      <c r="H6" s="39" t="s">
        <v>7380</v>
      </c>
      <c r="I6" s="39" t="s">
        <v>7381</v>
      </c>
      <c r="J6" s="39" t="s">
        <v>7382</v>
      </c>
    </row>
    <row r="7" ht="26.25" customHeight="1">
      <c r="A7" s="12" t="s">
        <v>87</v>
      </c>
      <c r="B7" s="17">
        <v>2022.0</v>
      </c>
      <c r="C7" s="40" t="s">
        <v>19</v>
      </c>
      <c r="D7" s="42">
        <v>7051.0</v>
      </c>
      <c r="E7" s="38" t="s">
        <v>7383</v>
      </c>
      <c r="F7" s="43" t="s">
        <v>7384</v>
      </c>
      <c r="G7" s="39" t="s">
        <v>7385</v>
      </c>
      <c r="H7" s="38" t="s">
        <v>7386</v>
      </c>
      <c r="I7" s="39" t="s">
        <v>7375</v>
      </c>
      <c r="J7" s="39" t="s">
        <v>7387</v>
      </c>
    </row>
    <row r="8" ht="26.25" customHeight="1">
      <c r="A8" s="12" t="s">
        <v>94</v>
      </c>
      <c r="B8" s="17">
        <v>2025.0</v>
      </c>
      <c r="C8" s="42" t="s">
        <v>13</v>
      </c>
      <c r="D8" s="15">
        <v>14972.0</v>
      </c>
      <c r="E8" s="49" t="s">
        <v>7388</v>
      </c>
      <c r="F8" s="54" t="s">
        <v>7389</v>
      </c>
      <c r="G8" s="39" t="s">
        <v>7390</v>
      </c>
      <c r="H8" s="38" t="s">
        <v>4756</v>
      </c>
      <c r="I8" s="39" t="s">
        <v>7381</v>
      </c>
      <c r="J8" s="39" t="s">
        <v>7391</v>
      </c>
    </row>
    <row r="9" ht="26.25" customHeight="1">
      <c r="A9" s="12" t="s">
        <v>101</v>
      </c>
      <c r="B9" s="17">
        <v>2025.0</v>
      </c>
      <c r="C9" s="42" t="s">
        <v>2492</v>
      </c>
      <c r="D9" s="15">
        <v>10682.0</v>
      </c>
      <c r="E9" s="49" t="s">
        <v>5981</v>
      </c>
      <c r="F9" s="54" t="s">
        <v>7392</v>
      </c>
      <c r="G9" s="39" t="s">
        <v>5974</v>
      </c>
      <c r="H9" s="38" t="s">
        <v>7393</v>
      </c>
      <c r="I9" s="39" t="s">
        <v>7381</v>
      </c>
      <c r="J9" s="39" t="s">
        <v>7394</v>
      </c>
    </row>
    <row r="10" ht="26.25" customHeight="1">
      <c r="A10" s="12" t="s">
        <v>108</v>
      </c>
      <c r="B10" s="17">
        <v>2025.0</v>
      </c>
      <c r="C10" s="42" t="s">
        <v>13</v>
      </c>
      <c r="D10" s="15">
        <v>10682.0</v>
      </c>
      <c r="E10" s="49" t="s">
        <v>5981</v>
      </c>
      <c r="F10" s="54" t="s">
        <v>7395</v>
      </c>
      <c r="G10" s="39" t="s">
        <v>5974</v>
      </c>
      <c r="H10" s="38" t="s">
        <v>7396</v>
      </c>
      <c r="I10" s="39" t="s">
        <v>7381</v>
      </c>
      <c r="J10" s="39" t="s">
        <v>7397</v>
      </c>
    </row>
    <row r="11" ht="26.25" customHeight="1">
      <c r="A11" s="12" t="s">
        <v>113</v>
      </c>
      <c r="B11" s="17">
        <v>2025.0</v>
      </c>
      <c r="C11" s="42" t="s">
        <v>14</v>
      </c>
      <c r="D11" s="15">
        <v>10682.0</v>
      </c>
      <c r="E11" s="49" t="s">
        <v>5981</v>
      </c>
      <c r="F11" s="54" t="s">
        <v>5973</v>
      </c>
      <c r="G11" s="39" t="s">
        <v>5974</v>
      </c>
      <c r="H11" s="38" t="s">
        <v>7398</v>
      </c>
      <c r="I11" s="39" t="s">
        <v>7381</v>
      </c>
      <c r="J11" s="39" t="s">
        <v>7399</v>
      </c>
    </row>
    <row r="12" ht="26.25" customHeight="1">
      <c r="A12" s="12" t="s">
        <v>120</v>
      </c>
      <c r="B12" s="17">
        <v>2025.0</v>
      </c>
      <c r="C12" s="42" t="s">
        <v>18</v>
      </c>
      <c r="D12" s="15">
        <v>16190.0</v>
      </c>
      <c r="E12" s="77" t="s">
        <v>7400</v>
      </c>
      <c r="F12" s="54" t="s">
        <v>7401</v>
      </c>
      <c r="G12" s="39" t="s">
        <v>7402</v>
      </c>
      <c r="H12" s="38" t="s">
        <v>7403</v>
      </c>
      <c r="I12" s="39" t="s">
        <v>7404</v>
      </c>
      <c r="J12" s="39" t="s">
        <v>7405</v>
      </c>
    </row>
    <row r="13" ht="26.25" customHeight="1">
      <c r="A13" s="12" t="s">
        <v>126</v>
      </c>
      <c r="B13" s="17">
        <v>2025.0</v>
      </c>
      <c r="C13" s="42" t="s">
        <v>20</v>
      </c>
      <c r="D13" s="15">
        <v>14972.0</v>
      </c>
      <c r="E13" s="49" t="s">
        <v>7406</v>
      </c>
      <c r="F13" s="54" t="s">
        <v>7389</v>
      </c>
      <c r="G13" s="38" t="s">
        <v>7390</v>
      </c>
      <c r="H13" s="49" t="s">
        <v>7407</v>
      </c>
      <c r="I13" s="49" t="s">
        <v>7381</v>
      </c>
      <c r="J13" s="38" t="s">
        <v>7408</v>
      </c>
    </row>
    <row r="14" ht="26.25" customHeight="1">
      <c r="A14" s="12" t="s">
        <v>132</v>
      </c>
      <c r="B14" s="17">
        <v>2025.0</v>
      </c>
      <c r="C14" s="42" t="s">
        <v>21</v>
      </c>
      <c r="D14" s="15">
        <v>16875.0</v>
      </c>
      <c r="E14" s="49" t="s">
        <v>7409</v>
      </c>
      <c r="F14" s="54" t="s">
        <v>7410</v>
      </c>
      <c r="G14" s="49" t="s">
        <v>7411</v>
      </c>
      <c r="H14" s="49" t="s">
        <v>7412</v>
      </c>
      <c r="I14" s="49" t="s">
        <v>7381</v>
      </c>
      <c r="J14" s="49" t="s">
        <v>7413</v>
      </c>
    </row>
    <row r="15" ht="26.25" customHeight="1">
      <c r="A15" s="12" t="s">
        <v>138</v>
      </c>
      <c r="B15" s="17">
        <v>2025.0</v>
      </c>
      <c r="C15" s="42" t="s">
        <v>22</v>
      </c>
      <c r="D15" s="15">
        <v>16949.0</v>
      </c>
      <c r="E15" s="49" t="s">
        <v>7414</v>
      </c>
      <c r="F15" s="54" t="s">
        <v>7415</v>
      </c>
      <c r="G15" s="49" t="s">
        <v>7416</v>
      </c>
      <c r="H15" s="78" t="s">
        <v>7417</v>
      </c>
      <c r="I15" s="49" t="s">
        <v>7381</v>
      </c>
      <c r="J15" s="49" t="s">
        <v>7418</v>
      </c>
    </row>
    <row r="16" ht="26.25" customHeight="1">
      <c r="A16" s="12" t="s">
        <v>144</v>
      </c>
      <c r="B16" s="17">
        <v>2025.0</v>
      </c>
      <c r="C16" s="42" t="s">
        <v>22</v>
      </c>
      <c r="D16" s="15">
        <v>16917.0</v>
      </c>
      <c r="E16" s="49" t="s">
        <v>7419</v>
      </c>
      <c r="F16" s="54" t="s">
        <v>7420</v>
      </c>
      <c r="G16" s="49" t="s">
        <v>7421</v>
      </c>
      <c r="H16" s="49" t="s">
        <v>7422</v>
      </c>
      <c r="I16" s="49" t="s">
        <v>7381</v>
      </c>
      <c r="J16" s="49" t="s">
        <v>7423</v>
      </c>
    </row>
    <row r="17" ht="26.25" customHeight="1">
      <c r="A17" s="12" t="s">
        <v>146</v>
      </c>
      <c r="B17" s="17">
        <v>2025.0</v>
      </c>
      <c r="C17" s="42" t="s">
        <v>22</v>
      </c>
      <c r="D17" s="15">
        <v>16917.0</v>
      </c>
      <c r="E17" s="49" t="s">
        <v>7419</v>
      </c>
      <c r="F17" s="54" t="s">
        <v>7420</v>
      </c>
      <c r="G17" s="49" t="s">
        <v>7421</v>
      </c>
      <c r="H17" s="49" t="s">
        <v>7424</v>
      </c>
      <c r="I17" s="49" t="s">
        <v>7381</v>
      </c>
      <c r="J17" s="49" t="s">
        <v>7423</v>
      </c>
    </row>
    <row r="18" ht="26.25" customHeight="1">
      <c r="A18" s="12" t="s">
        <v>151</v>
      </c>
      <c r="B18" s="17">
        <v>2025.0</v>
      </c>
      <c r="C18" s="42" t="s">
        <v>22</v>
      </c>
      <c r="D18" s="15">
        <v>16917.0</v>
      </c>
      <c r="E18" s="49" t="s">
        <v>7419</v>
      </c>
      <c r="F18" s="54" t="s">
        <v>7420</v>
      </c>
      <c r="G18" s="49" t="s">
        <v>7421</v>
      </c>
      <c r="H18" s="49" t="s">
        <v>7425</v>
      </c>
      <c r="I18" s="49" t="s">
        <v>7381</v>
      </c>
      <c r="J18" s="49" t="s">
        <v>7423</v>
      </c>
    </row>
    <row r="19" ht="26.25" customHeight="1">
      <c r="A19" s="12" t="s">
        <v>153</v>
      </c>
      <c r="B19" s="17">
        <v>2025.0</v>
      </c>
      <c r="C19" s="42" t="s">
        <v>22</v>
      </c>
      <c r="D19" s="15">
        <v>16917.0</v>
      </c>
      <c r="E19" s="49" t="s">
        <v>7419</v>
      </c>
      <c r="F19" s="54" t="s">
        <v>7420</v>
      </c>
      <c r="G19" s="49" t="s">
        <v>7421</v>
      </c>
      <c r="H19" s="49" t="s">
        <v>7426</v>
      </c>
      <c r="I19" s="49" t="s">
        <v>7381</v>
      </c>
      <c r="J19" s="49" t="s">
        <v>7423</v>
      </c>
    </row>
    <row r="20" ht="26.25" customHeight="1">
      <c r="A20" s="12" t="s">
        <v>159</v>
      </c>
      <c r="B20" s="17">
        <v>2025.0</v>
      </c>
      <c r="C20" s="42" t="s">
        <v>22</v>
      </c>
      <c r="D20" s="15">
        <v>16917.0</v>
      </c>
      <c r="E20" s="49" t="s">
        <v>7419</v>
      </c>
      <c r="F20" s="54" t="s">
        <v>7420</v>
      </c>
      <c r="G20" s="49" t="s">
        <v>7421</v>
      </c>
      <c r="H20" s="49" t="s">
        <v>7427</v>
      </c>
      <c r="I20" s="49" t="s">
        <v>7381</v>
      </c>
      <c r="J20" s="49" t="s">
        <v>7423</v>
      </c>
    </row>
    <row r="21" ht="26.25" customHeight="1">
      <c r="A21" s="12" t="s">
        <v>165</v>
      </c>
      <c r="B21" s="20">
        <v>2026.0</v>
      </c>
      <c r="C21" s="79" t="s">
        <v>12</v>
      </c>
      <c r="D21" s="57">
        <v>14972.0</v>
      </c>
      <c r="E21" s="58" t="s">
        <v>7406</v>
      </c>
      <c r="F21" s="59" t="s">
        <v>7389</v>
      </c>
      <c r="G21" s="61" t="s">
        <v>6541</v>
      </c>
      <c r="H21" s="58" t="s">
        <v>7428</v>
      </c>
      <c r="I21" s="58" t="s">
        <v>7381</v>
      </c>
      <c r="J21" s="61" t="s">
        <v>6544</v>
      </c>
    </row>
    <row r="22" ht="26.25" customHeight="1">
      <c r="A22" s="12" t="s">
        <v>171</v>
      </c>
      <c r="B22" s="20">
        <v>2026.0</v>
      </c>
      <c r="C22" s="79" t="s">
        <v>15</v>
      </c>
      <c r="D22" s="15">
        <v>18558.0</v>
      </c>
      <c r="E22" s="49" t="s">
        <v>7429</v>
      </c>
      <c r="F22" s="54" t="s">
        <v>7430</v>
      </c>
      <c r="G22" s="61" t="s">
        <v>7431</v>
      </c>
      <c r="H22" s="49" t="s">
        <v>7432</v>
      </c>
      <c r="I22" s="49" t="s">
        <v>7381</v>
      </c>
      <c r="J22" s="61" t="s">
        <v>7433</v>
      </c>
    </row>
    <row r="23" ht="26.25" customHeight="1">
      <c r="A23" s="12" t="s">
        <v>173</v>
      </c>
      <c r="B23" s="20">
        <v>2026.0</v>
      </c>
      <c r="C23" s="79" t="s">
        <v>15</v>
      </c>
      <c r="D23" s="15">
        <v>18558.0</v>
      </c>
      <c r="E23" s="49" t="s">
        <v>7429</v>
      </c>
      <c r="F23" s="54" t="s">
        <v>7430</v>
      </c>
      <c r="G23" s="61" t="s">
        <v>7431</v>
      </c>
      <c r="H23" s="49" t="s">
        <v>7434</v>
      </c>
      <c r="I23" s="49" t="s">
        <v>7381</v>
      </c>
      <c r="J23" s="61" t="s">
        <v>7433</v>
      </c>
    </row>
    <row r="24" ht="26.25" customHeight="1">
      <c r="A24" s="163" t="s">
        <v>222</v>
      </c>
      <c r="C24" s="53"/>
      <c r="D24" s="53"/>
      <c r="E24" s="53">
        <f t="array" ref="E24">sum(1/countif(E23,E23))</f>
        <v>1</v>
      </c>
      <c r="F24" s="53"/>
      <c r="G24" s="53"/>
      <c r="H24" s="53">
        <f t="array" ref="H24">sum(1/countif(H23,H23))</f>
        <v>1</v>
      </c>
      <c r="I24" s="53">
        <f t="array" ref="I24">sum(1/countif(I8:I13,I8:I13))</f>
        <v>2</v>
      </c>
      <c r="J24" s="53"/>
    </row>
    <row r="25" ht="26.25" customHeight="1">
      <c r="A25" s="163" t="s">
        <v>7323</v>
      </c>
      <c r="C25" s="53"/>
      <c r="D25" s="53"/>
      <c r="E25" s="53">
        <f t="array" ref="E25">sum(1/countif(E5:E24,E5:E24))</f>
        <v>12</v>
      </c>
      <c r="F25" s="53"/>
      <c r="G25" s="53"/>
      <c r="H25" s="53">
        <f t="array" ref="H25">sum(1/countif(H5:H24,H5:H24))</f>
        <v>20</v>
      </c>
      <c r="I25" s="53">
        <f t="array" ref="I25">sum(1/countif(I5:I13,I5:I13))</f>
        <v>3</v>
      </c>
      <c r="J25" s="53"/>
    </row>
  </sheetData>
  <mergeCells count="5">
    <mergeCell ref="A1:J1"/>
    <mergeCell ref="A2:J2"/>
    <mergeCell ref="A3:J3"/>
    <mergeCell ref="A24:B24"/>
    <mergeCell ref="A25:B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17</v>
      </c>
      <c r="D5" s="35">
        <v>1555.0</v>
      </c>
      <c r="E5" s="37" t="s">
        <v>7435</v>
      </c>
      <c r="F5" s="35" t="s">
        <v>7436</v>
      </c>
      <c r="G5" s="37" t="s">
        <v>7437</v>
      </c>
      <c r="H5" s="37" t="s">
        <v>7438</v>
      </c>
      <c r="I5" s="39" t="s">
        <v>7439</v>
      </c>
      <c r="J5" s="39" t="s">
        <v>7440</v>
      </c>
    </row>
    <row r="6" ht="26.25" customHeight="1">
      <c r="A6" s="12" t="s">
        <v>80</v>
      </c>
      <c r="B6" s="35">
        <v>2021.0</v>
      </c>
      <c r="C6" s="40" t="s">
        <v>19</v>
      </c>
      <c r="D6" s="40">
        <v>2269.0</v>
      </c>
      <c r="E6" s="39" t="s">
        <v>7441</v>
      </c>
      <c r="F6" s="40" t="s">
        <v>7442</v>
      </c>
      <c r="G6" s="39" t="s">
        <v>7443</v>
      </c>
      <c r="H6" s="39" t="s">
        <v>7444</v>
      </c>
      <c r="I6" s="39" t="s">
        <v>7445</v>
      </c>
      <c r="J6" s="39" t="s">
        <v>7446</v>
      </c>
    </row>
    <row r="7" ht="26.25" customHeight="1">
      <c r="A7" s="12" t="s">
        <v>87</v>
      </c>
      <c r="B7" s="35">
        <v>2021.0</v>
      </c>
      <c r="C7" s="40" t="s">
        <v>20</v>
      </c>
      <c r="D7" s="40">
        <v>2854.0</v>
      </c>
      <c r="E7" s="39" t="s">
        <v>7447</v>
      </c>
      <c r="F7" s="40" t="s">
        <v>7448</v>
      </c>
      <c r="G7" s="39" t="s">
        <v>7449</v>
      </c>
      <c r="H7" s="39" t="s">
        <v>7450</v>
      </c>
      <c r="I7" s="39" t="s">
        <v>7439</v>
      </c>
      <c r="J7" s="39" t="s">
        <v>7451</v>
      </c>
    </row>
    <row r="8" ht="26.25" customHeight="1">
      <c r="A8" s="12" t="s">
        <v>94</v>
      </c>
      <c r="B8" s="35">
        <v>2021.0</v>
      </c>
      <c r="C8" s="35" t="s">
        <v>21</v>
      </c>
      <c r="D8" s="35">
        <v>3200.0</v>
      </c>
      <c r="E8" s="37" t="s">
        <v>7452</v>
      </c>
      <c r="F8" s="35" t="s">
        <v>7453</v>
      </c>
      <c r="G8" s="37" t="s">
        <v>7454</v>
      </c>
      <c r="H8" s="37" t="s">
        <v>7455</v>
      </c>
      <c r="I8" s="39" t="s">
        <v>7456</v>
      </c>
      <c r="J8" s="39" t="s">
        <v>7457</v>
      </c>
    </row>
    <row r="9" ht="26.25" customHeight="1">
      <c r="A9" s="12" t="s">
        <v>101</v>
      </c>
      <c r="B9" s="17">
        <v>2022.0</v>
      </c>
      <c r="C9" s="40" t="s">
        <v>12</v>
      </c>
      <c r="D9" s="40">
        <v>4682.0</v>
      </c>
      <c r="E9" s="39" t="s">
        <v>7458</v>
      </c>
      <c r="F9" s="40" t="s">
        <v>7459</v>
      </c>
      <c r="G9" s="39" t="s">
        <v>7460</v>
      </c>
      <c r="H9" s="39" t="s">
        <v>5143</v>
      </c>
      <c r="I9" s="39" t="s">
        <v>7461</v>
      </c>
      <c r="J9" s="39" t="s">
        <v>7462</v>
      </c>
    </row>
    <row r="10" ht="26.25" customHeight="1">
      <c r="A10" s="12" t="s">
        <v>108</v>
      </c>
      <c r="B10" s="17">
        <v>2022.0</v>
      </c>
      <c r="C10" s="40" t="s">
        <v>13</v>
      </c>
      <c r="D10" s="40">
        <v>672.0</v>
      </c>
      <c r="E10" s="39" t="s">
        <v>2292</v>
      </c>
      <c r="F10" s="40" t="s">
        <v>7463</v>
      </c>
      <c r="G10" s="39" t="s">
        <v>7464</v>
      </c>
      <c r="H10" s="39" t="s">
        <v>7465</v>
      </c>
      <c r="I10" s="39" t="s">
        <v>7466</v>
      </c>
      <c r="J10" s="39" t="s">
        <v>7467</v>
      </c>
    </row>
    <row r="11" ht="26.25" customHeight="1">
      <c r="A11" s="12" t="s">
        <v>113</v>
      </c>
      <c r="B11" s="17">
        <v>2023.0</v>
      </c>
      <c r="C11" s="40" t="s">
        <v>14</v>
      </c>
      <c r="D11" s="40">
        <v>8716.0</v>
      </c>
      <c r="E11" s="39" t="s">
        <v>3014</v>
      </c>
      <c r="F11" s="41" t="s">
        <v>7468</v>
      </c>
      <c r="G11" s="39" t="s">
        <v>7469</v>
      </c>
      <c r="H11" s="39" t="s">
        <v>7470</v>
      </c>
      <c r="I11" s="39" t="s">
        <v>7461</v>
      </c>
      <c r="J11" s="39" t="s">
        <v>7471</v>
      </c>
    </row>
    <row r="12" ht="26.25" customHeight="1">
      <c r="A12" s="12" t="s">
        <v>120</v>
      </c>
      <c r="B12" s="17">
        <v>2023.0</v>
      </c>
      <c r="C12" s="40" t="s">
        <v>16</v>
      </c>
      <c r="D12" s="40">
        <v>9115.0</v>
      </c>
      <c r="E12" s="39" t="s">
        <v>7472</v>
      </c>
      <c r="F12" s="41" t="s">
        <v>7473</v>
      </c>
      <c r="G12" s="39" t="s">
        <v>7474</v>
      </c>
      <c r="H12" s="39" t="s">
        <v>7475</v>
      </c>
      <c r="I12" s="39" t="s">
        <v>7439</v>
      </c>
      <c r="J12" s="39" t="s">
        <v>7476</v>
      </c>
    </row>
    <row r="13" ht="26.25" customHeight="1">
      <c r="A13" s="12" t="s">
        <v>126</v>
      </c>
      <c r="B13" s="17">
        <v>2023.0</v>
      </c>
      <c r="C13" s="40" t="s">
        <v>16</v>
      </c>
      <c r="D13" s="40">
        <v>9115.0</v>
      </c>
      <c r="E13" s="39" t="s">
        <v>7472</v>
      </c>
      <c r="F13" s="41" t="s">
        <v>7473</v>
      </c>
      <c r="G13" s="39" t="s">
        <v>7474</v>
      </c>
      <c r="H13" s="39" t="s">
        <v>7477</v>
      </c>
      <c r="I13" s="39" t="s">
        <v>7439</v>
      </c>
      <c r="J13" s="39" t="s">
        <v>7476</v>
      </c>
    </row>
    <row r="14" ht="26.25" customHeight="1">
      <c r="A14" s="12" t="s">
        <v>132</v>
      </c>
      <c r="B14" s="17">
        <v>2023.0</v>
      </c>
      <c r="C14" s="42" t="s">
        <v>17</v>
      </c>
      <c r="D14" s="15">
        <v>8716.0</v>
      </c>
      <c r="E14" s="77" t="s">
        <v>7478</v>
      </c>
      <c r="F14" s="41" t="s">
        <v>7479</v>
      </c>
      <c r="G14" s="39" t="s">
        <v>7469</v>
      </c>
      <c r="H14" s="49" t="s">
        <v>7480</v>
      </c>
      <c r="I14" s="39" t="s">
        <v>7481</v>
      </c>
      <c r="J14" s="39" t="s">
        <v>7471</v>
      </c>
    </row>
    <row r="15" ht="26.25" customHeight="1">
      <c r="A15" s="12" t="s">
        <v>138</v>
      </c>
      <c r="B15" s="17">
        <v>2024.0</v>
      </c>
      <c r="C15" s="42" t="s">
        <v>20</v>
      </c>
      <c r="D15" s="15">
        <v>13471.0</v>
      </c>
      <c r="E15" s="49" t="s">
        <v>4038</v>
      </c>
      <c r="F15" s="50" t="s">
        <v>7482</v>
      </c>
      <c r="G15" s="39" t="s">
        <v>7483</v>
      </c>
      <c r="H15" s="49" t="s">
        <v>7484</v>
      </c>
      <c r="I15" s="49" t="s">
        <v>7439</v>
      </c>
      <c r="J15" s="39" t="s">
        <v>7485</v>
      </c>
    </row>
    <row r="16" ht="26.25" customHeight="1">
      <c r="A16" s="12" t="s">
        <v>144</v>
      </c>
      <c r="B16" s="17">
        <v>2025.0</v>
      </c>
      <c r="C16" s="42" t="s">
        <v>2492</v>
      </c>
      <c r="D16" s="15">
        <v>14157.0</v>
      </c>
      <c r="E16" s="49" t="s">
        <v>7486</v>
      </c>
      <c r="F16" s="54" t="s">
        <v>7487</v>
      </c>
      <c r="G16" s="39"/>
      <c r="H16" s="49" t="s">
        <v>7488</v>
      </c>
      <c r="I16" s="49" t="s">
        <v>7439</v>
      </c>
      <c r="J16" s="39" t="s">
        <v>7489</v>
      </c>
    </row>
    <row r="17" ht="26.25" customHeight="1">
      <c r="A17" s="12" t="s">
        <v>146</v>
      </c>
      <c r="B17" s="17">
        <v>2025.0</v>
      </c>
      <c r="C17" s="42" t="s">
        <v>21</v>
      </c>
      <c r="D17" s="15">
        <v>16357.0</v>
      </c>
      <c r="E17" s="49" t="s">
        <v>7490</v>
      </c>
      <c r="F17" s="54" t="s">
        <v>7491</v>
      </c>
      <c r="G17" s="39" t="s">
        <v>7492</v>
      </c>
      <c r="H17" s="49" t="s">
        <v>7493</v>
      </c>
      <c r="I17" s="49" t="s">
        <v>7439</v>
      </c>
      <c r="J17" s="39" t="s">
        <v>7494</v>
      </c>
    </row>
    <row r="18" ht="26.25" customHeight="1">
      <c r="A18" s="12" t="s">
        <v>151</v>
      </c>
      <c r="B18" s="20">
        <v>2026.0</v>
      </c>
      <c r="C18" s="79" t="s">
        <v>12</v>
      </c>
      <c r="D18" s="57">
        <v>17713.0</v>
      </c>
      <c r="E18" s="49" t="s">
        <v>7495</v>
      </c>
      <c r="F18" s="59" t="s">
        <v>7496</v>
      </c>
      <c r="G18" s="39"/>
      <c r="H18" s="58" t="s">
        <v>7497</v>
      </c>
      <c r="I18" s="58" t="s">
        <v>7481</v>
      </c>
      <c r="J18" s="145" t="s">
        <v>7498</v>
      </c>
    </row>
    <row r="19" ht="26.25" customHeight="1">
      <c r="A19" s="163" t="s">
        <v>222</v>
      </c>
      <c r="C19" s="53"/>
      <c r="D19" s="53"/>
      <c r="E19" s="53">
        <f t="array" ref="E19">sum(1/countif(E18,E18))</f>
        <v>1</v>
      </c>
      <c r="F19" s="53"/>
      <c r="G19" s="53"/>
      <c r="H19" s="53">
        <f t="array" ref="H19">sum(1/countif(H18,H18))</f>
        <v>1</v>
      </c>
      <c r="I19" s="53">
        <f t="array" ref="I19">sum(1/countif(I16,I16))</f>
        <v>1</v>
      </c>
      <c r="J19" s="53"/>
    </row>
    <row r="20" ht="26.25" customHeight="1">
      <c r="A20" s="163" t="s">
        <v>7323</v>
      </c>
      <c r="C20" s="53"/>
      <c r="D20" s="53"/>
      <c r="E20" s="53">
        <f t="array" ref="E20">sum(1/countif(E5:E18,E5:E18))</f>
        <v>13</v>
      </c>
      <c r="F20" s="53"/>
      <c r="G20" s="53"/>
      <c r="H20" s="53">
        <f t="array" ref="H20">sum(1/countif(H5:H18,H5:H18))</f>
        <v>14</v>
      </c>
      <c r="I20" s="53">
        <f t="array" ref="I20">sum(1/countif(I5:I16,I5:I16))</f>
        <v>6</v>
      </c>
      <c r="J20" s="53"/>
    </row>
  </sheetData>
  <mergeCells count="5">
    <mergeCell ref="A1:J1"/>
    <mergeCell ref="A2:J2"/>
    <mergeCell ref="A3:J3"/>
    <mergeCell ref="A19:B19"/>
    <mergeCell ref="A20:B2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0" t="s">
        <v>15</v>
      </c>
      <c r="D5" s="17">
        <v>12185.0</v>
      </c>
      <c r="E5" s="36" t="s">
        <v>7499</v>
      </c>
      <c r="F5" s="48" t="s">
        <v>7500</v>
      </c>
      <c r="G5" s="36" t="s">
        <v>7501</v>
      </c>
      <c r="H5" s="36" t="s">
        <v>7502</v>
      </c>
      <c r="I5" s="36" t="s">
        <v>7503</v>
      </c>
      <c r="J5" s="39" t="s">
        <v>7504</v>
      </c>
    </row>
    <row r="6" ht="26.25" customHeight="1">
      <c r="A6" s="12" t="s">
        <v>80</v>
      </c>
      <c r="B6" s="17">
        <v>2025.0</v>
      </c>
      <c r="C6" s="42" t="s">
        <v>19</v>
      </c>
      <c r="D6" s="15">
        <v>11916.0</v>
      </c>
      <c r="E6" s="49" t="s">
        <v>7505</v>
      </c>
      <c r="F6" s="54" t="s">
        <v>7506</v>
      </c>
      <c r="G6" s="36" t="s">
        <v>7507</v>
      </c>
      <c r="H6" s="49" t="s">
        <v>7508</v>
      </c>
      <c r="I6" s="55" t="s">
        <v>7503</v>
      </c>
      <c r="J6" s="39" t="s">
        <v>7509</v>
      </c>
    </row>
    <row r="7" ht="26.25" customHeight="1">
      <c r="A7" s="163" t="s">
        <v>222</v>
      </c>
      <c r="C7" s="53"/>
      <c r="D7" s="53"/>
      <c r="E7" s="53" t="str">
        <f t="array" ref="E7">sum(1/countif(E7,E7))</f>
        <v>#REF!</v>
      </c>
      <c r="F7" s="53"/>
      <c r="G7" s="53"/>
      <c r="H7" s="53" t="str">
        <f t="array" ref="H7">sum(1/countif(H7,H7))</f>
        <v>#REF!</v>
      </c>
      <c r="I7" s="53">
        <v>0.0</v>
      </c>
      <c r="J7" s="53"/>
    </row>
    <row r="8" ht="26.25" customHeight="1">
      <c r="A8" s="163" t="s">
        <v>7323</v>
      </c>
      <c r="C8" s="53"/>
      <c r="D8" s="53"/>
      <c r="E8" s="53">
        <f t="array" ref="E8">sum(1/countif(E5:E6,E5:E6))</f>
        <v>2</v>
      </c>
      <c r="F8" s="53"/>
      <c r="G8" s="53"/>
      <c r="H8" s="53">
        <f t="array" ref="H8">sum(1/countif(H5:H6,H5:H6))</f>
        <v>2</v>
      </c>
      <c r="I8" s="53">
        <f t="array" ref="I8">sum(1/countif(I6,I6))</f>
        <v>1</v>
      </c>
      <c r="J8" s="53"/>
    </row>
  </sheetData>
  <mergeCells count="5">
    <mergeCell ref="A1:J1"/>
    <mergeCell ref="A2:J2"/>
    <mergeCell ref="A3:J3"/>
    <mergeCell ref="A7:B7"/>
    <mergeCell ref="A8:B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2" t="s">
        <v>11</v>
      </c>
      <c r="D5" s="44"/>
      <c r="E5" s="45"/>
      <c r="F5" s="164"/>
      <c r="G5" s="45"/>
      <c r="H5" s="36"/>
      <c r="I5" s="38"/>
      <c r="J5" s="38"/>
    </row>
    <row r="6" ht="26.25" customHeight="1">
      <c r="A6" s="163" t="s">
        <v>222</v>
      </c>
      <c r="C6" s="53"/>
      <c r="D6" s="53"/>
      <c r="E6" s="53">
        <v>0.0</v>
      </c>
      <c r="F6" s="53"/>
      <c r="G6" s="53"/>
      <c r="H6" s="53">
        <v>0.0</v>
      </c>
      <c r="I6" s="53">
        <v>0.0</v>
      </c>
      <c r="J6" s="53"/>
    </row>
    <row r="7" ht="26.25" customHeight="1">
      <c r="A7" s="163" t="s">
        <v>7323</v>
      </c>
      <c r="C7" s="53"/>
      <c r="D7" s="53"/>
      <c r="E7" s="53">
        <v>0.0</v>
      </c>
      <c r="F7" s="53"/>
      <c r="G7" s="53"/>
      <c r="H7" s="53">
        <v>0.0</v>
      </c>
      <c r="I7" s="53">
        <v>0.0</v>
      </c>
      <c r="J7" s="53"/>
    </row>
  </sheetData>
  <mergeCells count="5">
    <mergeCell ref="A1:J1"/>
    <mergeCell ref="A2:J2"/>
    <mergeCell ref="A3:J3"/>
    <mergeCell ref="A6:B6"/>
    <mergeCell ref="A7:B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2" t="s">
        <v>11</v>
      </c>
      <c r="D5" s="44"/>
      <c r="E5" s="45"/>
      <c r="F5" s="164"/>
      <c r="G5" s="45"/>
      <c r="H5" s="36"/>
      <c r="I5" s="38"/>
      <c r="J5" s="38"/>
    </row>
    <row r="6" ht="26.25" customHeight="1">
      <c r="A6" s="163" t="s">
        <v>222</v>
      </c>
      <c r="C6" s="53"/>
      <c r="D6" s="53"/>
      <c r="E6" s="53">
        <v>0.0</v>
      </c>
      <c r="F6" s="53"/>
      <c r="G6" s="53"/>
      <c r="H6" s="53">
        <v>0.0</v>
      </c>
      <c r="I6" s="53">
        <v>0.0</v>
      </c>
      <c r="J6" s="53"/>
    </row>
    <row r="7" ht="26.25" customHeight="1">
      <c r="A7" s="163" t="s">
        <v>7323</v>
      </c>
      <c r="C7" s="53"/>
      <c r="D7" s="53"/>
      <c r="E7" s="53">
        <v>0.0</v>
      </c>
      <c r="F7" s="53"/>
      <c r="G7" s="53"/>
      <c r="H7" s="53">
        <v>0.0</v>
      </c>
      <c r="I7" s="53">
        <v>0.0</v>
      </c>
      <c r="J7" s="53"/>
    </row>
  </sheetData>
  <mergeCells count="5">
    <mergeCell ref="A1:J1"/>
    <mergeCell ref="A2:J2"/>
    <mergeCell ref="A3:J3"/>
    <mergeCell ref="A6:B6"/>
    <mergeCell ref="A7:B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2" t="s">
        <v>11</v>
      </c>
      <c r="D5" s="44"/>
      <c r="E5" s="45"/>
      <c r="F5" s="164"/>
      <c r="G5" s="45"/>
      <c r="H5" s="36"/>
      <c r="I5" s="38"/>
      <c r="J5" s="38"/>
    </row>
    <row r="6" ht="26.25" customHeight="1">
      <c r="A6" s="163" t="s">
        <v>222</v>
      </c>
      <c r="C6" s="53"/>
      <c r="D6" s="53"/>
      <c r="E6" s="53">
        <v>0.0</v>
      </c>
      <c r="F6" s="53"/>
      <c r="G6" s="53"/>
      <c r="H6" s="53">
        <v>0.0</v>
      </c>
      <c r="I6" s="53">
        <v>0.0</v>
      </c>
      <c r="J6" s="53"/>
    </row>
    <row r="7" ht="26.25" customHeight="1">
      <c r="A7" s="163" t="s">
        <v>7323</v>
      </c>
      <c r="C7" s="53"/>
      <c r="D7" s="53"/>
      <c r="E7" s="53">
        <v>0.0</v>
      </c>
      <c r="F7" s="53"/>
      <c r="G7" s="53"/>
      <c r="H7" s="53">
        <v>0.0</v>
      </c>
      <c r="I7" s="53">
        <v>0.0</v>
      </c>
      <c r="J7" s="53"/>
    </row>
  </sheetData>
  <mergeCells count="5">
    <mergeCell ref="A1:J1"/>
    <mergeCell ref="A2:J2"/>
    <mergeCell ref="A3:J3"/>
    <mergeCell ref="A6:B6"/>
    <mergeCell ref="A7:B7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2024.0</v>
      </c>
      <c r="C5" s="42" t="s">
        <v>11</v>
      </c>
      <c r="D5" s="44"/>
      <c r="E5" s="45"/>
      <c r="F5" s="164"/>
      <c r="G5" s="45"/>
      <c r="H5" s="36"/>
      <c r="I5" s="38"/>
      <c r="J5" s="38"/>
    </row>
    <row r="6" ht="26.25" customHeight="1">
      <c r="A6" s="163" t="s">
        <v>222</v>
      </c>
      <c r="C6" s="53"/>
      <c r="D6" s="53"/>
      <c r="E6" s="53">
        <v>0.0</v>
      </c>
      <c r="F6" s="53"/>
      <c r="G6" s="53"/>
      <c r="H6" s="53">
        <v>0.0</v>
      </c>
      <c r="I6" s="53">
        <v>0.0</v>
      </c>
      <c r="J6" s="53"/>
    </row>
    <row r="7" ht="26.25" customHeight="1">
      <c r="A7" s="163" t="s">
        <v>7323</v>
      </c>
      <c r="C7" s="53"/>
      <c r="D7" s="53"/>
      <c r="E7" s="53">
        <v>0.0</v>
      </c>
      <c r="F7" s="53"/>
      <c r="G7" s="53"/>
      <c r="H7" s="53">
        <v>0.0</v>
      </c>
      <c r="I7" s="53">
        <v>0.0</v>
      </c>
      <c r="J7" s="53"/>
    </row>
  </sheetData>
  <mergeCells count="5">
    <mergeCell ref="A1:J1"/>
    <mergeCell ref="A2:J2"/>
    <mergeCell ref="A3:J3"/>
    <mergeCell ref="A6:B6"/>
    <mergeCell ref="A7:B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17">
        <v>2022.0</v>
      </c>
      <c r="C5" s="40" t="s">
        <v>11</v>
      </c>
      <c r="D5" s="40">
        <v>2383.0</v>
      </c>
      <c r="E5" s="39" t="s">
        <v>7510</v>
      </c>
      <c r="F5" s="40" t="s">
        <v>7511</v>
      </c>
      <c r="G5" s="39" t="s">
        <v>7512</v>
      </c>
      <c r="H5" s="39" t="s">
        <v>7513</v>
      </c>
      <c r="I5" s="39" t="s">
        <v>7514</v>
      </c>
      <c r="J5" s="39" t="s">
        <v>7515</v>
      </c>
    </row>
    <row r="6" ht="26.25" customHeight="1">
      <c r="A6" s="12" t="s">
        <v>80</v>
      </c>
      <c r="B6" s="17">
        <v>2022.0</v>
      </c>
      <c r="C6" s="40" t="s">
        <v>11</v>
      </c>
      <c r="D6" s="40">
        <v>3542.0</v>
      </c>
      <c r="E6" s="39" t="s">
        <v>121</v>
      </c>
      <c r="F6" s="35" t="s">
        <v>7516</v>
      </c>
      <c r="G6" s="39" t="s">
        <v>7517</v>
      </c>
      <c r="H6" s="37" t="s">
        <v>7518</v>
      </c>
      <c r="I6" s="39" t="s">
        <v>7519</v>
      </c>
      <c r="J6" s="39" t="s">
        <v>7520</v>
      </c>
    </row>
    <row r="7" ht="26.25" customHeight="1">
      <c r="A7" s="12" t="s">
        <v>87</v>
      </c>
      <c r="B7" s="17">
        <v>2022.0</v>
      </c>
      <c r="C7" s="40" t="s">
        <v>12</v>
      </c>
      <c r="D7" s="40">
        <v>4617.0</v>
      </c>
      <c r="E7" s="39" t="s">
        <v>7521</v>
      </c>
      <c r="F7" s="40" t="s">
        <v>7522</v>
      </c>
      <c r="G7" s="39" t="s">
        <v>7523</v>
      </c>
      <c r="H7" s="39" t="s">
        <v>7524</v>
      </c>
      <c r="I7" s="39" t="s">
        <v>7525</v>
      </c>
      <c r="J7" s="39" t="s">
        <v>7526</v>
      </c>
    </row>
    <row r="8" ht="26.25" customHeight="1">
      <c r="A8" s="12" t="s">
        <v>94</v>
      </c>
      <c r="B8" s="17">
        <v>2022.0</v>
      </c>
      <c r="C8" s="40" t="s">
        <v>13</v>
      </c>
      <c r="D8" s="40">
        <v>2342.0</v>
      </c>
      <c r="E8" s="39" t="s">
        <v>7527</v>
      </c>
      <c r="F8" s="40" t="s">
        <v>7528</v>
      </c>
      <c r="G8" s="39" t="s">
        <v>7529</v>
      </c>
      <c r="H8" s="39" t="s">
        <v>7530</v>
      </c>
      <c r="I8" s="39" t="s">
        <v>7514</v>
      </c>
      <c r="J8" s="39" t="s">
        <v>7531</v>
      </c>
    </row>
    <row r="9" ht="26.25" customHeight="1">
      <c r="A9" s="12" t="s">
        <v>101</v>
      </c>
      <c r="B9" s="17">
        <v>2022.0</v>
      </c>
      <c r="C9" s="40" t="s">
        <v>14</v>
      </c>
      <c r="D9" s="40">
        <v>4704.0</v>
      </c>
      <c r="E9" s="39" t="s">
        <v>7532</v>
      </c>
      <c r="F9" s="40" t="s">
        <v>7533</v>
      </c>
      <c r="G9" s="39" t="s">
        <v>7534</v>
      </c>
      <c r="H9" s="39" t="s">
        <v>7535</v>
      </c>
      <c r="I9" s="39" t="s">
        <v>7536</v>
      </c>
      <c r="J9" s="39" t="s">
        <v>7537</v>
      </c>
    </row>
    <row r="10" ht="26.25" customHeight="1">
      <c r="A10" s="12" t="s">
        <v>108</v>
      </c>
      <c r="B10" s="17">
        <v>2022.0</v>
      </c>
      <c r="C10" s="40" t="s">
        <v>14</v>
      </c>
      <c r="D10" s="40">
        <v>5283.0</v>
      </c>
      <c r="E10" s="39" t="s">
        <v>7538</v>
      </c>
      <c r="F10" s="41" t="s">
        <v>7539</v>
      </c>
      <c r="G10" s="39" t="s">
        <v>7540</v>
      </c>
      <c r="H10" s="39" t="s">
        <v>7541</v>
      </c>
      <c r="I10" s="39" t="s">
        <v>7542</v>
      </c>
      <c r="J10" s="39" t="s">
        <v>7543</v>
      </c>
    </row>
    <row r="11" ht="26.25" customHeight="1">
      <c r="A11" s="12" t="s">
        <v>113</v>
      </c>
      <c r="B11" s="17">
        <v>2022.0</v>
      </c>
      <c r="C11" s="40" t="s">
        <v>16</v>
      </c>
      <c r="D11" s="40">
        <v>6084.0</v>
      </c>
      <c r="E11" s="39" t="s">
        <v>7544</v>
      </c>
      <c r="F11" s="41" t="s">
        <v>7545</v>
      </c>
      <c r="G11" s="39" t="s">
        <v>7546</v>
      </c>
      <c r="H11" s="39" t="s">
        <v>7547</v>
      </c>
      <c r="I11" s="39" t="s">
        <v>7548</v>
      </c>
      <c r="J11" s="39" t="s">
        <v>7549</v>
      </c>
    </row>
    <row r="12" ht="26.25" customHeight="1">
      <c r="A12" s="12" t="s">
        <v>120</v>
      </c>
      <c r="B12" s="17">
        <v>2023.0</v>
      </c>
      <c r="C12" s="40" t="s">
        <v>12</v>
      </c>
      <c r="D12" s="40">
        <v>8212.0</v>
      </c>
      <c r="E12" s="39" t="s">
        <v>7550</v>
      </c>
      <c r="F12" s="41" t="s">
        <v>7551</v>
      </c>
      <c r="G12" s="39" t="s">
        <v>7552</v>
      </c>
      <c r="H12" s="39" t="s">
        <v>7553</v>
      </c>
      <c r="I12" s="39" t="s">
        <v>7548</v>
      </c>
      <c r="J12" s="39" t="s">
        <v>7554</v>
      </c>
    </row>
    <row r="13" ht="26.25" customHeight="1">
      <c r="A13" s="12" t="s">
        <v>126</v>
      </c>
      <c r="B13" s="17">
        <v>2023.0</v>
      </c>
      <c r="C13" s="40" t="s">
        <v>15</v>
      </c>
      <c r="D13" s="17">
        <v>8835.0</v>
      </c>
      <c r="E13" s="36" t="s">
        <v>7555</v>
      </c>
      <c r="F13" s="48" t="s">
        <v>7556</v>
      </c>
      <c r="G13" s="39" t="s">
        <v>7557</v>
      </c>
      <c r="H13" s="37" t="s">
        <v>7558</v>
      </c>
      <c r="I13" s="39" t="s">
        <v>7559</v>
      </c>
      <c r="J13" s="39" t="s">
        <v>7560</v>
      </c>
    </row>
    <row r="14" ht="26.25" customHeight="1">
      <c r="A14" s="12" t="s">
        <v>132</v>
      </c>
      <c r="B14" s="17">
        <v>2023.0</v>
      </c>
      <c r="C14" s="40" t="s">
        <v>19</v>
      </c>
      <c r="D14" s="40">
        <v>10088.0</v>
      </c>
      <c r="E14" s="37" t="s">
        <v>7561</v>
      </c>
      <c r="F14" s="41" t="s">
        <v>7562</v>
      </c>
      <c r="G14" s="39" t="s">
        <v>7563</v>
      </c>
      <c r="H14" s="37" t="s">
        <v>7564</v>
      </c>
      <c r="I14" s="39" t="s">
        <v>7559</v>
      </c>
      <c r="J14" s="39" t="s">
        <v>7565</v>
      </c>
    </row>
    <row r="15" ht="26.25" customHeight="1">
      <c r="A15" s="12" t="s">
        <v>138</v>
      </c>
      <c r="B15" s="17">
        <v>2023.0</v>
      </c>
      <c r="C15" s="42" t="s">
        <v>22</v>
      </c>
      <c r="D15" s="17">
        <v>9542.0</v>
      </c>
      <c r="E15" s="36" t="s">
        <v>7566</v>
      </c>
      <c r="F15" s="43" t="s">
        <v>7567</v>
      </c>
      <c r="G15" s="36" t="s">
        <v>7568</v>
      </c>
      <c r="H15" s="36" t="s">
        <v>7569</v>
      </c>
      <c r="I15" s="38" t="s">
        <v>7570</v>
      </c>
      <c r="J15" s="38" t="s">
        <v>7571</v>
      </c>
    </row>
    <row r="16" ht="26.25" customHeight="1">
      <c r="A16" s="12" t="s">
        <v>144</v>
      </c>
      <c r="B16" s="17">
        <v>2024.0</v>
      </c>
      <c r="C16" s="42" t="s">
        <v>21</v>
      </c>
      <c r="D16" s="15">
        <v>8719.0</v>
      </c>
      <c r="E16" s="49" t="s">
        <v>7572</v>
      </c>
      <c r="F16" s="50" t="s">
        <v>7573</v>
      </c>
      <c r="G16" s="36" t="s">
        <v>7574</v>
      </c>
      <c r="H16" s="49" t="s">
        <v>7575</v>
      </c>
      <c r="I16" s="49" t="s">
        <v>7559</v>
      </c>
      <c r="J16" s="38" t="s">
        <v>7576</v>
      </c>
    </row>
    <row r="17" ht="26.25" customHeight="1">
      <c r="A17" s="12" t="s">
        <v>146</v>
      </c>
      <c r="B17" s="17">
        <v>2025.0</v>
      </c>
      <c r="C17" s="42" t="s">
        <v>11</v>
      </c>
      <c r="D17" s="15">
        <v>14508.0</v>
      </c>
      <c r="E17" s="49" t="s">
        <v>7577</v>
      </c>
      <c r="F17" s="50" t="s">
        <v>7578</v>
      </c>
      <c r="G17" s="36" t="s">
        <v>7579</v>
      </c>
      <c r="H17" s="49" t="s">
        <v>7580</v>
      </c>
      <c r="I17" s="49" t="s">
        <v>7548</v>
      </c>
      <c r="J17" s="38" t="s">
        <v>7581</v>
      </c>
    </row>
    <row r="18" ht="26.25" customHeight="1">
      <c r="A18" s="12" t="s">
        <v>151</v>
      </c>
      <c r="B18" s="17">
        <v>2025.0</v>
      </c>
      <c r="C18" s="42" t="s">
        <v>12</v>
      </c>
      <c r="D18" s="15">
        <v>8212.0</v>
      </c>
      <c r="E18" s="49" t="s">
        <v>7582</v>
      </c>
      <c r="F18" s="50" t="s">
        <v>7551</v>
      </c>
      <c r="G18" s="36" t="s">
        <v>7552</v>
      </c>
      <c r="H18" s="49" t="s">
        <v>7583</v>
      </c>
      <c r="I18" s="49" t="s">
        <v>7548</v>
      </c>
      <c r="J18" s="38" t="s">
        <v>7584</v>
      </c>
    </row>
    <row r="19" ht="26.25" customHeight="1">
      <c r="A19" s="12" t="s">
        <v>153</v>
      </c>
      <c r="B19" s="17">
        <v>2025.0</v>
      </c>
      <c r="C19" s="42" t="s">
        <v>1157</v>
      </c>
      <c r="D19" s="15">
        <v>15518.0</v>
      </c>
      <c r="E19" s="77" t="s">
        <v>7585</v>
      </c>
      <c r="F19" s="54" t="s">
        <v>7586</v>
      </c>
      <c r="G19" s="36" t="s">
        <v>7587</v>
      </c>
      <c r="H19" s="49" t="s">
        <v>7588</v>
      </c>
      <c r="I19" s="49" t="s">
        <v>7589</v>
      </c>
      <c r="J19" s="38" t="s">
        <v>7590</v>
      </c>
    </row>
    <row r="20" ht="26.25" customHeight="1">
      <c r="A20" s="12" t="s">
        <v>159</v>
      </c>
      <c r="B20" s="17">
        <v>2025.0</v>
      </c>
      <c r="C20" s="42" t="s">
        <v>17</v>
      </c>
      <c r="D20" s="15">
        <v>15722.0</v>
      </c>
      <c r="E20" s="77" t="s">
        <v>7591</v>
      </c>
      <c r="F20" s="54" t="s">
        <v>7592</v>
      </c>
      <c r="G20" s="36" t="s">
        <v>7593</v>
      </c>
      <c r="H20" s="49" t="s">
        <v>7594</v>
      </c>
      <c r="I20" s="49" t="s">
        <v>7536</v>
      </c>
      <c r="J20" s="38" t="s">
        <v>7595</v>
      </c>
    </row>
    <row r="21" ht="26.25" customHeight="1">
      <c r="A21" s="12" t="s">
        <v>165</v>
      </c>
      <c r="B21" s="17">
        <v>2025.0</v>
      </c>
      <c r="C21" s="42" t="s">
        <v>6510</v>
      </c>
      <c r="D21" s="15">
        <v>15977.0</v>
      </c>
      <c r="E21" s="49" t="s">
        <v>7596</v>
      </c>
      <c r="F21" s="54" t="s">
        <v>7597</v>
      </c>
      <c r="G21" s="36" t="s">
        <v>7598</v>
      </c>
      <c r="H21" s="49" t="s">
        <v>7599</v>
      </c>
      <c r="I21" s="49" t="s">
        <v>7559</v>
      </c>
      <c r="J21" s="38" t="s">
        <v>7600</v>
      </c>
    </row>
    <row r="22" ht="26.25" customHeight="1">
      <c r="A22" s="12" t="s">
        <v>171</v>
      </c>
      <c r="B22" s="17">
        <v>2026.0</v>
      </c>
      <c r="C22" s="42" t="s">
        <v>11</v>
      </c>
      <c r="D22" s="15">
        <v>17138.0</v>
      </c>
      <c r="E22" s="49" t="s">
        <v>7601</v>
      </c>
      <c r="F22" s="54" t="s">
        <v>7602</v>
      </c>
      <c r="G22" s="36" t="s">
        <v>7603</v>
      </c>
      <c r="H22" s="160" t="s">
        <v>7604</v>
      </c>
      <c r="I22" s="49" t="s">
        <v>7605</v>
      </c>
      <c r="J22" s="38" t="s">
        <v>7606</v>
      </c>
    </row>
    <row r="23" ht="26.25" customHeight="1">
      <c r="A23" s="12" t="s">
        <v>173</v>
      </c>
      <c r="B23" s="17">
        <v>2026.0</v>
      </c>
      <c r="C23" s="79" t="s">
        <v>14</v>
      </c>
      <c r="D23" s="15">
        <v>17863.0</v>
      </c>
      <c r="E23" s="49" t="s">
        <v>7607</v>
      </c>
      <c r="F23" s="54" t="s">
        <v>7608</v>
      </c>
      <c r="G23" s="157" t="s">
        <v>7609</v>
      </c>
      <c r="H23" s="130" t="s">
        <v>7610</v>
      </c>
      <c r="I23" s="49" t="s">
        <v>7559</v>
      </c>
      <c r="J23" s="96" t="s">
        <v>7611</v>
      </c>
    </row>
    <row r="24" ht="26.25" customHeight="1">
      <c r="A24" s="163" t="s">
        <v>222</v>
      </c>
      <c r="C24" s="53"/>
      <c r="D24" s="53"/>
      <c r="E24" s="53">
        <f t="array" ref="E24">sum(1/countif(E23,E23))</f>
        <v>1</v>
      </c>
      <c r="F24" s="53"/>
      <c r="G24" s="53"/>
      <c r="H24" s="53">
        <f t="array" ref="H24">sum(1/countif(H23,H23))</f>
        <v>1</v>
      </c>
      <c r="I24" s="53">
        <f t="array" ref="I24">sum(1/countif(I21,I21))</f>
        <v>1</v>
      </c>
      <c r="J24" s="53"/>
    </row>
    <row r="25" ht="26.25" customHeight="1">
      <c r="A25" s="163" t="s">
        <v>7323</v>
      </c>
      <c r="C25" s="53"/>
      <c r="D25" s="53"/>
      <c r="E25" s="53">
        <f t="array" ref="E25">sum(1/countif(E5:E24,E5:E24))</f>
        <v>20</v>
      </c>
      <c r="F25" s="53"/>
      <c r="G25" s="53"/>
      <c r="H25" s="53">
        <f t="array" ref="H25">sum(1/countif(H5:H24,H5:H24))</f>
        <v>20</v>
      </c>
      <c r="I25" s="53">
        <f t="array" ref="I25">sum(1/countif(I5:I21,I5:I21))</f>
        <v>8</v>
      </c>
      <c r="J25" s="53"/>
    </row>
  </sheetData>
  <mergeCells count="5">
    <mergeCell ref="A1:J1"/>
    <mergeCell ref="A2:J2"/>
    <mergeCell ref="A3:J3"/>
    <mergeCell ref="A24:B24"/>
    <mergeCell ref="A25:B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40" t="s">
        <v>21</v>
      </c>
      <c r="D5" s="40">
        <v>1330.0</v>
      </c>
      <c r="E5" s="39" t="s">
        <v>7612</v>
      </c>
      <c r="F5" s="40" t="s">
        <v>7613</v>
      </c>
      <c r="G5" s="39" t="s">
        <v>7614</v>
      </c>
      <c r="H5" s="39" t="s">
        <v>7615</v>
      </c>
      <c r="I5" s="39" t="s">
        <v>7616</v>
      </c>
      <c r="J5" s="39" t="s">
        <v>7617</v>
      </c>
    </row>
    <row r="6" ht="26.25" customHeight="1">
      <c r="A6" s="113" t="s">
        <v>80</v>
      </c>
      <c r="B6" s="35">
        <v>2022.0</v>
      </c>
      <c r="C6" s="40" t="s">
        <v>11</v>
      </c>
      <c r="D6" s="40">
        <v>3666.0</v>
      </c>
      <c r="E6" s="39" t="s">
        <v>7618</v>
      </c>
      <c r="F6" s="40" t="s">
        <v>7619</v>
      </c>
      <c r="G6" s="39" t="s">
        <v>7620</v>
      </c>
      <c r="H6" s="39" t="s">
        <v>7621</v>
      </c>
      <c r="I6" s="39" t="s">
        <v>7616</v>
      </c>
      <c r="J6" s="39" t="s">
        <v>7622</v>
      </c>
    </row>
    <row r="7" ht="26.25" customHeight="1">
      <c r="A7" s="12" t="s">
        <v>87</v>
      </c>
      <c r="B7" s="35">
        <v>2023.0</v>
      </c>
      <c r="C7" s="17" t="s">
        <v>20</v>
      </c>
      <c r="D7" s="17">
        <v>10409.0</v>
      </c>
      <c r="E7" s="36" t="s">
        <v>7623</v>
      </c>
      <c r="F7" s="43" t="s">
        <v>7624</v>
      </c>
      <c r="G7" s="39" t="s">
        <v>7625</v>
      </c>
      <c r="H7" s="36" t="s">
        <v>7626</v>
      </c>
      <c r="I7" s="39" t="s">
        <v>7616</v>
      </c>
      <c r="J7" s="39" t="s">
        <v>7627</v>
      </c>
    </row>
    <row r="8" ht="26.25" customHeight="1">
      <c r="A8" s="113" t="s">
        <v>94</v>
      </c>
      <c r="B8" s="35">
        <v>2024.0</v>
      </c>
      <c r="C8" s="35" t="s">
        <v>12</v>
      </c>
      <c r="D8" s="35">
        <v>10409.0</v>
      </c>
      <c r="E8" s="37" t="s">
        <v>7623</v>
      </c>
      <c r="F8" s="41" t="s">
        <v>7624</v>
      </c>
      <c r="G8" s="39" t="s">
        <v>7625</v>
      </c>
      <c r="H8" s="37" t="s">
        <v>7628</v>
      </c>
      <c r="I8" s="39" t="s">
        <v>7616</v>
      </c>
      <c r="J8" s="39" t="s">
        <v>7627</v>
      </c>
    </row>
    <row r="9" ht="26.25" customHeight="1">
      <c r="A9" s="12" t="s">
        <v>101</v>
      </c>
      <c r="B9" s="35">
        <v>2024.0</v>
      </c>
      <c r="C9" s="40" t="s">
        <v>12</v>
      </c>
      <c r="D9" s="40">
        <v>11065.0</v>
      </c>
      <c r="E9" s="39" t="s">
        <v>7629</v>
      </c>
      <c r="F9" s="41" t="s">
        <v>7630</v>
      </c>
      <c r="G9" s="39" t="s">
        <v>7631</v>
      </c>
      <c r="H9" s="39" t="s">
        <v>435</v>
      </c>
      <c r="I9" s="39" t="s">
        <v>7632</v>
      </c>
      <c r="J9" s="39" t="s">
        <v>7633</v>
      </c>
    </row>
    <row r="10" ht="26.25" customHeight="1">
      <c r="A10" s="113" t="s">
        <v>108</v>
      </c>
      <c r="B10" s="35">
        <v>2024.0</v>
      </c>
      <c r="C10" s="40" t="s">
        <v>15</v>
      </c>
      <c r="D10" s="35">
        <v>12143.0</v>
      </c>
      <c r="E10" s="37" t="s">
        <v>7634</v>
      </c>
      <c r="F10" s="72" t="s">
        <v>7635</v>
      </c>
      <c r="G10" s="37" t="s">
        <v>7501</v>
      </c>
      <c r="H10" s="37" t="s">
        <v>7636</v>
      </c>
      <c r="I10" s="37" t="s">
        <v>7616</v>
      </c>
      <c r="J10" s="39" t="s">
        <v>7504</v>
      </c>
    </row>
    <row r="11" ht="26.25" customHeight="1">
      <c r="A11" s="12" t="s">
        <v>113</v>
      </c>
      <c r="B11" s="35">
        <v>2024.0</v>
      </c>
      <c r="C11" s="40" t="s">
        <v>16</v>
      </c>
      <c r="D11" s="35">
        <v>12387.0</v>
      </c>
      <c r="E11" s="37" t="s">
        <v>7615</v>
      </c>
      <c r="F11" s="72" t="s">
        <v>7637</v>
      </c>
      <c r="G11" s="37" t="s">
        <v>7638</v>
      </c>
      <c r="H11" s="37" t="s">
        <v>435</v>
      </c>
      <c r="I11" s="37" t="s">
        <v>7616</v>
      </c>
      <c r="J11" s="39" t="s">
        <v>7639</v>
      </c>
    </row>
    <row r="12" ht="26.25" customHeight="1">
      <c r="A12" s="12" t="s">
        <v>120</v>
      </c>
      <c r="B12" s="35">
        <v>2024.0</v>
      </c>
      <c r="C12" s="42" t="s">
        <v>18</v>
      </c>
      <c r="D12" s="15">
        <v>12387.0</v>
      </c>
      <c r="E12" s="49" t="s">
        <v>7640</v>
      </c>
      <c r="F12" s="50" t="s">
        <v>7641</v>
      </c>
      <c r="G12" s="37" t="s">
        <v>7642</v>
      </c>
      <c r="H12" s="37" t="s">
        <v>7643</v>
      </c>
      <c r="I12" s="37" t="s">
        <v>7616</v>
      </c>
      <c r="J12" s="39" t="s">
        <v>7644</v>
      </c>
    </row>
    <row r="13" ht="26.25" customHeight="1">
      <c r="A13" s="12" t="s">
        <v>126</v>
      </c>
      <c r="B13" s="35">
        <v>2024.0</v>
      </c>
      <c r="C13" s="17" t="s">
        <v>20</v>
      </c>
      <c r="D13" s="15">
        <v>12143.0</v>
      </c>
      <c r="E13" s="49" t="s">
        <v>7634</v>
      </c>
      <c r="F13" s="50" t="s">
        <v>7635</v>
      </c>
      <c r="G13" s="37" t="s">
        <v>7645</v>
      </c>
      <c r="H13" s="49" t="s">
        <v>7646</v>
      </c>
      <c r="I13" s="49" t="s">
        <v>7616</v>
      </c>
      <c r="J13" s="39" t="s">
        <v>7647</v>
      </c>
    </row>
    <row r="14" ht="26.25" customHeight="1">
      <c r="A14" s="12" t="s">
        <v>132</v>
      </c>
      <c r="B14" s="35">
        <v>2024.0</v>
      </c>
      <c r="C14" s="17" t="s">
        <v>21</v>
      </c>
      <c r="D14" s="15">
        <v>10409.0</v>
      </c>
      <c r="E14" s="49" t="s">
        <v>7648</v>
      </c>
      <c r="F14" s="50" t="s">
        <v>7624</v>
      </c>
      <c r="G14" s="37" t="s">
        <v>7625</v>
      </c>
      <c r="H14" s="49" t="s">
        <v>7649</v>
      </c>
      <c r="I14" s="49" t="s">
        <v>7616</v>
      </c>
      <c r="J14" s="39" t="s">
        <v>7627</v>
      </c>
    </row>
    <row r="15" ht="26.25" customHeight="1">
      <c r="A15" s="163" t="s">
        <v>222</v>
      </c>
      <c r="C15" s="53"/>
      <c r="D15" s="53"/>
      <c r="E15" s="53" t="str">
        <f t="array" ref="E15">sum(1/countif(E15,E15))</f>
        <v>#REF!</v>
      </c>
      <c r="F15" s="53"/>
      <c r="G15" s="53"/>
      <c r="H15" s="53" t="str">
        <f t="array" ref="H15">sum(1/countif(H15,H15))</f>
        <v>#REF!</v>
      </c>
      <c r="I15" s="53">
        <v>0.0</v>
      </c>
      <c r="J15" s="53"/>
    </row>
    <row r="16" ht="26.25" customHeight="1">
      <c r="A16" s="163" t="s">
        <v>7323</v>
      </c>
      <c r="C16" s="53"/>
      <c r="D16" s="53"/>
      <c r="E16" s="53">
        <f t="array" ref="E16">sum(1/countif(E5:E14,E5:E14))</f>
        <v>8</v>
      </c>
      <c r="F16" s="53"/>
      <c r="G16" s="53"/>
      <c r="H16" s="53">
        <f t="array" ref="H16">sum(1/countif(H5:H14,H5:H14))</f>
        <v>9</v>
      </c>
      <c r="I16" s="53">
        <f t="array" ref="I16">sum(1/countif(I5:I14,I5:I14))</f>
        <v>2</v>
      </c>
      <c r="J16" s="53"/>
    </row>
  </sheetData>
  <mergeCells count="5">
    <mergeCell ref="A1:J1"/>
    <mergeCell ref="A2:J2"/>
    <mergeCell ref="A3:J3"/>
    <mergeCell ref="A15:B15"/>
    <mergeCell ref="A16:B1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15</v>
      </c>
      <c r="D5" s="35">
        <v>442.0</v>
      </c>
      <c r="E5" s="37" t="s">
        <v>7650</v>
      </c>
      <c r="F5" s="35" t="s">
        <v>7651</v>
      </c>
      <c r="G5" s="37" t="s">
        <v>7652</v>
      </c>
      <c r="H5" s="36" t="s">
        <v>7653</v>
      </c>
      <c r="I5" s="39" t="s">
        <v>7654</v>
      </c>
      <c r="J5" s="39" t="s">
        <v>7655</v>
      </c>
    </row>
    <row r="6" ht="26.25" customHeight="1">
      <c r="A6" s="12" t="s">
        <v>80</v>
      </c>
      <c r="B6" s="35">
        <v>2021.0</v>
      </c>
      <c r="C6" s="35" t="s">
        <v>15</v>
      </c>
      <c r="D6" s="35">
        <v>676.0</v>
      </c>
      <c r="E6" s="37" t="s">
        <v>7656</v>
      </c>
      <c r="F6" s="35" t="s">
        <v>7657</v>
      </c>
      <c r="G6" s="37" t="s">
        <v>7658</v>
      </c>
      <c r="H6" s="36" t="s">
        <v>7659</v>
      </c>
      <c r="I6" s="39" t="s">
        <v>7660</v>
      </c>
      <c r="J6" s="39" t="s">
        <v>7661</v>
      </c>
    </row>
    <row r="7" ht="26.25" customHeight="1">
      <c r="A7" s="12" t="s">
        <v>87</v>
      </c>
      <c r="B7" s="35">
        <v>2021.0</v>
      </c>
      <c r="C7" s="35" t="s">
        <v>16</v>
      </c>
      <c r="D7" s="35">
        <v>1183.0</v>
      </c>
      <c r="E7" s="37" t="s">
        <v>7662</v>
      </c>
      <c r="F7" s="72" t="s">
        <v>7663</v>
      </c>
      <c r="G7" s="37" t="s">
        <v>7664</v>
      </c>
      <c r="H7" s="36" t="s">
        <v>7665</v>
      </c>
      <c r="I7" s="39" t="s">
        <v>7660</v>
      </c>
      <c r="J7" s="39" t="s">
        <v>7666</v>
      </c>
    </row>
    <row r="8" ht="26.25" customHeight="1">
      <c r="A8" s="12" t="s">
        <v>94</v>
      </c>
      <c r="B8" s="35">
        <v>2021.0</v>
      </c>
      <c r="C8" s="35" t="s">
        <v>17</v>
      </c>
      <c r="D8" s="35">
        <v>1501.0</v>
      </c>
      <c r="E8" s="37" t="s">
        <v>7667</v>
      </c>
      <c r="F8" s="72" t="s">
        <v>7668</v>
      </c>
      <c r="G8" s="37" t="s">
        <v>7669</v>
      </c>
      <c r="H8" s="36" t="s">
        <v>7670</v>
      </c>
      <c r="I8" s="39" t="s">
        <v>7671</v>
      </c>
      <c r="J8" s="39" t="s">
        <v>7672</v>
      </c>
    </row>
    <row r="9" ht="26.25" customHeight="1">
      <c r="A9" s="12" t="s">
        <v>101</v>
      </c>
      <c r="B9" s="35">
        <v>2021.0</v>
      </c>
      <c r="C9" s="40" t="s">
        <v>18</v>
      </c>
      <c r="D9" s="40">
        <v>1508.0</v>
      </c>
      <c r="E9" s="39" t="s">
        <v>7673</v>
      </c>
      <c r="F9" s="40" t="s">
        <v>7674</v>
      </c>
      <c r="G9" s="39" t="s">
        <v>7675</v>
      </c>
      <c r="H9" s="38" t="s">
        <v>7676</v>
      </c>
      <c r="I9" s="39" t="s">
        <v>7677</v>
      </c>
      <c r="J9" s="39" t="s">
        <v>7678</v>
      </c>
    </row>
    <row r="10" ht="26.25" customHeight="1">
      <c r="A10" s="12" t="s">
        <v>108</v>
      </c>
      <c r="B10" s="35">
        <v>2021.0</v>
      </c>
      <c r="C10" s="40" t="s">
        <v>20</v>
      </c>
      <c r="D10" s="40">
        <v>2749.0</v>
      </c>
      <c r="E10" s="39" t="s">
        <v>7679</v>
      </c>
      <c r="F10" s="40" t="s">
        <v>7680</v>
      </c>
      <c r="G10" s="39" t="s">
        <v>7681</v>
      </c>
      <c r="H10" s="38" t="s">
        <v>7682</v>
      </c>
      <c r="I10" s="39" t="s">
        <v>7660</v>
      </c>
      <c r="J10" s="39" t="s">
        <v>7683</v>
      </c>
    </row>
    <row r="11" ht="26.25" customHeight="1">
      <c r="A11" s="12" t="s">
        <v>113</v>
      </c>
      <c r="B11" s="35">
        <v>2021.0</v>
      </c>
      <c r="C11" s="40" t="s">
        <v>21</v>
      </c>
      <c r="D11" s="40">
        <v>3230.0</v>
      </c>
      <c r="E11" s="39" t="s">
        <v>7684</v>
      </c>
      <c r="F11" s="40" t="s">
        <v>7685</v>
      </c>
      <c r="G11" s="39" t="s">
        <v>7686</v>
      </c>
      <c r="H11" s="38" t="s">
        <v>7687</v>
      </c>
      <c r="I11" s="39" t="s">
        <v>7688</v>
      </c>
      <c r="J11" s="39" t="s">
        <v>7689</v>
      </c>
    </row>
    <row r="12" ht="26.25" customHeight="1">
      <c r="A12" s="12" t="s">
        <v>120</v>
      </c>
      <c r="B12" s="35">
        <v>2021.0</v>
      </c>
      <c r="C12" s="40" t="s">
        <v>21</v>
      </c>
      <c r="D12" s="40">
        <v>3178.0</v>
      </c>
      <c r="E12" s="39" t="s">
        <v>7690</v>
      </c>
      <c r="F12" s="40" t="s">
        <v>7691</v>
      </c>
      <c r="G12" s="39" t="s">
        <v>7692</v>
      </c>
      <c r="H12" s="38" t="s">
        <v>7693</v>
      </c>
      <c r="I12" s="39" t="s">
        <v>7660</v>
      </c>
      <c r="J12" s="39" t="s">
        <v>7694</v>
      </c>
    </row>
    <row r="13" ht="26.25" customHeight="1">
      <c r="A13" s="12" t="s">
        <v>126</v>
      </c>
      <c r="B13" s="35">
        <v>2021.0</v>
      </c>
      <c r="C13" s="40" t="s">
        <v>21</v>
      </c>
      <c r="D13" s="40">
        <v>3088.0</v>
      </c>
      <c r="E13" s="39" t="s">
        <v>7695</v>
      </c>
      <c r="F13" s="40" t="s">
        <v>7696</v>
      </c>
      <c r="G13" s="39" t="s">
        <v>7697</v>
      </c>
      <c r="H13" s="36" t="s">
        <v>7698</v>
      </c>
      <c r="I13" s="39" t="s">
        <v>7660</v>
      </c>
      <c r="J13" s="39" t="s">
        <v>7699</v>
      </c>
    </row>
    <row r="14" ht="26.25" customHeight="1">
      <c r="A14" s="12" t="s">
        <v>132</v>
      </c>
      <c r="B14" s="35">
        <v>2021.0</v>
      </c>
      <c r="C14" s="35" t="s">
        <v>22</v>
      </c>
      <c r="D14" s="35">
        <v>3765.0</v>
      </c>
      <c r="E14" s="37" t="s">
        <v>7700</v>
      </c>
      <c r="F14" s="40" t="s">
        <v>7701</v>
      </c>
      <c r="G14" s="39" t="s">
        <v>7702</v>
      </c>
      <c r="H14" s="38" t="s">
        <v>7703</v>
      </c>
      <c r="I14" s="39" t="s">
        <v>7660</v>
      </c>
      <c r="J14" s="39" t="s">
        <v>7704</v>
      </c>
    </row>
    <row r="15" ht="26.25" customHeight="1">
      <c r="A15" s="12" t="s">
        <v>138</v>
      </c>
      <c r="B15" s="35">
        <v>2021.0</v>
      </c>
      <c r="C15" s="35" t="s">
        <v>22</v>
      </c>
      <c r="D15" s="35">
        <v>3864.0</v>
      </c>
      <c r="E15" s="37" t="s">
        <v>7705</v>
      </c>
      <c r="F15" s="40" t="s">
        <v>7706</v>
      </c>
      <c r="G15" s="39" t="s">
        <v>7707</v>
      </c>
      <c r="H15" s="38" t="s">
        <v>7705</v>
      </c>
      <c r="I15" s="39" t="s">
        <v>7660</v>
      </c>
      <c r="J15" s="39" t="s">
        <v>7708</v>
      </c>
    </row>
    <row r="16" ht="26.25" customHeight="1">
      <c r="A16" s="12" t="s">
        <v>144</v>
      </c>
      <c r="B16" s="35">
        <v>2021.0</v>
      </c>
      <c r="C16" s="35" t="s">
        <v>22</v>
      </c>
      <c r="D16" s="35">
        <v>3697.0</v>
      </c>
      <c r="E16" s="37" t="s">
        <v>7709</v>
      </c>
      <c r="F16" s="40" t="s">
        <v>7710</v>
      </c>
      <c r="G16" s="39" t="s">
        <v>7711</v>
      </c>
      <c r="H16" s="38" t="s">
        <v>7712</v>
      </c>
      <c r="I16" s="39" t="s">
        <v>7713</v>
      </c>
      <c r="J16" s="39" t="s">
        <v>7714</v>
      </c>
    </row>
    <row r="17" ht="26.25" customHeight="1">
      <c r="A17" s="12" t="s">
        <v>146</v>
      </c>
      <c r="B17" s="35">
        <v>2021.0</v>
      </c>
      <c r="C17" s="35" t="s">
        <v>22</v>
      </c>
      <c r="D17" s="35">
        <v>3733.0</v>
      </c>
      <c r="E17" s="37" t="s">
        <v>7715</v>
      </c>
      <c r="F17" s="40" t="s">
        <v>7716</v>
      </c>
      <c r="G17" s="39" t="s">
        <v>7717</v>
      </c>
      <c r="H17" s="38" t="s">
        <v>7718</v>
      </c>
      <c r="I17" s="39" t="s">
        <v>7660</v>
      </c>
      <c r="J17" s="39" t="s">
        <v>7719</v>
      </c>
    </row>
    <row r="18" ht="26.25" customHeight="1">
      <c r="A18" s="12" t="s">
        <v>151</v>
      </c>
      <c r="B18" s="35">
        <v>2021.0</v>
      </c>
      <c r="C18" s="35" t="s">
        <v>22</v>
      </c>
      <c r="D18" s="35">
        <v>3413.0</v>
      </c>
      <c r="E18" s="37" t="s">
        <v>7720</v>
      </c>
      <c r="F18" s="35" t="s">
        <v>7721</v>
      </c>
      <c r="G18" s="39" t="s">
        <v>7722</v>
      </c>
      <c r="H18" s="36" t="s">
        <v>7723</v>
      </c>
      <c r="I18" s="39" t="s">
        <v>7654</v>
      </c>
      <c r="J18" s="39" t="s">
        <v>7724</v>
      </c>
    </row>
    <row r="19" ht="26.25" customHeight="1">
      <c r="A19" s="12" t="s">
        <v>153</v>
      </c>
      <c r="B19" s="17">
        <v>2022.0</v>
      </c>
      <c r="C19" s="40" t="s">
        <v>11</v>
      </c>
      <c r="D19" s="40">
        <v>4057.0</v>
      </c>
      <c r="E19" s="39" t="s">
        <v>7725</v>
      </c>
      <c r="F19" s="40" t="s">
        <v>7726</v>
      </c>
      <c r="G19" s="36" t="s">
        <v>7727</v>
      </c>
      <c r="H19" s="38" t="s">
        <v>7728</v>
      </c>
      <c r="I19" s="39" t="s">
        <v>7660</v>
      </c>
      <c r="J19" s="39" t="s">
        <v>7729</v>
      </c>
    </row>
    <row r="20" ht="26.25" customHeight="1">
      <c r="A20" s="12" t="s">
        <v>159</v>
      </c>
      <c r="B20" s="17">
        <v>2022.0</v>
      </c>
      <c r="C20" s="40" t="s">
        <v>11</v>
      </c>
      <c r="D20" s="40">
        <v>3178.0</v>
      </c>
      <c r="E20" s="39" t="s">
        <v>7690</v>
      </c>
      <c r="F20" s="40" t="s">
        <v>7691</v>
      </c>
      <c r="G20" s="39" t="s">
        <v>7692</v>
      </c>
      <c r="H20" s="38" t="s">
        <v>7730</v>
      </c>
      <c r="I20" s="39" t="s">
        <v>7660</v>
      </c>
      <c r="J20" s="39" t="s">
        <v>7694</v>
      </c>
    </row>
    <row r="21" ht="26.25" customHeight="1">
      <c r="A21" s="12" t="s">
        <v>165</v>
      </c>
      <c r="B21" s="17">
        <v>2022.0</v>
      </c>
      <c r="C21" s="40" t="s">
        <v>11</v>
      </c>
      <c r="D21" s="40">
        <v>3745.0</v>
      </c>
      <c r="E21" s="39" t="s">
        <v>7731</v>
      </c>
      <c r="F21" s="40" t="s">
        <v>7732</v>
      </c>
      <c r="G21" s="39" t="s">
        <v>7733</v>
      </c>
      <c r="H21" s="38" t="s">
        <v>7734</v>
      </c>
      <c r="I21" s="39" t="s">
        <v>7660</v>
      </c>
      <c r="J21" s="39" t="s">
        <v>7735</v>
      </c>
    </row>
    <row r="22" ht="26.25" customHeight="1">
      <c r="A22" s="12" t="s">
        <v>171</v>
      </c>
      <c r="B22" s="17">
        <v>2022.0</v>
      </c>
      <c r="C22" s="40" t="s">
        <v>11</v>
      </c>
      <c r="D22" s="40">
        <v>4311.0</v>
      </c>
      <c r="E22" s="39" t="s">
        <v>7736</v>
      </c>
      <c r="F22" s="40" t="s">
        <v>7737</v>
      </c>
      <c r="G22" s="39" t="s">
        <v>7738</v>
      </c>
      <c r="H22" s="38" t="s">
        <v>7739</v>
      </c>
      <c r="I22" s="39" t="s">
        <v>7740</v>
      </c>
      <c r="J22" s="39" t="s">
        <v>7741</v>
      </c>
    </row>
    <row r="23" ht="26.25" customHeight="1">
      <c r="A23" s="12" t="s">
        <v>173</v>
      </c>
      <c r="B23" s="17">
        <v>2022.0</v>
      </c>
      <c r="C23" s="40" t="s">
        <v>11</v>
      </c>
      <c r="D23" s="40">
        <v>4203.0</v>
      </c>
      <c r="E23" s="39" t="s">
        <v>7742</v>
      </c>
      <c r="F23" s="40" t="s">
        <v>7743</v>
      </c>
      <c r="G23" s="39" t="s">
        <v>7744</v>
      </c>
      <c r="H23" s="38" t="s">
        <v>7745</v>
      </c>
      <c r="I23" s="39" t="s">
        <v>7660</v>
      </c>
      <c r="J23" s="39" t="s">
        <v>7746</v>
      </c>
    </row>
    <row r="24" ht="26.25" customHeight="1">
      <c r="A24" s="12" t="s">
        <v>178</v>
      </c>
      <c r="B24" s="17">
        <v>2022.0</v>
      </c>
      <c r="C24" s="40" t="s">
        <v>12</v>
      </c>
      <c r="D24" s="40">
        <v>717.0</v>
      </c>
      <c r="E24" s="39" t="s">
        <v>7747</v>
      </c>
      <c r="F24" s="40" t="s">
        <v>7748</v>
      </c>
      <c r="G24" s="39" t="s">
        <v>7749</v>
      </c>
      <c r="H24" s="38" t="s">
        <v>7750</v>
      </c>
      <c r="I24" s="39" t="s">
        <v>7751</v>
      </c>
      <c r="J24" s="39" t="s">
        <v>7752</v>
      </c>
    </row>
    <row r="25" ht="26.25" customHeight="1">
      <c r="A25" s="12" t="s">
        <v>184</v>
      </c>
      <c r="B25" s="17">
        <v>2022.0</v>
      </c>
      <c r="C25" s="40" t="s">
        <v>12</v>
      </c>
      <c r="D25" s="40">
        <v>4350.0</v>
      </c>
      <c r="E25" s="39" t="s">
        <v>7753</v>
      </c>
      <c r="F25" s="40" t="s">
        <v>7754</v>
      </c>
      <c r="G25" s="39" t="s">
        <v>7755</v>
      </c>
      <c r="H25" s="38" t="s">
        <v>7756</v>
      </c>
      <c r="I25" s="39" t="s">
        <v>7660</v>
      </c>
      <c r="J25" s="39" t="s">
        <v>7757</v>
      </c>
    </row>
    <row r="26" ht="26.25" customHeight="1">
      <c r="A26" s="12" t="s">
        <v>190</v>
      </c>
      <c r="B26" s="17">
        <v>2022.0</v>
      </c>
      <c r="C26" s="40" t="s">
        <v>12</v>
      </c>
      <c r="D26" s="40">
        <v>4510.0</v>
      </c>
      <c r="E26" s="39" t="s">
        <v>7758</v>
      </c>
      <c r="F26" s="40" t="s">
        <v>7759</v>
      </c>
      <c r="G26" s="39" t="s">
        <v>7760</v>
      </c>
      <c r="H26" s="38" t="s">
        <v>7761</v>
      </c>
      <c r="I26" s="39" t="s">
        <v>7660</v>
      </c>
      <c r="J26" s="39" t="s">
        <v>7762</v>
      </c>
    </row>
    <row r="27" ht="26.25" customHeight="1">
      <c r="A27" s="12" t="s">
        <v>196</v>
      </c>
      <c r="B27" s="17">
        <v>2022.0</v>
      </c>
      <c r="C27" s="40" t="s">
        <v>12</v>
      </c>
      <c r="D27" s="40">
        <v>4572.0</v>
      </c>
      <c r="E27" s="39" t="s">
        <v>7763</v>
      </c>
      <c r="F27" s="40" t="s">
        <v>7764</v>
      </c>
      <c r="G27" s="39" t="s">
        <v>7765</v>
      </c>
      <c r="H27" s="38" t="s">
        <v>7766</v>
      </c>
      <c r="I27" s="39" t="s">
        <v>7660</v>
      </c>
      <c r="J27" s="39" t="s">
        <v>7767</v>
      </c>
    </row>
    <row r="28" ht="26.25" customHeight="1">
      <c r="A28" s="12" t="s">
        <v>202</v>
      </c>
      <c r="B28" s="17">
        <v>2022.0</v>
      </c>
      <c r="C28" s="40" t="s">
        <v>12</v>
      </c>
      <c r="D28" s="40">
        <v>4572.0</v>
      </c>
      <c r="E28" s="39" t="s">
        <v>7763</v>
      </c>
      <c r="F28" s="40" t="s">
        <v>7768</v>
      </c>
      <c r="G28" s="39" t="s">
        <v>7765</v>
      </c>
      <c r="H28" s="38" t="s">
        <v>7769</v>
      </c>
      <c r="I28" s="39" t="s">
        <v>7660</v>
      </c>
      <c r="J28" s="39" t="s">
        <v>7767</v>
      </c>
    </row>
    <row r="29" ht="26.25" customHeight="1">
      <c r="A29" s="12" t="s">
        <v>208</v>
      </c>
      <c r="B29" s="17">
        <v>2022.0</v>
      </c>
      <c r="C29" s="40" t="s">
        <v>12</v>
      </c>
      <c r="D29" s="40">
        <v>4628.0</v>
      </c>
      <c r="E29" s="39" t="s">
        <v>7770</v>
      </c>
      <c r="F29" s="40" t="s">
        <v>7771</v>
      </c>
      <c r="G29" s="39" t="s">
        <v>7772</v>
      </c>
      <c r="H29" s="38" t="s">
        <v>7773</v>
      </c>
      <c r="I29" s="39" t="s">
        <v>7774</v>
      </c>
      <c r="J29" s="39" t="s">
        <v>7775</v>
      </c>
    </row>
    <row r="30" ht="26.25" customHeight="1">
      <c r="A30" s="12" t="s">
        <v>213</v>
      </c>
      <c r="B30" s="17">
        <v>2022.0</v>
      </c>
      <c r="C30" s="40" t="s">
        <v>13</v>
      </c>
      <c r="D30" s="40">
        <v>4949.0</v>
      </c>
      <c r="E30" s="39" t="s">
        <v>7776</v>
      </c>
      <c r="F30" s="40" t="s">
        <v>7777</v>
      </c>
      <c r="G30" s="39" t="s">
        <v>7778</v>
      </c>
      <c r="H30" s="38" t="s">
        <v>7779</v>
      </c>
      <c r="I30" s="39" t="s">
        <v>7660</v>
      </c>
      <c r="J30" s="39" t="s">
        <v>7780</v>
      </c>
    </row>
    <row r="31" ht="26.25" customHeight="1">
      <c r="A31" s="12" t="s">
        <v>215</v>
      </c>
      <c r="B31" s="17">
        <v>2022.0</v>
      </c>
      <c r="C31" s="40" t="s">
        <v>13</v>
      </c>
      <c r="D31" s="40">
        <v>4863.0</v>
      </c>
      <c r="E31" s="39" t="s">
        <v>7781</v>
      </c>
      <c r="F31" s="40" t="s">
        <v>7782</v>
      </c>
      <c r="G31" s="39" t="s">
        <v>7783</v>
      </c>
      <c r="H31" s="38" t="s">
        <v>7784</v>
      </c>
      <c r="I31" s="39" t="s">
        <v>7660</v>
      </c>
      <c r="J31" s="39" t="s">
        <v>7785</v>
      </c>
    </row>
    <row r="32" ht="26.25" customHeight="1">
      <c r="A32" s="12" t="s">
        <v>354</v>
      </c>
      <c r="B32" s="17">
        <v>2022.0</v>
      </c>
      <c r="C32" s="40" t="s">
        <v>13</v>
      </c>
      <c r="D32" s="40">
        <v>5018.0</v>
      </c>
      <c r="E32" s="39" t="s">
        <v>7786</v>
      </c>
      <c r="F32" s="40" t="s">
        <v>7787</v>
      </c>
      <c r="G32" s="39" t="s">
        <v>7788</v>
      </c>
      <c r="H32" s="38" t="s">
        <v>7789</v>
      </c>
      <c r="I32" s="39" t="s">
        <v>7660</v>
      </c>
      <c r="J32" s="39" t="s">
        <v>7790</v>
      </c>
    </row>
    <row r="33" ht="26.25" customHeight="1">
      <c r="A33" s="12" t="s">
        <v>358</v>
      </c>
      <c r="B33" s="17">
        <v>2022.0</v>
      </c>
      <c r="C33" s="40" t="s">
        <v>14</v>
      </c>
      <c r="D33" s="40">
        <v>5121.0</v>
      </c>
      <c r="E33" s="39" t="s">
        <v>7791</v>
      </c>
      <c r="F33" s="40" t="s">
        <v>7792</v>
      </c>
      <c r="G33" s="39" t="s">
        <v>7793</v>
      </c>
      <c r="H33" s="38" t="s">
        <v>7794</v>
      </c>
      <c r="I33" s="39" t="s">
        <v>7795</v>
      </c>
      <c r="J33" s="39" t="s">
        <v>7796</v>
      </c>
    </row>
    <row r="34" ht="26.25" customHeight="1">
      <c r="A34" s="12" t="s">
        <v>360</v>
      </c>
      <c r="B34" s="17">
        <v>2022.0</v>
      </c>
      <c r="C34" s="40" t="s">
        <v>14</v>
      </c>
      <c r="D34" s="40">
        <v>5116.0</v>
      </c>
      <c r="E34" s="39" t="s">
        <v>7797</v>
      </c>
      <c r="F34" s="41" t="s">
        <v>7798</v>
      </c>
      <c r="G34" s="39" t="s">
        <v>7799</v>
      </c>
      <c r="H34" s="38" t="s">
        <v>7800</v>
      </c>
      <c r="I34" s="39" t="s">
        <v>7660</v>
      </c>
      <c r="J34" s="39" t="s">
        <v>7801</v>
      </c>
    </row>
    <row r="35" ht="26.25" customHeight="1">
      <c r="A35" s="12" t="s">
        <v>366</v>
      </c>
      <c r="B35" s="17">
        <v>2022.0</v>
      </c>
      <c r="C35" s="40" t="s">
        <v>15</v>
      </c>
      <c r="D35" s="40">
        <v>4510.0</v>
      </c>
      <c r="E35" s="39" t="s">
        <v>7758</v>
      </c>
      <c r="F35" s="40" t="s">
        <v>7759</v>
      </c>
      <c r="G35" s="39" t="s">
        <v>7760</v>
      </c>
      <c r="H35" s="38" t="s">
        <v>7802</v>
      </c>
      <c r="I35" s="39" t="s">
        <v>7660</v>
      </c>
      <c r="J35" s="39" t="s">
        <v>7762</v>
      </c>
    </row>
    <row r="36" ht="26.25" customHeight="1">
      <c r="A36" s="12" t="s">
        <v>372</v>
      </c>
      <c r="B36" s="17">
        <v>2022.0</v>
      </c>
      <c r="C36" s="40" t="s">
        <v>18</v>
      </c>
      <c r="D36" s="40">
        <v>6463.0</v>
      </c>
      <c r="E36" s="39" t="s">
        <v>7803</v>
      </c>
      <c r="F36" s="41" t="s">
        <v>7804</v>
      </c>
      <c r="G36" s="39" t="s">
        <v>7805</v>
      </c>
      <c r="H36" s="38" t="s">
        <v>7806</v>
      </c>
      <c r="I36" s="39" t="s">
        <v>7660</v>
      </c>
      <c r="J36" s="39" t="s">
        <v>7807</v>
      </c>
    </row>
    <row r="37" ht="26.25" customHeight="1">
      <c r="A37" s="12" t="s">
        <v>377</v>
      </c>
      <c r="B37" s="17">
        <v>2022.0</v>
      </c>
      <c r="C37" s="40" t="s">
        <v>18</v>
      </c>
      <c r="D37" s="40">
        <v>6336.0</v>
      </c>
      <c r="E37" s="39" t="s">
        <v>7808</v>
      </c>
      <c r="F37" s="41" t="s">
        <v>7809</v>
      </c>
      <c r="G37" s="39" t="s">
        <v>7810</v>
      </c>
      <c r="H37" s="38" t="s">
        <v>7811</v>
      </c>
      <c r="I37" s="39" t="s">
        <v>7812</v>
      </c>
      <c r="J37" s="39" t="s">
        <v>7813</v>
      </c>
    </row>
    <row r="38" ht="26.25" customHeight="1">
      <c r="A38" s="12" t="s">
        <v>383</v>
      </c>
      <c r="B38" s="17">
        <v>2023.0</v>
      </c>
      <c r="C38" s="40" t="s">
        <v>11</v>
      </c>
      <c r="D38" s="17">
        <v>5006.0</v>
      </c>
      <c r="E38" s="36" t="s">
        <v>7814</v>
      </c>
      <c r="F38" s="43" t="s">
        <v>7815</v>
      </c>
      <c r="G38" s="39" t="s">
        <v>7816</v>
      </c>
      <c r="H38" s="38" t="s">
        <v>7817</v>
      </c>
      <c r="I38" s="39" t="s">
        <v>7660</v>
      </c>
      <c r="J38" s="39" t="s">
        <v>7818</v>
      </c>
    </row>
    <row r="39" ht="26.25" customHeight="1">
      <c r="A39" s="12" t="s">
        <v>390</v>
      </c>
      <c r="B39" s="17">
        <v>2023.0</v>
      </c>
      <c r="C39" s="40" t="s">
        <v>15</v>
      </c>
      <c r="D39" s="42">
        <v>8904.0</v>
      </c>
      <c r="E39" s="38" t="s">
        <v>7819</v>
      </c>
      <c r="F39" s="43" t="s">
        <v>7820</v>
      </c>
      <c r="G39" s="39" t="s">
        <v>7821</v>
      </c>
      <c r="H39" s="38" t="s">
        <v>7822</v>
      </c>
      <c r="I39" s="39" t="s">
        <v>7660</v>
      </c>
      <c r="J39" s="39" t="s">
        <v>7823</v>
      </c>
    </row>
    <row r="40" ht="26.25" customHeight="1">
      <c r="A40" s="12" t="s">
        <v>393</v>
      </c>
      <c r="B40" s="17">
        <v>2023.0</v>
      </c>
      <c r="C40" s="40" t="s">
        <v>16</v>
      </c>
      <c r="D40" s="40">
        <v>8490.0</v>
      </c>
      <c r="E40" s="39" t="s">
        <v>7824</v>
      </c>
      <c r="F40" s="41" t="s">
        <v>7825</v>
      </c>
      <c r="G40" s="39" t="s">
        <v>7826</v>
      </c>
      <c r="H40" s="38" t="s">
        <v>7827</v>
      </c>
      <c r="I40" s="39" t="s">
        <v>7828</v>
      </c>
      <c r="J40" s="39" t="s">
        <v>7829</v>
      </c>
    </row>
    <row r="41" ht="26.25" customHeight="1">
      <c r="A41" s="12" t="s">
        <v>399</v>
      </c>
      <c r="B41" s="17">
        <v>2023.0</v>
      </c>
      <c r="C41" s="40" t="s">
        <v>18</v>
      </c>
      <c r="D41" s="40">
        <v>3230.0</v>
      </c>
      <c r="E41" s="39" t="s">
        <v>7684</v>
      </c>
      <c r="F41" s="40" t="s">
        <v>7685</v>
      </c>
      <c r="G41" s="39" t="s">
        <v>7686</v>
      </c>
      <c r="H41" s="38" t="s">
        <v>7830</v>
      </c>
      <c r="I41" s="39" t="s">
        <v>7688</v>
      </c>
      <c r="J41" s="39" t="s">
        <v>7689</v>
      </c>
    </row>
    <row r="42" ht="26.25" customHeight="1">
      <c r="A42" s="12" t="s">
        <v>404</v>
      </c>
      <c r="B42" s="17">
        <v>2023.0</v>
      </c>
      <c r="C42" s="40" t="s">
        <v>18</v>
      </c>
      <c r="D42" s="40">
        <v>9747.0</v>
      </c>
      <c r="E42" s="39" t="s">
        <v>7831</v>
      </c>
      <c r="F42" s="41" t="s">
        <v>7832</v>
      </c>
      <c r="G42" s="39" t="s">
        <v>7833</v>
      </c>
      <c r="H42" s="38" t="s">
        <v>7834</v>
      </c>
      <c r="I42" s="39" t="s">
        <v>7660</v>
      </c>
      <c r="J42" s="39" t="s">
        <v>7835</v>
      </c>
    </row>
    <row r="43" ht="26.25" customHeight="1">
      <c r="A43" s="12" t="s">
        <v>409</v>
      </c>
      <c r="B43" s="17">
        <v>2023.0</v>
      </c>
      <c r="C43" s="40" t="s">
        <v>20</v>
      </c>
      <c r="D43" s="40">
        <v>10295.0</v>
      </c>
      <c r="E43" s="39" t="s">
        <v>7836</v>
      </c>
      <c r="F43" s="41" t="s">
        <v>7837</v>
      </c>
      <c r="G43" s="39" t="s">
        <v>7838</v>
      </c>
      <c r="H43" s="38" t="s">
        <v>7839</v>
      </c>
      <c r="I43" s="39" t="s">
        <v>7677</v>
      </c>
      <c r="J43" s="39" t="s">
        <v>7840</v>
      </c>
    </row>
    <row r="44" ht="26.25" customHeight="1">
      <c r="A44" s="12" t="s">
        <v>415</v>
      </c>
      <c r="B44" s="17">
        <v>2023.0</v>
      </c>
      <c r="C44" s="17" t="s">
        <v>21</v>
      </c>
      <c r="D44" s="17">
        <v>10609.0</v>
      </c>
      <c r="E44" s="36" t="s">
        <v>7841</v>
      </c>
      <c r="F44" s="43" t="s">
        <v>7842</v>
      </c>
      <c r="G44" s="39" t="s">
        <v>7843</v>
      </c>
      <c r="H44" s="36" t="s">
        <v>7844</v>
      </c>
      <c r="I44" s="38" t="s">
        <v>7671</v>
      </c>
      <c r="J44" s="38" t="s">
        <v>7845</v>
      </c>
    </row>
    <row r="45" ht="26.25" customHeight="1">
      <c r="A45" s="12" t="s">
        <v>421</v>
      </c>
      <c r="B45" s="17">
        <v>2023.0</v>
      </c>
      <c r="C45" s="17" t="s">
        <v>21</v>
      </c>
      <c r="D45" s="17">
        <v>5018.0</v>
      </c>
      <c r="E45" s="36" t="s">
        <v>7786</v>
      </c>
      <c r="F45" s="43" t="s">
        <v>7846</v>
      </c>
      <c r="G45" s="39" t="s">
        <v>7788</v>
      </c>
      <c r="H45" s="36" t="s">
        <v>7847</v>
      </c>
      <c r="I45" s="39" t="s">
        <v>7660</v>
      </c>
      <c r="J45" s="38" t="s">
        <v>7790</v>
      </c>
    </row>
    <row r="46" ht="26.25" customHeight="1">
      <c r="A46" s="12" t="s">
        <v>426</v>
      </c>
      <c r="B46" s="17">
        <v>2023.0</v>
      </c>
      <c r="C46" s="17" t="s">
        <v>21</v>
      </c>
      <c r="D46" s="17">
        <v>10546.0</v>
      </c>
      <c r="E46" s="36" t="s">
        <v>7848</v>
      </c>
      <c r="F46" s="43" t="s">
        <v>7849</v>
      </c>
      <c r="G46" s="38" t="s">
        <v>7850</v>
      </c>
      <c r="H46" s="36" t="s">
        <v>7851</v>
      </c>
      <c r="I46" s="38" t="s">
        <v>7828</v>
      </c>
      <c r="J46" s="38" t="s">
        <v>7852</v>
      </c>
    </row>
    <row r="47" ht="26.25" customHeight="1">
      <c r="A47" s="12" t="s">
        <v>432</v>
      </c>
      <c r="B47" s="17">
        <v>2024.0</v>
      </c>
      <c r="C47" s="17" t="s">
        <v>11</v>
      </c>
      <c r="D47" s="44">
        <v>10546.0</v>
      </c>
      <c r="E47" s="45" t="s">
        <v>7853</v>
      </c>
      <c r="F47" s="43" t="s">
        <v>7849</v>
      </c>
      <c r="G47" s="38" t="s">
        <v>7850</v>
      </c>
      <c r="H47" s="36" t="s">
        <v>7854</v>
      </c>
      <c r="I47" s="38" t="s">
        <v>7828</v>
      </c>
      <c r="J47" s="38" t="s">
        <v>7852</v>
      </c>
    </row>
    <row r="48" ht="26.25" customHeight="1">
      <c r="A48" s="12" t="s">
        <v>437</v>
      </c>
      <c r="B48" s="17">
        <v>2024.0</v>
      </c>
      <c r="C48" s="17" t="s">
        <v>11</v>
      </c>
      <c r="D48" s="44">
        <v>3088.0</v>
      </c>
      <c r="E48" s="45" t="s">
        <v>7855</v>
      </c>
      <c r="F48" s="43" t="s">
        <v>7856</v>
      </c>
      <c r="G48" s="38" t="s">
        <v>7697</v>
      </c>
      <c r="H48" s="36" t="s">
        <v>7857</v>
      </c>
      <c r="I48" s="38" t="s">
        <v>7660</v>
      </c>
      <c r="J48" s="38" t="s">
        <v>7858</v>
      </c>
    </row>
    <row r="49" ht="24.0" customHeight="1">
      <c r="A49" s="12" t="s">
        <v>441</v>
      </c>
      <c r="B49" s="17">
        <v>2024.0</v>
      </c>
      <c r="C49" s="17" t="s">
        <v>13</v>
      </c>
      <c r="D49" s="44">
        <v>11498.0</v>
      </c>
      <c r="E49" s="45" t="s">
        <v>7859</v>
      </c>
      <c r="F49" s="43" t="s">
        <v>7860</v>
      </c>
      <c r="G49" s="36"/>
      <c r="H49" s="36" t="s">
        <v>7861</v>
      </c>
      <c r="I49" s="38" t="s">
        <v>7862</v>
      </c>
      <c r="J49" s="38" t="s">
        <v>7863</v>
      </c>
    </row>
    <row r="50" ht="24.0" customHeight="1">
      <c r="A50" s="12" t="s">
        <v>445</v>
      </c>
      <c r="B50" s="17">
        <v>2024.0</v>
      </c>
      <c r="C50" s="17" t="s">
        <v>18</v>
      </c>
      <c r="D50" s="44">
        <v>12901.0</v>
      </c>
      <c r="E50" s="77" t="s">
        <v>7864</v>
      </c>
      <c r="F50" s="43" t="s">
        <v>7865</v>
      </c>
      <c r="G50" s="36" t="s">
        <v>7866</v>
      </c>
      <c r="H50" s="36" t="s">
        <v>7867</v>
      </c>
      <c r="I50" s="38" t="s">
        <v>7868</v>
      </c>
      <c r="J50" s="38" t="s">
        <v>7869</v>
      </c>
    </row>
    <row r="51" ht="24.0" customHeight="1">
      <c r="A51" s="12" t="s">
        <v>451</v>
      </c>
      <c r="B51" s="17">
        <v>2024.0</v>
      </c>
      <c r="C51" s="17" t="s">
        <v>18</v>
      </c>
      <c r="D51" s="44">
        <v>12920.0</v>
      </c>
      <c r="E51" s="77" t="s">
        <v>7870</v>
      </c>
      <c r="F51" s="43" t="s">
        <v>7871</v>
      </c>
      <c r="G51" s="36" t="s">
        <v>7872</v>
      </c>
      <c r="H51" s="36" t="s">
        <v>7873</v>
      </c>
      <c r="I51" s="38" t="s">
        <v>7713</v>
      </c>
      <c r="J51" s="38" t="s">
        <v>7874</v>
      </c>
    </row>
    <row r="52" ht="24.0" customHeight="1">
      <c r="A52" s="12" t="s">
        <v>457</v>
      </c>
      <c r="B52" s="17">
        <v>2024.0</v>
      </c>
      <c r="C52" s="17" t="s">
        <v>20</v>
      </c>
      <c r="D52" s="15">
        <v>13439.0</v>
      </c>
      <c r="E52" s="49" t="s">
        <v>7875</v>
      </c>
      <c r="F52" s="50" t="s">
        <v>7876</v>
      </c>
      <c r="G52" s="36"/>
      <c r="H52" s="49" t="s">
        <v>7877</v>
      </c>
      <c r="I52" s="49" t="s">
        <v>7660</v>
      </c>
      <c r="J52" s="38" t="s">
        <v>7878</v>
      </c>
    </row>
    <row r="53" ht="26.25" customHeight="1">
      <c r="A53" s="12" t="s">
        <v>463</v>
      </c>
      <c r="B53" s="17">
        <v>2024.0</v>
      </c>
      <c r="C53" s="17" t="s">
        <v>22</v>
      </c>
      <c r="D53" s="15">
        <v>6700.0</v>
      </c>
      <c r="E53" s="49" t="s">
        <v>3666</v>
      </c>
      <c r="F53" s="50" t="s">
        <v>7879</v>
      </c>
      <c r="G53" s="49"/>
      <c r="H53" s="49" t="s">
        <v>7880</v>
      </c>
      <c r="I53" s="49" t="s">
        <v>7660</v>
      </c>
      <c r="J53" s="38" t="s">
        <v>7881</v>
      </c>
    </row>
    <row r="54" ht="26.25" customHeight="1">
      <c r="A54" s="12" t="s">
        <v>468</v>
      </c>
      <c r="B54" s="17">
        <v>2025.0</v>
      </c>
      <c r="C54" s="17" t="s">
        <v>12</v>
      </c>
      <c r="D54" s="15">
        <v>4057.0</v>
      </c>
      <c r="E54" s="49" t="s">
        <v>7725</v>
      </c>
      <c r="F54" s="50" t="s">
        <v>7882</v>
      </c>
      <c r="G54" s="49" t="s">
        <v>7727</v>
      </c>
      <c r="H54" s="49" t="s">
        <v>7883</v>
      </c>
      <c r="I54" s="49" t="s">
        <v>7828</v>
      </c>
      <c r="J54" s="38" t="s">
        <v>7884</v>
      </c>
    </row>
    <row r="55" ht="26.25" customHeight="1">
      <c r="A55" s="12" t="s">
        <v>473</v>
      </c>
      <c r="B55" s="17">
        <v>2025.0</v>
      </c>
      <c r="C55" s="17" t="s">
        <v>14</v>
      </c>
      <c r="D55" s="15">
        <v>14910.0</v>
      </c>
      <c r="E55" s="49" t="s">
        <v>7885</v>
      </c>
      <c r="F55" s="54" t="s">
        <v>7886</v>
      </c>
      <c r="G55" s="49" t="s">
        <v>7887</v>
      </c>
      <c r="H55" s="49" t="s">
        <v>7888</v>
      </c>
      <c r="I55" s="49" t="s">
        <v>7660</v>
      </c>
      <c r="J55" s="38" t="s">
        <v>7889</v>
      </c>
    </row>
    <row r="56" ht="26.25" customHeight="1">
      <c r="A56" s="12" t="s">
        <v>479</v>
      </c>
      <c r="B56" s="17">
        <v>2025.0</v>
      </c>
      <c r="C56" s="17" t="s">
        <v>16</v>
      </c>
      <c r="D56" s="15">
        <v>15520.0</v>
      </c>
      <c r="E56" s="77" t="s">
        <v>7890</v>
      </c>
      <c r="F56" s="54" t="s">
        <v>7891</v>
      </c>
      <c r="G56" s="49"/>
      <c r="H56" s="49" t="s">
        <v>7892</v>
      </c>
      <c r="I56" s="49" t="s">
        <v>7828</v>
      </c>
      <c r="J56" s="38"/>
    </row>
    <row r="57" ht="26.25" customHeight="1">
      <c r="A57" s="12" t="s">
        <v>485</v>
      </c>
      <c r="B57" s="17">
        <v>2025.0</v>
      </c>
      <c r="C57" s="17" t="s">
        <v>7893</v>
      </c>
      <c r="D57" s="15">
        <v>16186.0</v>
      </c>
      <c r="E57" s="49" t="s">
        <v>7894</v>
      </c>
      <c r="F57" s="54" t="s">
        <v>7895</v>
      </c>
      <c r="G57" s="49" t="s">
        <v>7896</v>
      </c>
      <c r="H57" s="49" t="s">
        <v>7897</v>
      </c>
      <c r="I57" s="49" t="s">
        <v>7660</v>
      </c>
      <c r="J57" s="38" t="s">
        <v>7898</v>
      </c>
    </row>
    <row r="58" ht="26.25" customHeight="1">
      <c r="A58" s="12" t="s">
        <v>487</v>
      </c>
      <c r="B58" s="20">
        <v>2026.0</v>
      </c>
      <c r="C58" s="20" t="s">
        <v>16</v>
      </c>
      <c r="D58" s="62">
        <v>17147.0</v>
      </c>
      <c r="E58" s="63" t="s">
        <v>7899</v>
      </c>
      <c r="F58" s="64" t="s">
        <v>7900</v>
      </c>
      <c r="G58" s="49"/>
      <c r="H58" s="63" t="s">
        <v>7901</v>
      </c>
      <c r="I58" s="63" t="s">
        <v>7713</v>
      </c>
      <c r="J58" s="87" t="s">
        <v>7902</v>
      </c>
    </row>
    <row r="59" ht="26.25" customHeight="1">
      <c r="A59" s="163" t="s">
        <v>222</v>
      </c>
      <c r="C59" s="53"/>
      <c r="D59" s="53"/>
      <c r="E59" s="53" t="str">
        <f t="array" ref="E59">sum(1/countif(E59,E59))</f>
        <v>#REF!</v>
      </c>
      <c r="F59" s="53"/>
      <c r="G59" s="53"/>
      <c r="H59" s="53" t="str">
        <f t="array" ref="H59">sum(1/countif(H59,H59))</f>
        <v>#REF!</v>
      </c>
      <c r="I59" s="53">
        <f t="array" ref="I59">sum(1/countif(I58,I58))</f>
        <v>1</v>
      </c>
      <c r="J59" s="53"/>
    </row>
    <row r="60" ht="26.25" customHeight="1">
      <c r="A60" s="163" t="s">
        <v>7323</v>
      </c>
      <c r="C60" s="53"/>
      <c r="D60" s="53"/>
      <c r="E60" s="53">
        <f t="array" ref="E60">sum(1/countif(E5:E59,E5:E59))</f>
        <v>49</v>
      </c>
      <c r="F60" s="53"/>
      <c r="G60" s="53"/>
      <c r="H60" s="53">
        <f t="array" ref="H60">sum(1/countif(H5:H59,H5:H59))</f>
        <v>55</v>
      </c>
      <c r="I60" s="53">
        <f t="array" ref="I60">sum(1/countif(I5:I58,I5:I58))</f>
        <v>14</v>
      </c>
      <c r="J60" s="53"/>
    </row>
  </sheetData>
  <mergeCells count="5">
    <mergeCell ref="A1:J1"/>
    <mergeCell ref="A2:J2"/>
    <mergeCell ref="A3:J3"/>
    <mergeCell ref="A59:B59"/>
    <mergeCell ref="A60:B60"/>
  </mergeCells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15</v>
      </c>
      <c r="D5" s="35">
        <v>1058.0</v>
      </c>
      <c r="E5" s="37" t="s">
        <v>7903</v>
      </c>
      <c r="F5" s="35" t="s">
        <v>7904</v>
      </c>
      <c r="G5" s="37" t="s">
        <v>7905</v>
      </c>
      <c r="H5" s="37" t="s">
        <v>7906</v>
      </c>
      <c r="I5" s="39" t="s">
        <v>7907</v>
      </c>
      <c r="J5" s="39" t="s">
        <v>7908</v>
      </c>
    </row>
    <row r="6" ht="26.25" customHeight="1">
      <c r="A6" s="12" t="s">
        <v>80</v>
      </c>
      <c r="B6" s="35">
        <v>2021.0</v>
      </c>
      <c r="C6" s="35" t="s">
        <v>17</v>
      </c>
      <c r="D6" s="35">
        <v>1218.0</v>
      </c>
      <c r="E6" s="37" t="s">
        <v>7909</v>
      </c>
      <c r="F6" s="35" t="s">
        <v>7910</v>
      </c>
      <c r="G6" s="37" t="s">
        <v>7911</v>
      </c>
      <c r="H6" s="37" t="s">
        <v>7912</v>
      </c>
      <c r="I6" s="39" t="s">
        <v>7913</v>
      </c>
      <c r="J6" s="39" t="s">
        <v>7914</v>
      </c>
    </row>
    <row r="7" ht="26.25" customHeight="1">
      <c r="A7" s="12" t="s">
        <v>87</v>
      </c>
      <c r="B7" s="35">
        <v>2021.0</v>
      </c>
      <c r="C7" s="35" t="s">
        <v>18</v>
      </c>
      <c r="D7" s="17">
        <v>1912.0</v>
      </c>
      <c r="E7" s="36" t="s">
        <v>7915</v>
      </c>
      <c r="F7" s="43" t="s">
        <v>7916</v>
      </c>
      <c r="G7" s="37" t="s">
        <v>7917</v>
      </c>
      <c r="H7" s="38" t="s">
        <v>7918</v>
      </c>
      <c r="I7" s="39" t="s">
        <v>7919</v>
      </c>
      <c r="J7" s="39" t="s">
        <v>7920</v>
      </c>
    </row>
    <row r="8" ht="26.25" customHeight="1">
      <c r="A8" s="12" t="s">
        <v>94</v>
      </c>
      <c r="B8" s="35">
        <v>2022.0</v>
      </c>
      <c r="C8" s="35" t="s">
        <v>13</v>
      </c>
      <c r="D8" s="42">
        <v>1912.0</v>
      </c>
      <c r="E8" s="38" t="s">
        <v>7921</v>
      </c>
      <c r="F8" s="43" t="s">
        <v>7916</v>
      </c>
      <c r="G8" s="37" t="s">
        <v>7917</v>
      </c>
      <c r="H8" s="38" t="s">
        <v>7922</v>
      </c>
      <c r="I8" s="39" t="s">
        <v>7919</v>
      </c>
      <c r="J8" s="39" t="s">
        <v>7920</v>
      </c>
    </row>
    <row r="9" ht="26.25" customHeight="1">
      <c r="A9" s="12" t="s">
        <v>101</v>
      </c>
      <c r="B9" s="35">
        <v>2022.0</v>
      </c>
      <c r="C9" s="35" t="s">
        <v>14</v>
      </c>
      <c r="D9" s="17">
        <v>5504.0</v>
      </c>
      <c r="E9" s="36" t="s">
        <v>7923</v>
      </c>
      <c r="F9" s="17" t="s">
        <v>7924</v>
      </c>
      <c r="G9" s="37" t="s">
        <v>7925</v>
      </c>
      <c r="H9" s="36" t="s">
        <v>7926</v>
      </c>
      <c r="I9" s="39" t="s">
        <v>7907</v>
      </c>
      <c r="J9" s="39" t="s">
        <v>7927</v>
      </c>
    </row>
    <row r="10" ht="26.25" customHeight="1">
      <c r="A10" s="12" t="s">
        <v>108</v>
      </c>
      <c r="B10" s="35">
        <v>2022.0</v>
      </c>
      <c r="C10" s="35" t="s">
        <v>18</v>
      </c>
      <c r="D10" s="42">
        <v>1499.0</v>
      </c>
      <c r="E10" s="38" t="s">
        <v>7928</v>
      </c>
      <c r="F10" s="43" t="s">
        <v>7929</v>
      </c>
      <c r="G10" s="37" t="s">
        <v>7930</v>
      </c>
      <c r="H10" s="37" t="s">
        <v>7931</v>
      </c>
      <c r="I10" s="39" t="s">
        <v>7932</v>
      </c>
      <c r="J10" s="39" t="s">
        <v>7933</v>
      </c>
    </row>
    <row r="11" ht="26.25" customHeight="1">
      <c r="A11" s="12" t="s">
        <v>113</v>
      </c>
      <c r="B11" s="17">
        <v>2023.0</v>
      </c>
      <c r="C11" s="40" t="s">
        <v>12</v>
      </c>
      <c r="D11" s="40">
        <v>8139.0</v>
      </c>
      <c r="E11" s="39" t="s">
        <v>4127</v>
      </c>
      <c r="F11" s="41" t="s">
        <v>7934</v>
      </c>
      <c r="G11" s="37"/>
      <c r="H11" s="39" t="s">
        <v>7935</v>
      </c>
      <c r="I11" s="39" t="s">
        <v>7907</v>
      </c>
      <c r="J11" s="39" t="s">
        <v>7936</v>
      </c>
    </row>
    <row r="12" ht="26.25" customHeight="1">
      <c r="A12" s="12" t="s">
        <v>120</v>
      </c>
      <c r="B12" s="17">
        <v>2023.0</v>
      </c>
      <c r="C12" s="40" t="s">
        <v>12</v>
      </c>
      <c r="D12" s="40">
        <v>6400.0</v>
      </c>
      <c r="E12" s="39" t="s">
        <v>7937</v>
      </c>
      <c r="F12" s="41" t="s">
        <v>7938</v>
      </c>
      <c r="G12" s="39" t="s">
        <v>7939</v>
      </c>
      <c r="H12" s="39" t="s">
        <v>7940</v>
      </c>
      <c r="I12" s="39" t="s">
        <v>7919</v>
      </c>
      <c r="J12" s="39" t="s">
        <v>7941</v>
      </c>
    </row>
    <row r="13" ht="26.25" customHeight="1">
      <c r="A13" s="12" t="s">
        <v>126</v>
      </c>
      <c r="B13" s="17">
        <v>2023.0</v>
      </c>
      <c r="C13" s="40" t="s">
        <v>13</v>
      </c>
      <c r="D13" s="40">
        <v>8139.0</v>
      </c>
      <c r="E13" s="39" t="s">
        <v>4127</v>
      </c>
      <c r="F13" s="41" t="s">
        <v>7934</v>
      </c>
      <c r="G13" s="37"/>
      <c r="H13" s="39" t="s">
        <v>7942</v>
      </c>
      <c r="I13" s="39" t="s">
        <v>7907</v>
      </c>
      <c r="J13" s="39" t="s">
        <v>7936</v>
      </c>
    </row>
    <row r="14" ht="26.25" customHeight="1">
      <c r="A14" s="12" t="s">
        <v>132</v>
      </c>
      <c r="B14" s="17">
        <v>2023.0</v>
      </c>
      <c r="C14" s="40" t="s">
        <v>20</v>
      </c>
      <c r="D14" s="40">
        <v>10461.0</v>
      </c>
      <c r="E14" s="39" t="s">
        <v>7943</v>
      </c>
      <c r="F14" s="41" t="s">
        <v>7944</v>
      </c>
      <c r="G14" s="39" t="s">
        <v>7945</v>
      </c>
      <c r="H14" s="39" t="s">
        <v>7946</v>
      </c>
      <c r="I14" s="39" t="s">
        <v>7907</v>
      </c>
      <c r="J14" s="39" t="s">
        <v>7947</v>
      </c>
    </row>
    <row r="15" ht="26.25" customHeight="1">
      <c r="A15" s="12" t="s">
        <v>138</v>
      </c>
      <c r="B15" s="17">
        <v>2023.0</v>
      </c>
      <c r="C15" s="40" t="s">
        <v>20</v>
      </c>
      <c r="D15" s="40">
        <v>10406.0</v>
      </c>
      <c r="E15" s="39" t="s">
        <v>7948</v>
      </c>
      <c r="F15" s="41" t="s">
        <v>7949</v>
      </c>
      <c r="G15" s="37" t="s">
        <v>7950</v>
      </c>
      <c r="H15" s="39" t="s">
        <v>7951</v>
      </c>
      <c r="I15" s="39" t="s">
        <v>7952</v>
      </c>
      <c r="J15" s="39" t="s">
        <v>7953</v>
      </c>
    </row>
    <row r="16" ht="26.25" customHeight="1">
      <c r="A16" s="12" t="s">
        <v>144</v>
      </c>
      <c r="B16" s="17">
        <v>2023.0</v>
      </c>
      <c r="C16" s="40" t="s">
        <v>21</v>
      </c>
      <c r="D16" s="17">
        <v>9571.0</v>
      </c>
      <c r="E16" s="36" t="s">
        <v>7954</v>
      </c>
      <c r="F16" s="43" t="s">
        <v>7955</v>
      </c>
      <c r="G16" s="39" t="s">
        <v>7956</v>
      </c>
      <c r="H16" s="36" t="s">
        <v>7957</v>
      </c>
      <c r="I16" s="38" t="s">
        <v>7958</v>
      </c>
      <c r="J16" s="39" t="s">
        <v>7959</v>
      </c>
    </row>
    <row r="17" ht="26.25" customHeight="1">
      <c r="A17" s="12" t="s">
        <v>146</v>
      </c>
      <c r="B17" s="17">
        <v>2023.0</v>
      </c>
      <c r="C17" s="17" t="s">
        <v>21</v>
      </c>
      <c r="D17" s="17">
        <v>10463.0</v>
      </c>
      <c r="E17" s="36" t="s">
        <v>7960</v>
      </c>
      <c r="F17" s="43" t="s">
        <v>7961</v>
      </c>
      <c r="G17" s="36" t="s">
        <v>7962</v>
      </c>
      <c r="H17" s="36" t="s">
        <v>7963</v>
      </c>
      <c r="I17" s="38" t="s">
        <v>7964</v>
      </c>
      <c r="J17" s="39" t="s">
        <v>7965</v>
      </c>
    </row>
    <row r="18" ht="26.25" customHeight="1">
      <c r="A18" s="12" t="s">
        <v>151</v>
      </c>
      <c r="B18" s="17">
        <v>2024.0</v>
      </c>
      <c r="C18" s="17" t="s">
        <v>11</v>
      </c>
      <c r="D18" s="42">
        <v>8139.0</v>
      </c>
      <c r="E18" s="38" t="s">
        <v>1805</v>
      </c>
      <c r="F18" s="43" t="s">
        <v>7966</v>
      </c>
      <c r="G18" s="47"/>
      <c r="H18" s="38" t="s">
        <v>7967</v>
      </c>
      <c r="I18" s="38" t="s">
        <v>7907</v>
      </c>
      <c r="J18" s="38" t="s">
        <v>7936</v>
      </c>
    </row>
    <row r="19" ht="26.25" customHeight="1">
      <c r="A19" s="12" t="s">
        <v>153</v>
      </c>
      <c r="B19" s="17">
        <v>2024.0</v>
      </c>
      <c r="C19" s="42" t="s">
        <v>12</v>
      </c>
      <c r="D19" s="17">
        <v>11272.0</v>
      </c>
      <c r="E19" s="36" t="s">
        <v>3666</v>
      </c>
      <c r="F19" s="43" t="s">
        <v>7968</v>
      </c>
      <c r="G19" s="38" t="s">
        <v>7969</v>
      </c>
      <c r="H19" s="36" t="s">
        <v>7970</v>
      </c>
      <c r="I19" s="38" t="s">
        <v>7952</v>
      </c>
      <c r="J19" s="38" t="s">
        <v>7971</v>
      </c>
    </row>
    <row r="20" ht="26.25" customHeight="1">
      <c r="A20" s="12" t="s">
        <v>159</v>
      </c>
      <c r="B20" s="17">
        <v>2024.0</v>
      </c>
      <c r="C20" s="42" t="s">
        <v>14</v>
      </c>
      <c r="D20" s="17">
        <v>10461.0</v>
      </c>
      <c r="E20" s="36" t="s">
        <v>7972</v>
      </c>
      <c r="F20" s="48" t="s">
        <v>7944</v>
      </c>
      <c r="G20" s="36" t="s">
        <v>7945</v>
      </c>
      <c r="H20" s="36" t="s">
        <v>7973</v>
      </c>
      <c r="I20" s="38" t="s">
        <v>7919</v>
      </c>
      <c r="J20" s="38" t="s">
        <v>7974</v>
      </c>
    </row>
    <row r="21" ht="26.25" customHeight="1">
      <c r="A21" s="12" t="s">
        <v>165</v>
      </c>
      <c r="B21" s="17">
        <v>2024.0</v>
      </c>
      <c r="C21" s="42" t="s">
        <v>15</v>
      </c>
      <c r="D21" s="17">
        <v>12049.0</v>
      </c>
      <c r="E21" s="36" t="s">
        <v>7975</v>
      </c>
      <c r="F21" s="48" t="s">
        <v>7976</v>
      </c>
      <c r="G21" s="36" t="s">
        <v>7977</v>
      </c>
      <c r="H21" s="36" t="s">
        <v>7978</v>
      </c>
      <c r="I21" s="36" t="s">
        <v>7932</v>
      </c>
      <c r="J21" s="38" t="s">
        <v>7979</v>
      </c>
    </row>
    <row r="22" ht="26.25" customHeight="1">
      <c r="A22" s="12" t="s">
        <v>171</v>
      </c>
      <c r="B22" s="17">
        <v>2024.0</v>
      </c>
      <c r="C22" s="42" t="s">
        <v>15</v>
      </c>
      <c r="D22" s="17">
        <v>9571.0</v>
      </c>
      <c r="E22" s="36" t="s">
        <v>7980</v>
      </c>
      <c r="F22" s="48" t="s">
        <v>7981</v>
      </c>
      <c r="G22" s="36" t="s">
        <v>7956</v>
      </c>
      <c r="H22" s="36" t="s">
        <v>7982</v>
      </c>
      <c r="I22" s="36" t="s">
        <v>7958</v>
      </c>
      <c r="J22" s="38" t="s">
        <v>7983</v>
      </c>
    </row>
    <row r="23" ht="26.25" customHeight="1">
      <c r="A23" s="12" t="s">
        <v>173</v>
      </c>
      <c r="B23" s="17">
        <v>2024.0</v>
      </c>
      <c r="C23" s="42" t="s">
        <v>18</v>
      </c>
      <c r="D23" s="15">
        <v>10461.0</v>
      </c>
      <c r="E23" s="77" t="s">
        <v>7972</v>
      </c>
      <c r="F23" s="48" t="s">
        <v>7944</v>
      </c>
      <c r="G23" s="36" t="s">
        <v>7945</v>
      </c>
      <c r="H23" s="49" t="s">
        <v>7984</v>
      </c>
      <c r="I23" s="49" t="s">
        <v>7907</v>
      </c>
      <c r="J23" s="38" t="s">
        <v>7947</v>
      </c>
    </row>
    <row r="24" ht="26.25" customHeight="1">
      <c r="A24" s="12" t="s">
        <v>178</v>
      </c>
      <c r="B24" s="17">
        <v>2024.0</v>
      </c>
      <c r="C24" s="42" t="s">
        <v>20</v>
      </c>
      <c r="D24" s="15">
        <v>13621.0</v>
      </c>
      <c r="E24" s="49" t="s">
        <v>7978</v>
      </c>
      <c r="F24" s="50" t="s">
        <v>7985</v>
      </c>
      <c r="G24" s="36" t="s">
        <v>7986</v>
      </c>
      <c r="H24" s="49" t="s">
        <v>7987</v>
      </c>
      <c r="I24" s="49" t="s">
        <v>7932</v>
      </c>
      <c r="J24" s="38" t="s">
        <v>7988</v>
      </c>
    </row>
    <row r="25" ht="26.25" customHeight="1">
      <c r="A25" s="12" t="s">
        <v>184</v>
      </c>
      <c r="B25" s="17">
        <v>2024.0</v>
      </c>
      <c r="C25" s="42" t="s">
        <v>21</v>
      </c>
      <c r="D25" s="15">
        <v>13762.0</v>
      </c>
      <c r="E25" s="49" t="s">
        <v>7989</v>
      </c>
      <c r="F25" s="50" t="s">
        <v>7990</v>
      </c>
      <c r="G25" s="36" t="s">
        <v>7991</v>
      </c>
      <c r="H25" s="49" t="s">
        <v>7992</v>
      </c>
      <c r="I25" s="49" t="s">
        <v>7919</v>
      </c>
      <c r="J25" s="38" t="s">
        <v>7993</v>
      </c>
    </row>
    <row r="26" ht="26.25" customHeight="1">
      <c r="A26" s="163" t="s">
        <v>222</v>
      </c>
      <c r="C26" s="53"/>
      <c r="D26" s="53"/>
      <c r="E26" s="53" t="str">
        <f t="array" ref="E26">sum(1/countif(E26,E26))</f>
        <v>#REF!</v>
      </c>
      <c r="F26" s="53"/>
      <c r="G26" s="53"/>
      <c r="H26" s="53" t="str">
        <f t="array" ref="H26">sum(1/countif(H26,H26))</f>
        <v>#REF!</v>
      </c>
      <c r="I26" s="53">
        <v>0.0</v>
      </c>
      <c r="J26" s="53"/>
    </row>
    <row r="27" ht="26.25" customHeight="1">
      <c r="A27" s="163" t="s">
        <v>7323</v>
      </c>
      <c r="C27" s="53"/>
      <c r="D27" s="53"/>
      <c r="E27" s="53">
        <f t="array" ref="E27">sum(1/countif(E5:E26,E5:E26))</f>
        <v>20</v>
      </c>
      <c r="F27" s="53"/>
      <c r="G27" s="53"/>
      <c r="H27" s="53">
        <f t="array" ref="H27">sum(1/countif(H5:H26,H5:H26))</f>
        <v>22</v>
      </c>
      <c r="I27" s="53">
        <f t="array" ref="I27">sum(1/countif(I5:I25,I5:I25))</f>
        <v>7</v>
      </c>
      <c r="J27" s="53"/>
    </row>
  </sheetData>
  <mergeCells count="5">
    <mergeCell ref="A1:J1"/>
    <mergeCell ref="A2:J2"/>
    <mergeCell ref="A3:J3"/>
    <mergeCell ref="A26:B26"/>
    <mergeCell ref="A27:B2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1" t="s">
        <v>0</v>
      </c>
    </row>
    <row r="2" ht="26.25" customHeight="1">
      <c r="A2" s="1" t="s">
        <v>1</v>
      </c>
    </row>
    <row r="3" ht="26.25" customHeight="1">
      <c r="A3" s="3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683.0</v>
      </c>
      <c r="E5" s="37" t="s">
        <v>7994</v>
      </c>
      <c r="F5" s="72" t="s">
        <v>7995</v>
      </c>
      <c r="G5" s="37" t="s">
        <v>7996</v>
      </c>
      <c r="H5" s="37" t="s">
        <v>7997</v>
      </c>
      <c r="I5" s="39" t="s">
        <v>7998</v>
      </c>
      <c r="J5" s="39" t="s">
        <v>7999</v>
      </c>
    </row>
    <row r="6" ht="26.25" customHeight="1">
      <c r="A6" s="12" t="s">
        <v>80</v>
      </c>
      <c r="B6" s="35">
        <v>2021.0</v>
      </c>
      <c r="C6" s="40" t="s">
        <v>16</v>
      </c>
      <c r="D6" s="40">
        <v>836.0</v>
      </c>
      <c r="E6" s="39" t="s">
        <v>1805</v>
      </c>
      <c r="F6" s="35" t="s">
        <v>8000</v>
      </c>
      <c r="G6" s="39" t="s">
        <v>8001</v>
      </c>
      <c r="H6" s="39" t="s">
        <v>8002</v>
      </c>
      <c r="I6" s="39" t="s">
        <v>8003</v>
      </c>
      <c r="J6" s="39" t="s">
        <v>8004</v>
      </c>
    </row>
    <row r="7" ht="26.25" customHeight="1">
      <c r="A7" s="12" t="s">
        <v>87</v>
      </c>
      <c r="B7" s="35">
        <v>2021.0</v>
      </c>
      <c r="C7" s="40" t="s">
        <v>16</v>
      </c>
      <c r="D7" s="40">
        <v>836.0</v>
      </c>
      <c r="E7" s="39" t="s">
        <v>1805</v>
      </c>
      <c r="F7" s="35" t="s">
        <v>8000</v>
      </c>
      <c r="G7" s="39" t="s">
        <v>8001</v>
      </c>
      <c r="H7" s="39" t="s">
        <v>8005</v>
      </c>
      <c r="I7" s="39" t="s">
        <v>8003</v>
      </c>
      <c r="J7" s="39" t="s">
        <v>8006</v>
      </c>
    </row>
    <row r="8" ht="26.25" customHeight="1">
      <c r="A8" s="12" t="s">
        <v>94</v>
      </c>
      <c r="B8" s="35">
        <v>2021.0</v>
      </c>
      <c r="C8" s="40" t="s">
        <v>17</v>
      </c>
      <c r="D8" s="40">
        <v>1548.0</v>
      </c>
      <c r="E8" s="39" t="s">
        <v>8007</v>
      </c>
      <c r="F8" s="35" t="s">
        <v>8008</v>
      </c>
      <c r="G8" s="37" t="s">
        <v>8009</v>
      </c>
      <c r="H8" s="37" t="s">
        <v>8007</v>
      </c>
      <c r="I8" s="39" t="s">
        <v>8003</v>
      </c>
      <c r="J8" s="39" t="s">
        <v>8010</v>
      </c>
    </row>
    <row r="9" ht="26.25" customHeight="1">
      <c r="A9" s="12" t="s">
        <v>101</v>
      </c>
      <c r="B9" s="35">
        <v>2021.0</v>
      </c>
      <c r="C9" s="40" t="s">
        <v>17</v>
      </c>
      <c r="D9" s="40">
        <v>836.0</v>
      </c>
      <c r="E9" s="39" t="s">
        <v>1805</v>
      </c>
      <c r="F9" s="35" t="s">
        <v>8000</v>
      </c>
      <c r="G9" s="39" t="s">
        <v>8001</v>
      </c>
      <c r="H9" s="39" t="s">
        <v>8011</v>
      </c>
      <c r="I9" s="39" t="s">
        <v>8003</v>
      </c>
      <c r="J9" s="39" t="s">
        <v>8012</v>
      </c>
    </row>
    <row r="10" ht="26.25" customHeight="1">
      <c r="A10" s="12" t="s">
        <v>108</v>
      </c>
      <c r="B10" s="35">
        <v>2022.0</v>
      </c>
      <c r="C10" s="40" t="s">
        <v>11</v>
      </c>
      <c r="D10" s="40">
        <v>3775.0</v>
      </c>
      <c r="E10" s="39" t="s">
        <v>8013</v>
      </c>
      <c r="F10" s="40" t="s">
        <v>8014</v>
      </c>
      <c r="G10" s="39" t="s">
        <v>8015</v>
      </c>
      <c r="H10" s="39" t="s">
        <v>8016</v>
      </c>
      <c r="I10" s="39" t="s">
        <v>8017</v>
      </c>
      <c r="J10" s="39" t="s">
        <v>8018</v>
      </c>
    </row>
    <row r="11" ht="26.25" customHeight="1">
      <c r="A11" s="12" t="s">
        <v>113</v>
      </c>
      <c r="B11" s="35">
        <v>2022.0</v>
      </c>
      <c r="C11" s="40" t="s">
        <v>14</v>
      </c>
      <c r="D11" s="40">
        <v>4156.0</v>
      </c>
      <c r="E11" s="39" t="s">
        <v>8019</v>
      </c>
      <c r="F11" s="40" t="s">
        <v>8020</v>
      </c>
      <c r="G11" s="39" t="s">
        <v>8021</v>
      </c>
      <c r="H11" s="39" t="s">
        <v>8022</v>
      </c>
      <c r="I11" s="39" t="s">
        <v>8017</v>
      </c>
      <c r="J11" s="39" t="s">
        <v>8023</v>
      </c>
    </row>
    <row r="12" ht="26.25" customHeight="1">
      <c r="A12" s="12" t="s">
        <v>120</v>
      </c>
      <c r="B12" s="35">
        <v>2022.0</v>
      </c>
      <c r="C12" s="40" t="s">
        <v>15</v>
      </c>
      <c r="D12" s="40">
        <v>5751.0</v>
      </c>
      <c r="E12" s="39" t="s">
        <v>8024</v>
      </c>
      <c r="F12" s="40" t="s">
        <v>8025</v>
      </c>
      <c r="G12" s="39" t="s">
        <v>8026</v>
      </c>
      <c r="H12" s="39" t="s">
        <v>8027</v>
      </c>
      <c r="I12" s="39" t="s">
        <v>8028</v>
      </c>
      <c r="J12" s="39" t="s">
        <v>8029</v>
      </c>
    </row>
    <row r="13" ht="26.25" customHeight="1">
      <c r="A13" s="12" t="s">
        <v>126</v>
      </c>
      <c r="B13" s="35">
        <v>2022.0</v>
      </c>
      <c r="C13" s="40" t="s">
        <v>15</v>
      </c>
      <c r="D13" s="40">
        <v>5102.0</v>
      </c>
      <c r="E13" s="39" t="s">
        <v>8030</v>
      </c>
      <c r="F13" s="40" t="s">
        <v>8031</v>
      </c>
      <c r="G13" s="37"/>
      <c r="H13" s="39" t="s">
        <v>8032</v>
      </c>
      <c r="I13" s="39" t="s">
        <v>8017</v>
      </c>
      <c r="J13" s="39" t="s">
        <v>8033</v>
      </c>
    </row>
    <row r="14" ht="26.25" customHeight="1">
      <c r="A14" s="12" t="s">
        <v>132</v>
      </c>
      <c r="B14" s="35">
        <v>2022.0</v>
      </c>
      <c r="C14" s="40" t="s">
        <v>15</v>
      </c>
      <c r="D14" s="40">
        <v>5102.0</v>
      </c>
      <c r="E14" s="39" t="s">
        <v>8030</v>
      </c>
      <c r="F14" s="40" t="s">
        <v>8031</v>
      </c>
      <c r="G14" s="37"/>
      <c r="H14" s="39" t="s">
        <v>8034</v>
      </c>
      <c r="I14" s="39" t="s">
        <v>8017</v>
      </c>
      <c r="J14" s="39" t="s">
        <v>8033</v>
      </c>
    </row>
    <row r="15" ht="26.25" customHeight="1">
      <c r="A15" s="12" t="s">
        <v>138</v>
      </c>
      <c r="B15" s="35">
        <v>2022.0</v>
      </c>
      <c r="C15" s="40" t="s">
        <v>16</v>
      </c>
      <c r="D15" s="40">
        <v>5645.0</v>
      </c>
      <c r="E15" s="39" t="s">
        <v>8035</v>
      </c>
      <c r="F15" s="41" t="s">
        <v>8036</v>
      </c>
      <c r="G15" s="39" t="s">
        <v>8037</v>
      </c>
      <c r="H15" s="39" t="s">
        <v>8038</v>
      </c>
      <c r="I15" s="39" t="s">
        <v>8003</v>
      </c>
      <c r="J15" s="39" t="s">
        <v>8039</v>
      </c>
    </row>
    <row r="16" ht="26.25" customHeight="1">
      <c r="A16" s="12" t="s">
        <v>144</v>
      </c>
      <c r="B16" s="35">
        <v>2022.0</v>
      </c>
      <c r="C16" s="40" t="s">
        <v>17</v>
      </c>
      <c r="D16" s="42">
        <v>1131.0</v>
      </c>
      <c r="E16" s="38" t="s">
        <v>8040</v>
      </c>
      <c r="F16" s="42" t="s">
        <v>8041</v>
      </c>
      <c r="G16" s="39" t="s">
        <v>8042</v>
      </c>
      <c r="H16" s="36" t="s">
        <v>8043</v>
      </c>
      <c r="I16" s="39" t="s">
        <v>8017</v>
      </c>
      <c r="J16" s="39" t="s">
        <v>8044</v>
      </c>
    </row>
    <row r="17" ht="26.25" customHeight="1">
      <c r="A17" s="12" t="s">
        <v>146</v>
      </c>
      <c r="B17" s="35">
        <v>2022.0</v>
      </c>
      <c r="C17" s="40" t="s">
        <v>1766</v>
      </c>
      <c r="D17" s="40">
        <v>4156.0</v>
      </c>
      <c r="E17" s="39" t="s">
        <v>8019</v>
      </c>
      <c r="F17" s="40" t="s">
        <v>8020</v>
      </c>
      <c r="G17" s="39" t="s">
        <v>8021</v>
      </c>
      <c r="H17" s="39" t="s">
        <v>8045</v>
      </c>
      <c r="I17" s="39" t="s">
        <v>8017</v>
      </c>
      <c r="J17" s="39" t="s">
        <v>8023</v>
      </c>
    </row>
    <row r="18" ht="26.25" customHeight="1">
      <c r="A18" s="12" t="s">
        <v>151</v>
      </c>
      <c r="B18" s="35">
        <v>2022.0</v>
      </c>
      <c r="C18" s="40" t="s">
        <v>1766</v>
      </c>
      <c r="D18" s="40">
        <v>6250.0</v>
      </c>
      <c r="E18" s="39" t="s">
        <v>8046</v>
      </c>
      <c r="F18" s="41" t="s">
        <v>8047</v>
      </c>
      <c r="G18" s="39" t="s">
        <v>8048</v>
      </c>
      <c r="H18" s="39" t="s">
        <v>8049</v>
      </c>
      <c r="I18" s="39" t="s">
        <v>8017</v>
      </c>
      <c r="J18" s="39" t="s">
        <v>8050</v>
      </c>
    </row>
    <row r="19" ht="26.25" customHeight="1">
      <c r="A19" s="12" t="s">
        <v>153</v>
      </c>
      <c r="B19" s="17">
        <v>2023.0</v>
      </c>
      <c r="C19" s="40" t="s">
        <v>11</v>
      </c>
      <c r="D19" s="40">
        <v>7825.0</v>
      </c>
      <c r="E19" s="39" t="s">
        <v>8051</v>
      </c>
      <c r="F19" s="41" t="s">
        <v>8052</v>
      </c>
      <c r="G19" s="39" t="s">
        <v>8053</v>
      </c>
      <c r="H19" s="39" t="s">
        <v>8054</v>
      </c>
      <c r="I19" s="39" t="s">
        <v>8017</v>
      </c>
      <c r="J19" s="39" t="s">
        <v>8055</v>
      </c>
    </row>
    <row r="20" ht="26.25" customHeight="1">
      <c r="A20" s="12" t="s">
        <v>159</v>
      </c>
      <c r="B20" s="17">
        <v>2023.0</v>
      </c>
      <c r="C20" s="40" t="s">
        <v>12</v>
      </c>
      <c r="D20" s="40">
        <v>8089.0</v>
      </c>
      <c r="E20" s="39" t="s">
        <v>8056</v>
      </c>
      <c r="F20" s="41" t="s">
        <v>8057</v>
      </c>
      <c r="G20" s="39" t="s">
        <v>8058</v>
      </c>
      <c r="H20" s="36" t="s">
        <v>8059</v>
      </c>
      <c r="I20" s="39" t="s">
        <v>8017</v>
      </c>
      <c r="J20" s="39" t="s">
        <v>8060</v>
      </c>
    </row>
    <row r="21" ht="26.25" customHeight="1">
      <c r="A21" s="12" t="s">
        <v>165</v>
      </c>
      <c r="B21" s="17">
        <v>2023.0</v>
      </c>
      <c r="C21" s="40" t="s">
        <v>12</v>
      </c>
      <c r="D21" s="40">
        <v>8089.0</v>
      </c>
      <c r="E21" s="39" t="s">
        <v>8056</v>
      </c>
      <c r="F21" s="41" t="s">
        <v>8057</v>
      </c>
      <c r="G21" s="39" t="s">
        <v>8058</v>
      </c>
      <c r="H21" s="36" t="s">
        <v>8061</v>
      </c>
      <c r="I21" s="39" t="s">
        <v>8017</v>
      </c>
      <c r="J21" s="39" t="s">
        <v>8060</v>
      </c>
    </row>
    <row r="22" ht="26.25" customHeight="1">
      <c r="A22" s="12" t="s">
        <v>171</v>
      </c>
      <c r="B22" s="17">
        <v>2023.0</v>
      </c>
      <c r="C22" s="40" t="s">
        <v>19</v>
      </c>
      <c r="D22" s="40">
        <v>7825.0</v>
      </c>
      <c r="E22" s="39" t="s">
        <v>8051</v>
      </c>
      <c r="F22" s="41" t="s">
        <v>8052</v>
      </c>
      <c r="G22" s="39" t="s">
        <v>8053</v>
      </c>
      <c r="H22" s="39" t="s">
        <v>8062</v>
      </c>
      <c r="I22" s="39" t="s">
        <v>8017</v>
      </c>
      <c r="J22" s="39" t="s">
        <v>8055</v>
      </c>
    </row>
    <row r="23" ht="26.25" customHeight="1">
      <c r="A23" s="12" t="s">
        <v>173</v>
      </c>
      <c r="B23" s="17">
        <v>2023.0</v>
      </c>
      <c r="C23" s="40" t="s">
        <v>20</v>
      </c>
      <c r="D23" s="42">
        <v>9724.0</v>
      </c>
      <c r="E23" s="39" t="s">
        <v>8063</v>
      </c>
      <c r="F23" s="41" t="s">
        <v>8064</v>
      </c>
      <c r="G23" s="39" t="s">
        <v>8065</v>
      </c>
      <c r="H23" s="39" t="s">
        <v>8066</v>
      </c>
      <c r="I23" s="38" t="s">
        <v>8067</v>
      </c>
      <c r="J23" s="39" t="s">
        <v>8068</v>
      </c>
    </row>
    <row r="24" ht="26.25" customHeight="1">
      <c r="A24" s="12" t="s">
        <v>178</v>
      </c>
      <c r="B24" s="17">
        <v>2023.0</v>
      </c>
      <c r="C24" s="40" t="s">
        <v>20</v>
      </c>
      <c r="D24" s="42">
        <v>9724.0</v>
      </c>
      <c r="E24" s="39" t="s">
        <v>8063</v>
      </c>
      <c r="F24" s="41" t="s">
        <v>8064</v>
      </c>
      <c r="G24" s="39" t="s">
        <v>8065</v>
      </c>
      <c r="H24" s="39" t="s">
        <v>8069</v>
      </c>
      <c r="I24" s="38" t="s">
        <v>8067</v>
      </c>
      <c r="J24" s="39" t="s">
        <v>8070</v>
      </c>
    </row>
    <row r="25" ht="26.25" customHeight="1">
      <c r="A25" s="12" t="s">
        <v>184</v>
      </c>
      <c r="B25" s="17">
        <v>2023.0</v>
      </c>
      <c r="C25" s="40" t="s">
        <v>20</v>
      </c>
      <c r="D25" s="42">
        <v>9724.0</v>
      </c>
      <c r="E25" s="39" t="s">
        <v>8063</v>
      </c>
      <c r="F25" s="41" t="s">
        <v>8064</v>
      </c>
      <c r="G25" s="39" t="s">
        <v>8065</v>
      </c>
      <c r="H25" s="39" t="s">
        <v>8071</v>
      </c>
      <c r="I25" s="38" t="s">
        <v>8067</v>
      </c>
      <c r="J25" s="39" t="s">
        <v>8072</v>
      </c>
    </row>
    <row r="26" ht="26.25" customHeight="1">
      <c r="A26" s="12" t="s">
        <v>190</v>
      </c>
      <c r="B26" s="17">
        <v>2024.0</v>
      </c>
      <c r="C26" s="42" t="s">
        <v>17</v>
      </c>
      <c r="D26" s="15">
        <v>12788.0</v>
      </c>
      <c r="E26" s="49" t="s">
        <v>8073</v>
      </c>
      <c r="F26" s="50" t="s">
        <v>8074</v>
      </c>
      <c r="G26" s="49" t="s">
        <v>8075</v>
      </c>
      <c r="H26" s="49" t="s">
        <v>8076</v>
      </c>
      <c r="I26" s="49" t="s">
        <v>8028</v>
      </c>
      <c r="J26" s="39" t="s">
        <v>8077</v>
      </c>
    </row>
    <row r="27" ht="26.25" customHeight="1">
      <c r="A27" s="12" t="s">
        <v>196</v>
      </c>
      <c r="B27" s="17">
        <v>2024.0</v>
      </c>
      <c r="C27" s="42" t="s">
        <v>8078</v>
      </c>
      <c r="D27" s="15">
        <v>7825.0</v>
      </c>
      <c r="E27" s="49" t="s">
        <v>8079</v>
      </c>
      <c r="F27" s="50" t="s">
        <v>8080</v>
      </c>
      <c r="G27" s="49" t="s">
        <v>8053</v>
      </c>
      <c r="H27" s="49" t="s">
        <v>8081</v>
      </c>
      <c r="I27" s="49" t="s">
        <v>8017</v>
      </c>
      <c r="J27" s="39" t="s">
        <v>8055</v>
      </c>
    </row>
    <row r="28" ht="26.25" customHeight="1">
      <c r="A28" s="12" t="s">
        <v>202</v>
      </c>
      <c r="B28" s="20">
        <v>2026.0</v>
      </c>
      <c r="C28" s="79" t="s">
        <v>15</v>
      </c>
      <c r="D28" s="65">
        <v>18556.0</v>
      </c>
      <c r="E28" s="66" t="s">
        <v>8082</v>
      </c>
      <c r="F28" s="67" t="s">
        <v>8083</v>
      </c>
      <c r="G28" s="49"/>
      <c r="H28" s="69" t="s">
        <v>8084</v>
      </c>
      <c r="I28" s="66" t="s">
        <v>8017</v>
      </c>
      <c r="J28" s="132" t="s">
        <v>8085</v>
      </c>
    </row>
    <row r="29" ht="26.25" customHeight="1">
      <c r="A29" s="12" t="s">
        <v>208</v>
      </c>
      <c r="B29" s="20">
        <v>2026.0</v>
      </c>
      <c r="C29" s="79" t="s">
        <v>15</v>
      </c>
      <c r="D29" s="65">
        <v>4156.0</v>
      </c>
      <c r="E29" s="66" t="s">
        <v>1683</v>
      </c>
      <c r="F29" s="67" t="s">
        <v>8086</v>
      </c>
      <c r="G29" s="49"/>
      <c r="H29" s="69" t="s">
        <v>8087</v>
      </c>
      <c r="I29" s="66" t="s">
        <v>8017</v>
      </c>
      <c r="J29" s="132" t="s">
        <v>8023</v>
      </c>
    </row>
    <row r="30" ht="26.25" customHeight="1">
      <c r="A30" s="163" t="s">
        <v>222</v>
      </c>
      <c r="C30" s="53"/>
      <c r="D30" s="53"/>
      <c r="E30" s="53" t="str">
        <f t="array" ref="E30">sum(1/countif(E30,E30))</f>
        <v>#REF!</v>
      </c>
      <c r="F30" s="53"/>
      <c r="G30" s="53"/>
      <c r="H30" s="53" t="str">
        <f t="array" ref="H30">sum(1/countif(H30,H30))</f>
        <v>#REF!</v>
      </c>
      <c r="I30" s="53">
        <f t="array" ref="I30">sum(1/countif(28,28))</f>
        <v>1</v>
      </c>
      <c r="J30" s="53"/>
    </row>
    <row r="31" ht="26.25" customHeight="1">
      <c r="A31" s="163" t="s">
        <v>7323</v>
      </c>
      <c r="C31" s="53"/>
      <c r="D31" s="53"/>
      <c r="E31" s="53">
        <f t="array" ref="E31">sum(1/countif(E5:E30,E5:E30))</f>
        <v>18</v>
      </c>
      <c r="F31" s="53"/>
      <c r="G31" s="53"/>
      <c r="H31" s="53">
        <f t="array" ref="H31">sum(1/countif(H5:H30,H5:H30))</f>
        <v>26</v>
      </c>
      <c r="I31" s="165">
        <f t="array" ref="I31">sum(1/countif(I5:I29,I5:I29))</f>
        <v>5</v>
      </c>
      <c r="J31" s="53"/>
    </row>
  </sheetData>
  <mergeCells count="5">
    <mergeCell ref="A1:J1"/>
    <mergeCell ref="A2:J2"/>
    <mergeCell ref="A3:J3"/>
    <mergeCell ref="A30:B30"/>
    <mergeCell ref="A31:B31"/>
  </mergeCells>
  <drawing r:id="rId1"/>
  <tableParts count="4">
    <tablePart r:id="rId6"/>
    <tablePart r:id="rId7"/>
    <tablePart r:id="rId8"/>
    <tablePart r:id="rId9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1371.0</v>
      </c>
      <c r="E5" s="37" t="s">
        <v>8088</v>
      </c>
      <c r="F5" s="35" t="s">
        <v>8089</v>
      </c>
      <c r="G5" s="37" t="s">
        <v>8090</v>
      </c>
      <c r="H5" s="37" t="s">
        <v>8091</v>
      </c>
      <c r="I5" s="39" t="s">
        <v>8092</v>
      </c>
      <c r="J5" s="39" t="s">
        <v>8093</v>
      </c>
    </row>
    <row r="6" ht="26.25" customHeight="1">
      <c r="A6" s="12" t="s">
        <v>80</v>
      </c>
      <c r="B6" s="35">
        <v>2021.0</v>
      </c>
      <c r="C6" s="35" t="s">
        <v>16</v>
      </c>
      <c r="D6" s="35">
        <v>1095.0</v>
      </c>
      <c r="E6" s="37" t="s">
        <v>8094</v>
      </c>
      <c r="F6" s="35" t="s">
        <v>8095</v>
      </c>
      <c r="G6" s="37" t="s">
        <v>8096</v>
      </c>
      <c r="H6" s="37" t="s">
        <v>8097</v>
      </c>
      <c r="I6" s="39" t="s">
        <v>8098</v>
      </c>
      <c r="J6" s="39" t="s">
        <v>8099</v>
      </c>
    </row>
    <row r="7" ht="26.25" customHeight="1">
      <c r="A7" s="12" t="s">
        <v>87</v>
      </c>
      <c r="B7" s="35">
        <v>2021.0</v>
      </c>
      <c r="C7" s="35" t="s">
        <v>19</v>
      </c>
      <c r="D7" s="42">
        <v>704.0</v>
      </c>
      <c r="E7" s="39" t="s">
        <v>8100</v>
      </c>
      <c r="F7" s="40" t="s">
        <v>8101</v>
      </c>
      <c r="G7" s="39" t="s">
        <v>8102</v>
      </c>
      <c r="H7" s="38" t="s">
        <v>8103</v>
      </c>
      <c r="I7" s="39" t="s">
        <v>7952</v>
      </c>
      <c r="J7" s="39" t="s">
        <v>8104</v>
      </c>
    </row>
    <row r="8" ht="26.25" customHeight="1">
      <c r="A8" s="12" t="s">
        <v>94</v>
      </c>
      <c r="B8" s="35">
        <v>2021.0</v>
      </c>
      <c r="C8" s="35" t="s">
        <v>19</v>
      </c>
      <c r="D8" s="42">
        <v>704.0</v>
      </c>
      <c r="E8" s="39" t="s">
        <v>8100</v>
      </c>
      <c r="F8" s="40" t="s">
        <v>8101</v>
      </c>
      <c r="G8" s="39" t="s">
        <v>8102</v>
      </c>
      <c r="H8" s="38" t="s">
        <v>8105</v>
      </c>
      <c r="I8" s="39" t="s">
        <v>7952</v>
      </c>
      <c r="J8" s="39" t="s">
        <v>8106</v>
      </c>
    </row>
    <row r="9" ht="26.25" customHeight="1">
      <c r="A9" s="12" t="s">
        <v>101</v>
      </c>
      <c r="B9" s="17">
        <v>2022.0</v>
      </c>
      <c r="C9" s="42" t="s">
        <v>11</v>
      </c>
      <c r="D9" s="42">
        <v>1981.0</v>
      </c>
      <c r="E9" s="38" t="s">
        <v>8107</v>
      </c>
      <c r="F9" s="42" t="s">
        <v>8108</v>
      </c>
      <c r="G9" s="36" t="s">
        <v>8109</v>
      </c>
      <c r="H9" s="38" t="s">
        <v>8110</v>
      </c>
      <c r="I9" s="38" t="s">
        <v>8111</v>
      </c>
      <c r="J9" s="38" t="s">
        <v>8112</v>
      </c>
    </row>
    <row r="10" ht="26.25" customHeight="1">
      <c r="A10" s="12" t="s">
        <v>108</v>
      </c>
      <c r="B10" s="17">
        <v>2022.0</v>
      </c>
      <c r="C10" s="42" t="s">
        <v>16</v>
      </c>
      <c r="D10" s="42">
        <v>1981.0</v>
      </c>
      <c r="E10" s="38" t="s">
        <v>8107</v>
      </c>
      <c r="F10" s="42" t="s">
        <v>8108</v>
      </c>
      <c r="G10" s="36" t="s">
        <v>8109</v>
      </c>
      <c r="H10" s="38" t="s">
        <v>8113</v>
      </c>
      <c r="I10" s="38" t="s">
        <v>8111</v>
      </c>
      <c r="J10" s="38" t="s">
        <v>8112</v>
      </c>
    </row>
    <row r="11" ht="26.25" customHeight="1">
      <c r="A11" s="12" t="s">
        <v>113</v>
      </c>
      <c r="B11" s="17">
        <v>2022.0</v>
      </c>
      <c r="C11" s="42" t="s">
        <v>22</v>
      </c>
      <c r="D11" s="42">
        <v>7801.0</v>
      </c>
      <c r="E11" s="38" t="s">
        <v>8114</v>
      </c>
      <c r="F11" s="43" t="s">
        <v>8115</v>
      </c>
      <c r="G11" s="36" t="s">
        <v>8116</v>
      </c>
      <c r="H11" s="38" t="s">
        <v>8117</v>
      </c>
      <c r="I11" s="38" t="s">
        <v>7952</v>
      </c>
      <c r="J11" s="38" t="s">
        <v>8118</v>
      </c>
    </row>
    <row r="12" ht="26.25" customHeight="1">
      <c r="A12" s="12" t="s">
        <v>120</v>
      </c>
      <c r="B12" s="17">
        <v>2022.0</v>
      </c>
      <c r="C12" s="42" t="s">
        <v>22</v>
      </c>
      <c r="D12" s="42">
        <v>7801.0</v>
      </c>
      <c r="E12" s="36" t="s">
        <v>8114</v>
      </c>
      <c r="F12" s="43" t="s">
        <v>8119</v>
      </c>
      <c r="G12" s="36" t="s">
        <v>8116</v>
      </c>
      <c r="H12" s="36" t="s">
        <v>8120</v>
      </c>
      <c r="I12" s="38" t="s">
        <v>7952</v>
      </c>
      <c r="J12" s="38" t="s">
        <v>8118</v>
      </c>
    </row>
    <row r="13" ht="26.25" customHeight="1">
      <c r="A13" s="12" t="s">
        <v>126</v>
      </c>
      <c r="B13" s="17">
        <v>2024.0</v>
      </c>
      <c r="C13" s="42" t="s">
        <v>18</v>
      </c>
      <c r="D13" s="15">
        <v>12919.0</v>
      </c>
      <c r="E13" s="77" t="s">
        <v>8121</v>
      </c>
      <c r="F13" s="43" t="s">
        <v>8122</v>
      </c>
      <c r="G13" s="36" t="s">
        <v>8123</v>
      </c>
      <c r="H13" s="49" t="s">
        <v>8124</v>
      </c>
      <c r="I13" s="49" t="s">
        <v>7952</v>
      </c>
      <c r="J13" s="38" t="s">
        <v>8125</v>
      </c>
    </row>
    <row r="14" ht="26.25" customHeight="1">
      <c r="A14" s="12" t="s">
        <v>132</v>
      </c>
      <c r="B14" s="17">
        <v>2025.0</v>
      </c>
      <c r="C14" s="42" t="s">
        <v>1370</v>
      </c>
      <c r="D14" s="15">
        <v>14366.0</v>
      </c>
      <c r="E14" s="77" t="s">
        <v>8126</v>
      </c>
      <c r="F14" s="43" t="s">
        <v>8127</v>
      </c>
      <c r="G14" s="36" t="s">
        <v>8128</v>
      </c>
      <c r="H14" s="49" t="s">
        <v>8129</v>
      </c>
      <c r="I14" s="49" t="s">
        <v>7952</v>
      </c>
      <c r="J14" s="38" t="s">
        <v>8130</v>
      </c>
    </row>
    <row r="15" ht="26.25" customHeight="1">
      <c r="A15" s="12" t="s">
        <v>138</v>
      </c>
      <c r="B15" s="17">
        <v>2026.0</v>
      </c>
      <c r="C15" s="42" t="s">
        <v>11</v>
      </c>
      <c r="D15" s="57">
        <v>16477.0</v>
      </c>
      <c r="E15" s="58" t="s">
        <v>8131</v>
      </c>
      <c r="F15" s="59" t="s">
        <v>8132</v>
      </c>
      <c r="G15" s="36"/>
      <c r="H15" s="58" t="s">
        <v>8133</v>
      </c>
      <c r="I15" s="58" t="s">
        <v>8098</v>
      </c>
      <c r="J15" s="38" t="s">
        <v>8134</v>
      </c>
    </row>
    <row r="16" ht="26.25" customHeight="1">
      <c r="A16" s="12" t="s">
        <v>144</v>
      </c>
      <c r="B16" s="17">
        <v>2026.0</v>
      </c>
      <c r="C16" s="79" t="s">
        <v>15</v>
      </c>
      <c r="D16" s="15">
        <v>17980.0</v>
      </c>
      <c r="E16" s="49" t="s">
        <v>8135</v>
      </c>
      <c r="F16" s="54" t="s">
        <v>8136</v>
      </c>
      <c r="G16" s="157" t="s">
        <v>8137</v>
      </c>
      <c r="H16" s="49" t="s">
        <v>8138</v>
      </c>
      <c r="I16" s="49" t="s">
        <v>7952</v>
      </c>
      <c r="J16" s="96" t="s">
        <v>8139</v>
      </c>
    </row>
    <row r="17" ht="26.25" customHeight="1">
      <c r="A17" s="12" t="s">
        <v>146</v>
      </c>
      <c r="B17" s="17">
        <v>2026.0</v>
      </c>
      <c r="C17" s="79" t="s">
        <v>16</v>
      </c>
      <c r="D17" s="15">
        <v>18763.0</v>
      </c>
      <c r="E17" s="49" t="s">
        <v>8140</v>
      </c>
      <c r="F17" s="54" t="s">
        <v>8141</v>
      </c>
      <c r="G17" s="157" t="s">
        <v>8142</v>
      </c>
      <c r="H17" s="49" t="s">
        <v>8143</v>
      </c>
      <c r="I17" s="66" t="s">
        <v>7952</v>
      </c>
      <c r="J17" s="132" t="s">
        <v>8144</v>
      </c>
    </row>
    <row r="18" ht="26.25" customHeight="1">
      <c r="A18" s="163" t="s">
        <v>222</v>
      </c>
      <c r="C18" s="53"/>
      <c r="D18" s="53"/>
      <c r="E18" s="53" t="str">
        <f t="array" ref="E18">sum(1/countif(E18,E18))</f>
        <v>#REF!</v>
      </c>
      <c r="F18" s="53"/>
      <c r="G18" s="53"/>
      <c r="H18" s="53" t="str">
        <f t="array" ref="H18">sum(1/countif(H18,H18))</f>
        <v>#REF!</v>
      </c>
      <c r="I18" s="53">
        <v>0.0</v>
      </c>
      <c r="J18" s="53"/>
    </row>
    <row r="19" ht="26.25" customHeight="1">
      <c r="A19" s="163" t="s">
        <v>7323</v>
      </c>
      <c r="C19" s="53"/>
      <c r="D19" s="53"/>
      <c r="E19" s="53">
        <f t="array" ref="E19">sum(1/countif(E5:E18,E5:E18))</f>
        <v>11</v>
      </c>
      <c r="F19" s="53"/>
      <c r="G19" s="53"/>
      <c r="H19" s="53">
        <f t="array" ref="H19">sum(1/countif(H5:H18,H5:H18))</f>
        <v>14</v>
      </c>
      <c r="I19" s="53">
        <f t="array" ref="I19">sum(1/countif(I5:I14,I5:I14))</f>
        <v>4</v>
      </c>
      <c r="J19" s="53"/>
    </row>
  </sheetData>
  <mergeCells count="5">
    <mergeCell ref="A1:J1"/>
    <mergeCell ref="A2:J2"/>
    <mergeCell ref="A3:J3"/>
    <mergeCell ref="A18:B18"/>
    <mergeCell ref="A19:B19"/>
  </mergeCell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15</v>
      </c>
      <c r="D5" s="35">
        <v>511.0</v>
      </c>
      <c r="E5" s="37" t="s">
        <v>8145</v>
      </c>
      <c r="F5" s="35" t="s">
        <v>8146</v>
      </c>
      <c r="G5" s="37" t="s">
        <v>8147</v>
      </c>
      <c r="H5" s="37" t="s">
        <v>8148</v>
      </c>
      <c r="I5" s="39" t="s">
        <v>8149</v>
      </c>
      <c r="J5" s="39" t="s">
        <v>8150</v>
      </c>
    </row>
    <row r="6" ht="26.25" customHeight="1">
      <c r="A6" s="12" t="s">
        <v>80</v>
      </c>
      <c r="B6" s="35">
        <v>2021.0</v>
      </c>
      <c r="C6" s="35" t="s">
        <v>17</v>
      </c>
      <c r="D6" s="35">
        <v>1011.0</v>
      </c>
      <c r="E6" s="37" t="s">
        <v>8151</v>
      </c>
      <c r="F6" s="35" t="s">
        <v>8152</v>
      </c>
      <c r="G6" s="37" t="s">
        <v>8153</v>
      </c>
      <c r="H6" s="37" t="s">
        <v>8154</v>
      </c>
      <c r="I6" s="39" t="s">
        <v>8155</v>
      </c>
      <c r="J6" s="39" t="s">
        <v>8156</v>
      </c>
    </row>
    <row r="7" ht="26.25" customHeight="1">
      <c r="A7" s="12" t="s">
        <v>87</v>
      </c>
      <c r="B7" s="35">
        <v>2021.0</v>
      </c>
      <c r="C7" s="40" t="s">
        <v>18</v>
      </c>
      <c r="D7" s="40">
        <v>1990.0</v>
      </c>
      <c r="E7" s="39" t="s">
        <v>8157</v>
      </c>
      <c r="F7" s="40" t="s">
        <v>8158</v>
      </c>
      <c r="G7" s="39" t="s">
        <v>8159</v>
      </c>
      <c r="H7" s="39" t="s">
        <v>8160</v>
      </c>
      <c r="I7" s="39" t="s">
        <v>8161</v>
      </c>
      <c r="J7" s="39" t="s">
        <v>8162</v>
      </c>
    </row>
    <row r="8" ht="26.25" customHeight="1">
      <c r="A8" s="12" t="s">
        <v>94</v>
      </c>
      <c r="B8" s="35">
        <v>2021.0</v>
      </c>
      <c r="C8" s="40" t="s">
        <v>18</v>
      </c>
      <c r="D8" s="40">
        <v>319.0</v>
      </c>
      <c r="E8" s="39" t="s">
        <v>8163</v>
      </c>
      <c r="F8" s="40" t="s">
        <v>8164</v>
      </c>
      <c r="G8" s="39" t="s">
        <v>8165</v>
      </c>
      <c r="H8" s="39" t="s">
        <v>8166</v>
      </c>
      <c r="I8" s="39" t="s">
        <v>8161</v>
      </c>
      <c r="J8" s="39" t="s">
        <v>8167</v>
      </c>
    </row>
    <row r="9" ht="26.25" customHeight="1">
      <c r="A9" s="12" t="s">
        <v>101</v>
      </c>
      <c r="B9" s="35">
        <v>2021.0</v>
      </c>
      <c r="C9" s="35" t="s">
        <v>22</v>
      </c>
      <c r="D9" s="35">
        <v>3626.0</v>
      </c>
      <c r="E9" s="37" t="s">
        <v>8168</v>
      </c>
      <c r="F9" s="35" t="s">
        <v>8169</v>
      </c>
      <c r="G9" s="37" t="s">
        <v>8170</v>
      </c>
      <c r="H9" s="37" t="s">
        <v>8171</v>
      </c>
      <c r="I9" s="39" t="s">
        <v>8161</v>
      </c>
      <c r="J9" s="39" t="s">
        <v>8172</v>
      </c>
    </row>
    <row r="10" ht="26.25" customHeight="1">
      <c r="A10" s="12" t="s">
        <v>108</v>
      </c>
      <c r="B10" s="35">
        <v>2021.0</v>
      </c>
      <c r="C10" s="35" t="s">
        <v>22</v>
      </c>
      <c r="D10" s="35">
        <v>3325.0</v>
      </c>
      <c r="E10" s="37" t="s">
        <v>8173</v>
      </c>
      <c r="F10" s="35" t="s">
        <v>8174</v>
      </c>
      <c r="G10" s="37" t="s">
        <v>8175</v>
      </c>
      <c r="H10" s="37" t="s">
        <v>8176</v>
      </c>
      <c r="I10" s="39" t="s">
        <v>8161</v>
      </c>
      <c r="J10" s="39" t="s">
        <v>8177</v>
      </c>
    </row>
    <row r="11" ht="26.25" customHeight="1">
      <c r="A11" s="12" t="s">
        <v>113</v>
      </c>
      <c r="B11" s="35">
        <v>2022.0</v>
      </c>
      <c r="C11" s="35" t="s">
        <v>11</v>
      </c>
      <c r="D11" s="35">
        <v>3786.0</v>
      </c>
      <c r="E11" s="37" t="s">
        <v>8178</v>
      </c>
      <c r="F11" s="35" t="s">
        <v>8179</v>
      </c>
      <c r="G11" s="36" t="s">
        <v>8180</v>
      </c>
      <c r="H11" s="37" t="s">
        <v>8181</v>
      </c>
      <c r="I11" s="39" t="s">
        <v>8161</v>
      </c>
      <c r="J11" s="39" t="s">
        <v>8182</v>
      </c>
    </row>
    <row r="12" ht="26.25" customHeight="1">
      <c r="A12" s="12" t="s">
        <v>120</v>
      </c>
      <c r="B12" s="35">
        <v>2022.0</v>
      </c>
      <c r="C12" s="40" t="s">
        <v>11</v>
      </c>
      <c r="D12" s="40">
        <v>4075.0</v>
      </c>
      <c r="E12" s="39" t="s">
        <v>8183</v>
      </c>
      <c r="F12" s="40" t="s">
        <v>8184</v>
      </c>
      <c r="G12" s="36" t="s">
        <v>8185</v>
      </c>
      <c r="H12" s="39" t="s">
        <v>8186</v>
      </c>
      <c r="I12" s="39" t="s">
        <v>8161</v>
      </c>
      <c r="J12" s="39" t="s">
        <v>8187</v>
      </c>
    </row>
    <row r="13" ht="26.25" customHeight="1">
      <c r="A13" s="12" t="s">
        <v>126</v>
      </c>
      <c r="B13" s="35">
        <v>2022.0</v>
      </c>
      <c r="C13" s="40" t="s">
        <v>14</v>
      </c>
      <c r="D13" s="40">
        <v>4422.0</v>
      </c>
      <c r="E13" s="39" t="s">
        <v>8188</v>
      </c>
      <c r="F13" s="40" t="s">
        <v>8189</v>
      </c>
      <c r="G13" s="36" t="s">
        <v>8190</v>
      </c>
      <c r="H13" s="39" t="s">
        <v>8191</v>
      </c>
      <c r="I13" s="39" t="s">
        <v>8192</v>
      </c>
      <c r="J13" s="39" t="s">
        <v>8193</v>
      </c>
    </row>
    <row r="14" ht="26.25" customHeight="1">
      <c r="A14" s="12" t="s">
        <v>132</v>
      </c>
      <c r="B14" s="35">
        <v>2022.0</v>
      </c>
      <c r="C14" s="40" t="s">
        <v>15</v>
      </c>
      <c r="D14" s="40">
        <v>5653.0</v>
      </c>
      <c r="E14" s="39" t="s">
        <v>8194</v>
      </c>
      <c r="F14" s="40" t="s">
        <v>8195</v>
      </c>
      <c r="G14" s="36" t="s">
        <v>8196</v>
      </c>
      <c r="H14" s="39" t="s">
        <v>8197</v>
      </c>
      <c r="I14" s="39" t="s">
        <v>8161</v>
      </c>
      <c r="J14" s="39" t="s">
        <v>8198</v>
      </c>
    </row>
    <row r="15" ht="26.25" customHeight="1">
      <c r="A15" s="12" t="s">
        <v>138</v>
      </c>
      <c r="B15" s="35">
        <v>2022.0</v>
      </c>
      <c r="C15" s="40" t="s">
        <v>16</v>
      </c>
      <c r="D15" s="40">
        <v>4755.0</v>
      </c>
      <c r="E15" s="39" t="s">
        <v>8199</v>
      </c>
      <c r="F15" s="40" t="s">
        <v>8200</v>
      </c>
      <c r="G15" s="36" t="s">
        <v>8201</v>
      </c>
      <c r="H15" s="39" t="s">
        <v>8202</v>
      </c>
      <c r="I15" s="39" t="s">
        <v>8203</v>
      </c>
      <c r="J15" s="39" t="s">
        <v>8204</v>
      </c>
    </row>
    <row r="16" ht="26.25" customHeight="1">
      <c r="A16" s="12" t="s">
        <v>144</v>
      </c>
      <c r="B16" s="35">
        <v>2022.0</v>
      </c>
      <c r="C16" s="40" t="s">
        <v>16</v>
      </c>
      <c r="D16" s="40">
        <v>6161.0</v>
      </c>
      <c r="E16" s="39" t="s">
        <v>8205</v>
      </c>
      <c r="F16" s="41" t="s">
        <v>8206</v>
      </c>
      <c r="G16" s="36" t="s">
        <v>8207</v>
      </c>
      <c r="H16" s="39" t="s">
        <v>8208</v>
      </c>
      <c r="I16" s="39" t="s">
        <v>8161</v>
      </c>
      <c r="J16" s="39" t="s">
        <v>8209</v>
      </c>
    </row>
    <row r="17" ht="26.25" customHeight="1">
      <c r="A17" s="12" t="s">
        <v>146</v>
      </c>
      <c r="B17" s="35">
        <v>2022.0</v>
      </c>
      <c r="C17" s="40" t="s">
        <v>21</v>
      </c>
      <c r="D17" s="40">
        <v>7427.0</v>
      </c>
      <c r="E17" s="39" t="s">
        <v>8210</v>
      </c>
      <c r="F17" s="41" t="s">
        <v>8211</v>
      </c>
      <c r="G17" s="36" t="s">
        <v>8212</v>
      </c>
      <c r="H17" s="39" t="s">
        <v>8213</v>
      </c>
      <c r="I17" s="39" t="s">
        <v>8161</v>
      </c>
      <c r="J17" s="39" t="s">
        <v>8214</v>
      </c>
    </row>
    <row r="18" ht="26.25" customHeight="1">
      <c r="A18" s="12" t="s">
        <v>151</v>
      </c>
      <c r="B18" s="35">
        <v>2022.0</v>
      </c>
      <c r="C18" s="40" t="s">
        <v>22</v>
      </c>
      <c r="D18" s="40">
        <v>7767.0</v>
      </c>
      <c r="E18" s="39" t="s">
        <v>8215</v>
      </c>
      <c r="F18" s="41" t="s">
        <v>8216</v>
      </c>
      <c r="G18" s="36"/>
      <c r="H18" s="39" t="s">
        <v>8217</v>
      </c>
      <c r="I18" s="39" t="s">
        <v>8203</v>
      </c>
      <c r="J18" s="39" t="s">
        <v>8218</v>
      </c>
    </row>
    <row r="19" ht="26.25" customHeight="1">
      <c r="A19" s="12" t="s">
        <v>153</v>
      </c>
      <c r="B19" s="35">
        <v>2022.0</v>
      </c>
      <c r="C19" s="40" t="s">
        <v>22</v>
      </c>
      <c r="D19" s="40">
        <v>319.0</v>
      </c>
      <c r="E19" s="39" t="s">
        <v>8163</v>
      </c>
      <c r="F19" s="40" t="s">
        <v>8164</v>
      </c>
      <c r="G19" s="39" t="s">
        <v>8165</v>
      </c>
      <c r="H19" s="39" t="s">
        <v>8219</v>
      </c>
      <c r="I19" s="39" t="s">
        <v>8161</v>
      </c>
      <c r="J19" s="39" t="s">
        <v>8167</v>
      </c>
    </row>
    <row r="20" ht="26.25" customHeight="1">
      <c r="A20" s="12" t="s">
        <v>159</v>
      </c>
      <c r="B20" s="17">
        <v>2023.0</v>
      </c>
      <c r="C20" s="40" t="s">
        <v>11</v>
      </c>
      <c r="D20" s="40">
        <v>7832.0</v>
      </c>
      <c r="E20" s="39" t="s">
        <v>8220</v>
      </c>
      <c r="F20" s="41" t="s">
        <v>8221</v>
      </c>
      <c r="G20" s="36" t="s">
        <v>8222</v>
      </c>
      <c r="H20" s="39" t="s">
        <v>8223</v>
      </c>
      <c r="I20" s="39" t="s">
        <v>8161</v>
      </c>
      <c r="J20" s="39" t="s">
        <v>8224</v>
      </c>
    </row>
    <row r="21" ht="26.25" customHeight="1">
      <c r="A21" s="12" t="s">
        <v>165</v>
      </c>
      <c r="B21" s="17">
        <v>2023.0</v>
      </c>
      <c r="C21" s="40" t="s">
        <v>15</v>
      </c>
      <c r="D21" s="40">
        <v>3910.0</v>
      </c>
      <c r="E21" s="39" t="s">
        <v>8225</v>
      </c>
      <c r="F21" s="41" t="s">
        <v>8226</v>
      </c>
      <c r="G21" s="36" t="s">
        <v>8227</v>
      </c>
      <c r="H21" s="39" t="s">
        <v>8228</v>
      </c>
      <c r="I21" s="39" t="s">
        <v>8229</v>
      </c>
      <c r="J21" s="39" t="s">
        <v>8230</v>
      </c>
    </row>
    <row r="22" ht="26.25" customHeight="1">
      <c r="A22" s="12" t="s">
        <v>171</v>
      </c>
      <c r="B22" s="17">
        <v>2023.0</v>
      </c>
      <c r="C22" s="40" t="s">
        <v>15</v>
      </c>
      <c r="D22" s="40">
        <v>8384.0</v>
      </c>
      <c r="E22" s="39" t="s">
        <v>8231</v>
      </c>
      <c r="F22" s="41" t="s">
        <v>8232</v>
      </c>
      <c r="G22" s="36" t="s">
        <v>8233</v>
      </c>
      <c r="H22" s="39" t="s">
        <v>8234</v>
      </c>
      <c r="I22" s="39" t="s">
        <v>8161</v>
      </c>
      <c r="J22" s="39" t="s">
        <v>8235</v>
      </c>
    </row>
    <row r="23" ht="26.25" customHeight="1">
      <c r="A23" s="12" t="s">
        <v>173</v>
      </c>
      <c r="B23" s="17">
        <v>2023.0</v>
      </c>
      <c r="C23" s="40" t="s">
        <v>16</v>
      </c>
      <c r="D23" s="40">
        <v>7938.0</v>
      </c>
      <c r="E23" s="39" t="s">
        <v>8236</v>
      </c>
      <c r="F23" s="41" t="s">
        <v>8237</v>
      </c>
      <c r="G23" s="36"/>
      <c r="H23" s="39" t="s">
        <v>8238</v>
      </c>
      <c r="I23" s="39" t="s">
        <v>8161</v>
      </c>
      <c r="J23" s="39" t="s">
        <v>8239</v>
      </c>
    </row>
    <row r="24" ht="26.25" customHeight="1">
      <c r="A24" s="12" t="s">
        <v>178</v>
      </c>
      <c r="B24" s="17">
        <v>2023.0</v>
      </c>
      <c r="C24" s="40" t="s">
        <v>20</v>
      </c>
      <c r="D24" s="40">
        <v>10179.0</v>
      </c>
      <c r="E24" s="36" t="s">
        <v>8240</v>
      </c>
      <c r="F24" s="43" t="s">
        <v>8241</v>
      </c>
      <c r="G24" s="36" t="s">
        <v>8242</v>
      </c>
      <c r="H24" s="39" t="s">
        <v>8240</v>
      </c>
      <c r="I24" s="39" t="s">
        <v>8161</v>
      </c>
      <c r="J24" s="39" t="s">
        <v>8243</v>
      </c>
    </row>
    <row r="25" ht="26.25" customHeight="1">
      <c r="A25" s="12" t="s">
        <v>184</v>
      </c>
      <c r="B25" s="17">
        <v>2023.0</v>
      </c>
      <c r="C25" s="40" t="s">
        <v>20</v>
      </c>
      <c r="D25" s="40">
        <v>5653.0</v>
      </c>
      <c r="E25" s="39" t="s">
        <v>8194</v>
      </c>
      <c r="F25" s="40" t="s">
        <v>8195</v>
      </c>
      <c r="G25" s="36" t="s">
        <v>8196</v>
      </c>
      <c r="H25" s="39" t="s">
        <v>8244</v>
      </c>
      <c r="I25" s="39" t="s">
        <v>8161</v>
      </c>
      <c r="J25" s="39" t="s">
        <v>8198</v>
      </c>
    </row>
    <row r="26" ht="26.25" customHeight="1">
      <c r="A26" s="12" t="s">
        <v>190</v>
      </c>
      <c r="B26" s="17">
        <v>2023.0</v>
      </c>
      <c r="C26" s="17" t="s">
        <v>21</v>
      </c>
      <c r="D26" s="17">
        <v>10530.0</v>
      </c>
      <c r="E26" s="36" t="s">
        <v>2800</v>
      </c>
      <c r="F26" s="43" t="s">
        <v>8245</v>
      </c>
      <c r="G26" s="36" t="s">
        <v>8246</v>
      </c>
      <c r="H26" s="36" t="s">
        <v>8247</v>
      </c>
      <c r="I26" s="38" t="s">
        <v>8161</v>
      </c>
      <c r="J26" s="39" t="s">
        <v>8239</v>
      </c>
    </row>
    <row r="27" ht="26.25" customHeight="1">
      <c r="A27" s="12" t="s">
        <v>196</v>
      </c>
      <c r="B27" s="17">
        <v>2024.0</v>
      </c>
      <c r="C27" s="17" t="s">
        <v>11</v>
      </c>
      <c r="D27" s="42">
        <v>11041.0</v>
      </c>
      <c r="E27" s="38" t="s">
        <v>8248</v>
      </c>
      <c r="F27" s="43" t="s">
        <v>8249</v>
      </c>
      <c r="G27" s="36" t="s">
        <v>8250</v>
      </c>
      <c r="H27" s="38" t="s">
        <v>8251</v>
      </c>
      <c r="I27" s="38" t="s">
        <v>8161</v>
      </c>
      <c r="J27" s="38" t="s">
        <v>8252</v>
      </c>
    </row>
    <row r="28" ht="26.25" customHeight="1">
      <c r="A28" s="12" t="s">
        <v>202</v>
      </c>
      <c r="B28" s="17">
        <v>2024.0</v>
      </c>
      <c r="C28" s="17" t="s">
        <v>13</v>
      </c>
      <c r="D28" s="17">
        <v>11150.0</v>
      </c>
      <c r="E28" s="36" t="s">
        <v>8253</v>
      </c>
      <c r="F28" s="48" t="s">
        <v>8254</v>
      </c>
      <c r="G28" s="36" t="s">
        <v>8255</v>
      </c>
      <c r="H28" s="36" t="s">
        <v>8256</v>
      </c>
      <c r="I28" s="38" t="s">
        <v>8161</v>
      </c>
      <c r="J28" s="38" t="s">
        <v>8257</v>
      </c>
    </row>
    <row r="29" ht="26.25" customHeight="1">
      <c r="A29" s="12" t="s">
        <v>208</v>
      </c>
      <c r="B29" s="17">
        <v>2024.0</v>
      </c>
      <c r="C29" s="17" t="s">
        <v>17</v>
      </c>
      <c r="D29" s="17">
        <v>7889.0</v>
      </c>
      <c r="E29" s="36" t="s">
        <v>8258</v>
      </c>
      <c r="F29" s="48" t="s">
        <v>8259</v>
      </c>
      <c r="G29" s="36" t="s">
        <v>8260</v>
      </c>
      <c r="H29" s="49" t="s">
        <v>8261</v>
      </c>
      <c r="I29" s="38" t="s">
        <v>8161</v>
      </c>
      <c r="J29" s="38" t="s">
        <v>8262</v>
      </c>
    </row>
    <row r="30" ht="26.25" customHeight="1">
      <c r="A30" s="12" t="s">
        <v>213</v>
      </c>
      <c r="B30" s="17">
        <v>2024.0</v>
      </c>
      <c r="C30" s="17" t="s">
        <v>18</v>
      </c>
      <c r="D30" s="15">
        <v>8384.0</v>
      </c>
      <c r="E30" s="77" t="s">
        <v>8263</v>
      </c>
      <c r="F30" s="48" t="s">
        <v>8264</v>
      </c>
      <c r="G30" s="36" t="s">
        <v>8233</v>
      </c>
      <c r="H30" s="49" t="s">
        <v>8265</v>
      </c>
      <c r="I30" s="38" t="s">
        <v>8161</v>
      </c>
      <c r="J30" s="38" t="s">
        <v>8235</v>
      </c>
    </row>
    <row r="31" ht="26.25" customHeight="1">
      <c r="A31" s="12" t="s">
        <v>215</v>
      </c>
      <c r="B31" s="17">
        <v>2024.0</v>
      </c>
      <c r="C31" s="17" t="s">
        <v>18</v>
      </c>
      <c r="D31" s="15">
        <v>12997.0</v>
      </c>
      <c r="E31" s="77" t="s">
        <v>8266</v>
      </c>
      <c r="F31" s="48" t="s">
        <v>8267</v>
      </c>
      <c r="G31" s="36" t="s">
        <v>8268</v>
      </c>
      <c r="H31" s="49" t="s">
        <v>8269</v>
      </c>
      <c r="I31" s="38" t="s">
        <v>8161</v>
      </c>
      <c r="J31" s="38" t="s">
        <v>8270</v>
      </c>
    </row>
    <row r="32" ht="26.25" customHeight="1">
      <c r="A32" s="12" t="s">
        <v>354</v>
      </c>
      <c r="B32" s="17">
        <v>2024.0</v>
      </c>
      <c r="C32" s="17" t="s">
        <v>19</v>
      </c>
      <c r="D32" s="15">
        <v>13237.0</v>
      </c>
      <c r="E32" s="49" t="s">
        <v>8271</v>
      </c>
      <c r="F32" s="50" t="s">
        <v>8272</v>
      </c>
      <c r="G32" s="36" t="s">
        <v>8273</v>
      </c>
      <c r="H32" s="49" t="s">
        <v>8274</v>
      </c>
      <c r="I32" s="49" t="s">
        <v>8275</v>
      </c>
      <c r="J32" s="38" t="s">
        <v>8276</v>
      </c>
    </row>
    <row r="33" ht="26.25" customHeight="1">
      <c r="A33" s="12" t="s">
        <v>358</v>
      </c>
      <c r="B33" s="17">
        <v>2025.0</v>
      </c>
      <c r="C33" s="17" t="s">
        <v>17</v>
      </c>
      <c r="D33" s="15">
        <v>15894.0</v>
      </c>
      <c r="E33" s="49" t="s">
        <v>8277</v>
      </c>
      <c r="F33" s="50" t="s">
        <v>8278</v>
      </c>
      <c r="G33" s="36" t="s">
        <v>8279</v>
      </c>
      <c r="H33" s="49" t="s">
        <v>8280</v>
      </c>
      <c r="I33" s="49" t="s">
        <v>8161</v>
      </c>
      <c r="J33" s="38" t="s">
        <v>8281</v>
      </c>
    </row>
    <row r="34" ht="26.25" customHeight="1">
      <c r="A34" s="12" t="s">
        <v>360</v>
      </c>
      <c r="B34" s="17">
        <v>2025.0</v>
      </c>
      <c r="C34" s="17" t="s">
        <v>20</v>
      </c>
      <c r="D34" s="15">
        <v>16620.0</v>
      </c>
      <c r="E34" s="49" t="s">
        <v>8282</v>
      </c>
      <c r="F34" s="54" t="s">
        <v>8283</v>
      </c>
      <c r="G34" s="36"/>
      <c r="H34" s="49" t="s">
        <v>8284</v>
      </c>
      <c r="I34" s="61" t="s">
        <v>8285</v>
      </c>
      <c r="J34" s="38" t="s">
        <v>8286</v>
      </c>
    </row>
    <row r="35" ht="26.25" customHeight="1">
      <c r="A35" s="12" t="s">
        <v>366</v>
      </c>
      <c r="B35" s="20">
        <v>2026.0</v>
      </c>
      <c r="C35" s="20" t="s">
        <v>12</v>
      </c>
      <c r="D35" s="57">
        <v>17793.0</v>
      </c>
      <c r="E35" s="58" t="s">
        <v>8287</v>
      </c>
      <c r="F35" s="59" t="s">
        <v>8288</v>
      </c>
      <c r="G35" s="157" t="s">
        <v>8289</v>
      </c>
      <c r="H35" s="58" t="s">
        <v>8290</v>
      </c>
      <c r="I35" s="58" t="s">
        <v>8161</v>
      </c>
      <c r="J35" s="96" t="s">
        <v>8291</v>
      </c>
    </row>
    <row r="36" ht="26.25" customHeight="1">
      <c r="A36" s="12" t="s">
        <v>372</v>
      </c>
      <c r="B36" s="20">
        <v>2026.0</v>
      </c>
      <c r="C36" s="20" t="s">
        <v>12</v>
      </c>
      <c r="D36" s="57">
        <v>17861.0</v>
      </c>
      <c r="E36" s="58" t="s">
        <v>8292</v>
      </c>
      <c r="F36" s="59" t="s">
        <v>8293</v>
      </c>
      <c r="G36" s="157" t="s">
        <v>8294</v>
      </c>
      <c r="H36" s="58" t="s">
        <v>8295</v>
      </c>
      <c r="I36" s="58" t="s">
        <v>8161</v>
      </c>
      <c r="J36" s="96" t="s">
        <v>8296</v>
      </c>
    </row>
    <row r="37" ht="26.25" customHeight="1">
      <c r="A37" s="12" t="s">
        <v>377</v>
      </c>
      <c r="B37" s="20">
        <v>2026.0</v>
      </c>
      <c r="C37" s="20" t="s">
        <v>16</v>
      </c>
      <c r="D37" s="62">
        <v>5653.0</v>
      </c>
      <c r="E37" s="63" t="s">
        <v>7447</v>
      </c>
      <c r="F37" s="64" t="s">
        <v>8297</v>
      </c>
      <c r="G37" s="97" t="s">
        <v>8196</v>
      </c>
      <c r="H37" s="63" t="s">
        <v>8298</v>
      </c>
      <c r="I37" s="63" t="s">
        <v>8161</v>
      </c>
      <c r="J37" s="87" t="s">
        <v>8299</v>
      </c>
    </row>
    <row r="38" ht="26.25" customHeight="1">
      <c r="A38" s="12" t="s">
        <v>383</v>
      </c>
      <c r="B38" s="20">
        <v>2026.0</v>
      </c>
      <c r="C38" s="20" t="s">
        <v>16</v>
      </c>
      <c r="D38" s="65">
        <v>18919.0</v>
      </c>
      <c r="E38" s="63" t="s">
        <v>8300</v>
      </c>
      <c r="F38" s="64" t="s">
        <v>8301</v>
      </c>
      <c r="G38" s="97" t="s">
        <v>8302</v>
      </c>
      <c r="H38" s="63" t="s">
        <v>8303</v>
      </c>
      <c r="I38" s="63" t="s">
        <v>8161</v>
      </c>
      <c r="J38" s="87" t="s">
        <v>8304</v>
      </c>
    </row>
    <row r="39" ht="26.25" customHeight="1">
      <c r="A39" s="163" t="s">
        <v>222</v>
      </c>
      <c r="C39" s="53"/>
      <c r="D39" s="53"/>
      <c r="E39" s="53">
        <f t="array" ref="E39">sum(1/countif(E35:E38,E35:E38))</f>
        <v>4</v>
      </c>
      <c r="F39" s="53"/>
      <c r="G39" s="53"/>
      <c r="H39" s="53">
        <f t="array" ref="H39">sum(1/countif(H35:H38,H35:H38))</f>
        <v>4</v>
      </c>
      <c r="I39" s="53">
        <v>0.0</v>
      </c>
      <c r="J39" s="53"/>
    </row>
    <row r="40" ht="26.25" customHeight="1">
      <c r="A40" s="163" t="s">
        <v>7323</v>
      </c>
      <c r="C40" s="53"/>
      <c r="D40" s="53"/>
      <c r="E40" s="53">
        <f t="array" ref="E40">sum(1/countif(E5:E39,E5:E39))</f>
        <v>33</v>
      </c>
      <c r="F40" s="53"/>
      <c r="G40" s="53"/>
      <c r="H40" s="53">
        <f t="array" ref="H40">sum(1/countif(H5:H39,H5:H39))</f>
        <v>35</v>
      </c>
      <c r="I40" s="53">
        <f t="array" ref="I40">sum(1/countif(I5:I34,I5:I34))</f>
        <v>8</v>
      </c>
      <c r="J40" s="53"/>
    </row>
  </sheetData>
  <mergeCells count="5">
    <mergeCell ref="A1:J1"/>
    <mergeCell ref="A2:J2"/>
    <mergeCell ref="A3:J3"/>
    <mergeCell ref="A39:B39"/>
    <mergeCell ref="A40:B40"/>
  </mergeCells>
  <drawing r:id="rId1"/>
  <tableParts count="4">
    <tablePart r:id="rId6"/>
    <tablePart r:id="rId7"/>
    <tablePart r:id="rId8"/>
    <tablePart r:id="rId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7.29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1257.0</v>
      </c>
      <c r="E5" s="37" t="s">
        <v>8305</v>
      </c>
      <c r="F5" s="35" t="s">
        <v>8306</v>
      </c>
      <c r="G5" s="37" t="s">
        <v>8307</v>
      </c>
      <c r="H5" s="36" t="s">
        <v>8308</v>
      </c>
      <c r="I5" s="39" t="s">
        <v>8309</v>
      </c>
      <c r="J5" s="39" t="s">
        <v>8310</v>
      </c>
    </row>
    <row r="6" ht="26.25" customHeight="1">
      <c r="A6" s="12" t="s">
        <v>80</v>
      </c>
      <c r="B6" s="35">
        <v>2021.0</v>
      </c>
      <c r="C6" s="35" t="s">
        <v>16</v>
      </c>
      <c r="D6" s="35">
        <v>857.0</v>
      </c>
      <c r="E6" s="37" t="s">
        <v>8311</v>
      </c>
      <c r="F6" s="72" t="s">
        <v>8312</v>
      </c>
      <c r="G6" s="37" t="s">
        <v>8313</v>
      </c>
      <c r="H6" s="36" t="s">
        <v>8314</v>
      </c>
      <c r="I6" s="39" t="s">
        <v>8309</v>
      </c>
      <c r="J6" s="39" t="s">
        <v>8315</v>
      </c>
    </row>
    <row r="7" ht="26.25" customHeight="1">
      <c r="A7" s="12" t="s">
        <v>87</v>
      </c>
      <c r="B7" s="35">
        <v>2021.0</v>
      </c>
      <c r="C7" s="40" t="s">
        <v>19</v>
      </c>
      <c r="D7" s="40">
        <v>2193.0</v>
      </c>
      <c r="E7" s="39" t="s">
        <v>8316</v>
      </c>
      <c r="F7" s="40" t="s">
        <v>8317</v>
      </c>
      <c r="G7" s="39" t="s">
        <v>8318</v>
      </c>
      <c r="H7" s="38" t="s">
        <v>8319</v>
      </c>
      <c r="I7" s="39" t="s">
        <v>8320</v>
      </c>
      <c r="J7" s="39" t="s">
        <v>8321</v>
      </c>
    </row>
    <row r="8" ht="26.25" customHeight="1">
      <c r="A8" s="12" t="s">
        <v>94</v>
      </c>
      <c r="B8" s="35">
        <v>2021.0</v>
      </c>
      <c r="C8" s="40" t="s">
        <v>20</v>
      </c>
      <c r="D8" s="40">
        <v>2019.0</v>
      </c>
      <c r="E8" s="39" t="s">
        <v>8322</v>
      </c>
      <c r="F8" s="40" t="s">
        <v>8323</v>
      </c>
      <c r="G8" s="39" t="s">
        <v>8324</v>
      </c>
      <c r="H8" s="36" t="s">
        <v>8325</v>
      </c>
      <c r="I8" s="39" t="s">
        <v>8309</v>
      </c>
      <c r="J8" s="39" t="s">
        <v>8326</v>
      </c>
    </row>
    <row r="9" ht="26.25" customHeight="1">
      <c r="A9" s="12" t="s">
        <v>101</v>
      </c>
      <c r="B9" s="35">
        <v>2021.0</v>
      </c>
      <c r="C9" s="40" t="s">
        <v>22</v>
      </c>
      <c r="D9" s="40">
        <v>3107.0</v>
      </c>
      <c r="E9" s="39" t="s">
        <v>8327</v>
      </c>
      <c r="F9" s="40" t="s">
        <v>8328</v>
      </c>
      <c r="G9" s="39" t="s">
        <v>8329</v>
      </c>
      <c r="H9" s="38" t="s">
        <v>8330</v>
      </c>
      <c r="I9" s="39" t="s">
        <v>8309</v>
      </c>
      <c r="J9" s="39" t="s">
        <v>8331</v>
      </c>
    </row>
    <row r="10" ht="26.25" customHeight="1">
      <c r="A10" s="12" t="s">
        <v>108</v>
      </c>
      <c r="B10" s="35">
        <v>2022.0</v>
      </c>
      <c r="C10" s="35" t="s">
        <v>11</v>
      </c>
      <c r="D10" s="35">
        <v>2563.0</v>
      </c>
      <c r="E10" s="37" t="s">
        <v>8332</v>
      </c>
      <c r="F10" s="35" t="s">
        <v>8333</v>
      </c>
      <c r="G10" s="39" t="s">
        <v>8334</v>
      </c>
      <c r="H10" s="36" t="s">
        <v>8335</v>
      </c>
      <c r="I10" s="39" t="s">
        <v>8309</v>
      </c>
      <c r="J10" s="39" t="s">
        <v>8336</v>
      </c>
    </row>
    <row r="11" ht="26.25" customHeight="1">
      <c r="A11" s="12" t="s">
        <v>113</v>
      </c>
      <c r="B11" s="35">
        <v>2022.0</v>
      </c>
      <c r="C11" s="40" t="s">
        <v>11</v>
      </c>
      <c r="D11" s="40">
        <v>3950.0</v>
      </c>
      <c r="E11" s="39" t="s">
        <v>8337</v>
      </c>
      <c r="F11" s="41" t="s">
        <v>8338</v>
      </c>
      <c r="G11" s="39" t="s">
        <v>8339</v>
      </c>
      <c r="H11" s="38" t="s">
        <v>8340</v>
      </c>
      <c r="I11" s="39" t="s">
        <v>8309</v>
      </c>
      <c r="J11" s="39" t="s">
        <v>8341</v>
      </c>
    </row>
    <row r="12" ht="26.25" customHeight="1">
      <c r="A12" s="12" t="s">
        <v>120</v>
      </c>
      <c r="B12" s="35">
        <v>2022.0</v>
      </c>
      <c r="C12" s="40" t="s">
        <v>12</v>
      </c>
      <c r="D12" s="40">
        <v>3749.0</v>
      </c>
      <c r="E12" s="39" t="s">
        <v>8342</v>
      </c>
      <c r="F12" s="40" t="s">
        <v>8343</v>
      </c>
      <c r="G12" s="39" t="s">
        <v>8344</v>
      </c>
      <c r="H12" s="38" t="s">
        <v>1641</v>
      </c>
      <c r="I12" s="39" t="s">
        <v>8309</v>
      </c>
      <c r="J12" s="39" t="s">
        <v>8345</v>
      </c>
    </row>
    <row r="13" ht="26.25" customHeight="1">
      <c r="A13" s="12" t="s">
        <v>126</v>
      </c>
      <c r="B13" s="35">
        <v>2022.0</v>
      </c>
      <c r="C13" s="40" t="s">
        <v>13</v>
      </c>
      <c r="D13" s="40">
        <v>2014.0</v>
      </c>
      <c r="E13" s="39" t="s">
        <v>8346</v>
      </c>
      <c r="F13" s="40" t="s">
        <v>8347</v>
      </c>
      <c r="G13" s="39" t="s">
        <v>8348</v>
      </c>
      <c r="H13" s="38" t="s">
        <v>8349</v>
      </c>
      <c r="I13" s="39" t="s">
        <v>8350</v>
      </c>
      <c r="J13" s="39" t="s">
        <v>8351</v>
      </c>
    </row>
    <row r="14" ht="26.25" customHeight="1">
      <c r="A14" s="12" t="s">
        <v>132</v>
      </c>
      <c r="B14" s="35">
        <v>2022.0</v>
      </c>
      <c r="C14" s="40" t="s">
        <v>14</v>
      </c>
      <c r="D14" s="17">
        <v>5476.0</v>
      </c>
      <c r="E14" s="36" t="s">
        <v>8352</v>
      </c>
      <c r="F14" s="43" t="s">
        <v>8353</v>
      </c>
      <c r="G14" s="39" t="s">
        <v>8354</v>
      </c>
      <c r="H14" s="38" t="s">
        <v>8352</v>
      </c>
      <c r="I14" s="39" t="s">
        <v>8309</v>
      </c>
      <c r="J14" s="39" t="s">
        <v>8355</v>
      </c>
    </row>
    <row r="15" ht="26.25" customHeight="1">
      <c r="A15" s="12" t="s">
        <v>138</v>
      </c>
      <c r="B15" s="35">
        <v>2022.0</v>
      </c>
      <c r="C15" s="35" t="s">
        <v>14</v>
      </c>
      <c r="D15" s="35">
        <v>857.0</v>
      </c>
      <c r="E15" s="37" t="s">
        <v>8311</v>
      </c>
      <c r="F15" s="35" t="s">
        <v>8356</v>
      </c>
      <c r="G15" s="39" t="s">
        <v>8313</v>
      </c>
      <c r="H15" s="38" t="s">
        <v>8357</v>
      </c>
      <c r="I15" s="39" t="s">
        <v>8309</v>
      </c>
      <c r="J15" s="39" t="s">
        <v>8315</v>
      </c>
    </row>
    <row r="16" ht="26.25" customHeight="1">
      <c r="A16" s="12" t="s">
        <v>144</v>
      </c>
      <c r="B16" s="17">
        <v>2022.0</v>
      </c>
      <c r="C16" s="17" t="s">
        <v>14</v>
      </c>
      <c r="D16" s="17">
        <v>4954.0</v>
      </c>
      <c r="E16" s="36" t="s">
        <v>8358</v>
      </c>
      <c r="F16" s="42" t="s">
        <v>8359</v>
      </c>
      <c r="G16" s="38" t="s">
        <v>8360</v>
      </c>
      <c r="H16" s="38" t="s">
        <v>8361</v>
      </c>
      <c r="I16" s="38" t="s">
        <v>8309</v>
      </c>
      <c r="J16" s="38" t="s">
        <v>8362</v>
      </c>
    </row>
    <row r="17" ht="26.25" customHeight="1">
      <c r="A17" s="12" t="s">
        <v>146</v>
      </c>
      <c r="B17" s="17">
        <v>2022.0</v>
      </c>
      <c r="C17" s="42" t="s">
        <v>17</v>
      </c>
      <c r="D17" s="42">
        <v>3107.0</v>
      </c>
      <c r="E17" s="38" t="s">
        <v>8327</v>
      </c>
      <c r="F17" s="42" t="s">
        <v>8328</v>
      </c>
      <c r="G17" s="38" t="s">
        <v>8329</v>
      </c>
      <c r="H17" s="38" t="s">
        <v>8363</v>
      </c>
      <c r="I17" s="38" t="s">
        <v>8309</v>
      </c>
      <c r="J17" s="38" t="s">
        <v>8331</v>
      </c>
    </row>
    <row r="18" ht="26.25" customHeight="1">
      <c r="A18" s="12" t="s">
        <v>151</v>
      </c>
      <c r="B18" s="35">
        <v>2022.0</v>
      </c>
      <c r="C18" s="40" t="s">
        <v>19</v>
      </c>
      <c r="D18" s="42">
        <v>6835.0</v>
      </c>
      <c r="E18" s="38" t="s">
        <v>8364</v>
      </c>
      <c r="F18" s="42" t="s">
        <v>8365</v>
      </c>
      <c r="G18" s="39" t="s">
        <v>8366</v>
      </c>
      <c r="H18" s="38" t="s">
        <v>8367</v>
      </c>
      <c r="I18" s="39" t="s">
        <v>8350</v>
      </c>
      <c r="J18" s="39" t="s">
        <v>8368</v>
      </c>
    </row>
    <row r="19" ht="26.25" customHeight="1">
      <c r="A19" s="12" t="s">
        <v>153</v>
      </c>
      <c r="B19" s="35">
        <v>2022.0</v>
      </c>
      <c r="C19" s="40" t="s">
        <v>19</v>
      </c>
      <c r="D19" s="40">
        <v>6838.0</v>
      </c>
      <c r="E19" s="39" t="s">
        <v>8369</v>
      </c>
      <c r="F19" s="41" t="s">
        <v>8370</v>
      </c>
      <c r="G19" s="39" t="s">
        <v>8371</v>
      </c>
      <c r="H19" s="38" t="s">
        <v>8372</v>
      </c>
      <c r="I19" s="39" t="s">
        <v>8350</v>
      </c>
      <c r="J19" s="39" t="s">
        <v>8373</v>
      </c>
    </row>
    <row r="20" ht="26.25" customHeight="1">
      <c r="A20" s="12" t="s">
        <v>159</v>
      </c>
      <c r="B20" s="17">
        <v>2022.0</v>
      </c>
      <c r="C20" s="17" t="s">
        <v>22</v>
      </c>
      <c r="D20" s="17">
        <v>7617.0</v>
      </c>
      <c r="E20" s="38" t="s">
        <v>8374</v>
      </c>
      <c r="F20" s="43" t="s">
        <v>8375</v>
      </c>
      <c r="G20" s="36"/>
      <c r="H20" s="38" t="s">
        <v>7086</v>
      </c>
      <c r="I20" s="38" t="s">
        <v>8309</v>
      </c>
      <c r="J20" s="38" t="s">
        <v>8376</v>
      </c>
    </row>
    <row r="21" ht="26.25" customHeight="1">
      <c r="A21" s="12" t="s">
        <v>165</v>
      </c>
      <c r="B21" s="17">
        <v>2023.0</v>
      </c>
      <c r="C21" s="17" t="s">
        <v>12</v>
      </c>
      <c r="D21" s="17">
        <v>4954.0</v>
      </c>
      <c r="E21" s="36" t="s">
        <v>8358</v>
      </c>
      <c r="F21" s="42" t="s">
        <v>8359</v>
      </c>
      <c r="G21" s="38" t="s">
        <v>8360</v>
      </c>
      <c r="H21" s="38" t="s">
        <v>8377</v>
      </c>
      <c r="I21" s="38" t="s">
        <v>8309</v>
      </c>
      <c r="J21" s="38" t="s">
        <v>8362</v>
      </c>
    </row>
    <row r="22" ht="26.25" customHeight="1">
      <c r="A22" s="12" t="s">
        <v>171</v>
      </c>
      <c r="B22" s="17">
        <v>2023.0</v>
      </c>
      <c r="C22" s="40" t="s">
        <v>12</v>
      </c>
      <c r="D22" s="40">
        <v>8191.0</v>
      </c>
      <c r="E22" s="39" t="s">
        <v>8378</v>
      </c>
      <c r="F22" s="41" t="s">
        <v>8379</v>
      </c>
      <c r="G22" s="39" t="s">
        <v>8380</v>
      </c>
      <c r="H22" s="38" t="s">
        <v>8381</v>
      </c>
      <c r="I22" s="39" t="s">
        <v>8309</v>
      </c>
      <c r="J22" s="39" t="s">
        <v>8382</v>
      </c>
    </row>
    <row r="23" ht="26.25" customHeight="1">
      <c r="A23" s="12" t="s">
        <v>173</v>
      </c>
      <c r="B23" s="17">
        <v>2024.0</v>
      </c>
      <c r="C23" s="35" t="s">
        <v>12</v>
      </c>
      <c r="D23" s="35">
        <v>9543.0</v>
      </c>
      <c r="E23" s="39" t="s">
        <v>8383</v>
      </c>
      <c r="F23" s="41" t="s">
        <v>8384</v>
      </c>
      <c r="G23" s="39" t="s">
        <v>8385</v>
      </c>
      <c r="H23" s="39" t="s">
        <v>8386</v>
      </c>
      <c r="I23" s="39" t="s">
        <v>8387</v>
      </c>
      <c r="J23" s="39" t="s">
        <v>8388</v>
      </c>
    </row>
    <row r="24" ht="26.25" customHeight="1">
      <c r="A24" s="12" t="s">
        <v>178</v>
      </c>
      <c r="B24" s="17">
        <v>2024.0</v>
      </c>
      <c r="C24" s="35" t="s">
        <v>12</v>
      </c>
      <c r="D24" s="35">
        <v>11176.0</v>
      </c>
      <c r="E24" s="37" t="s">
        <v>8389</v>
      </c>
      <c r="F24" s="41" t="s">
        <v>8390</v>
      </c>
      <c r="G24" s="39" t="s">
        <v>8391</v>
      </c>
      <c r="H24" s="37" t="s">
        <v>8392</v>
      </c>
      <c r="I24" s="39" t="s">
        <v>8387</v>
      </c>
      <c r="J24" s="39" t="s">
        <v>8393</v>
      </c>
    </row>
    <row r="25" ht="26.25" customHeight="1">
      <c r="A25" s="12" t="s">
        <v>184</v>
      </c>
      <c r="B25" s="17">
        <v>2024.0</v>
      </c>
      <c r="C25" s="35" t="s">
        <v>16</v>
      </c>
      <c r="D25" s="35">
        <v>12299.0</v>
      </c>
      <c r="E25" s="37" t="s">
        <v>8394</v>
      </c>
      <c r="F25" s="72" t="s">
        <v>8395</v>
      </c>
      <c r="G25" s="39" t="s">
        <v>8396</v>
      </c>
      <c r="H25" s="37" t="s">
        <v>8397</v>
      </c>
      <c r="I25" s="37" t="s">
        <v>8309</v>
      </c>
      <c r="J25" s="39" t="s">
        <v>8398</v>
      </c>
    </row>
    <row r="26" ht="26.25" customHeight="1">
      <c r="A26" s="12" t="s">
        <v>190</v>
      </c>
      <c r="B26" s="17">
        <v>2024.0</v>
      </c>
      <c r="C26" s="17" t="s">
        <v>19</v>
      </c>
      <c r="D26" s="15">
        <v>13215.0</v>
      </c>
      <c r="E26" s="49" t="s">
        <v>8399</v>
      </c>
      <c r="F26" s="50" t="s">
        <v>8400</v>
      </c>
      <c r="G26" s="39" t="s">
        <v>8401</v>
      </c>
      <c r="H26" s="49" t="s">
        <v>8402</v>
      </c>
      <c r="I26" s="49" t="s">
        <v>8309</v>
      </c>
      <c r="J26" s="39" t="s">
        <v>8403</v>
      </c>
    </row>
    <row r="27" ht="26.25" customHeight="1">
      <c r="A27" s="12" t="s">
        <v>196</v>
      </c>
      <c r="B27" s="17">
        <v>2024.0</v>
      </c>
      <c r="C27" s="17" t="s">
        <v>22</v>
      </c>
      <c r="D27" s="15">
        <v>14119.0</v>
      </c>
      <c r="E27" s="49" t="s">
        <v>8404</v>
      </c>
      <c r="F27" s="50" t="s">
        <v>8405</v>
      </c>
      <c r="G27" s="39" t="s">
        <v>8406</v>
      </c>
      <c r="H27" s="49" t="s">
        <v>8407</v>
      </c>
      <c r="I27" s="49" t="s">
        <v>8309</v>
      </c>
      <c r="J27" s="39" t="s">
        <v>8408</v>
      </c>
    </row>
    <row r="28" ht="26.25" customHeight="1">
      <c r="A28" s="12" t="s">
        <v>202</v>
      </c>
      <c r="B28" s="17">
        <v>2025.0</v>
      </c>
      <c r="C28" s="17" t="s">
        <v>11</v>
      </c>
      <c r="D28" s="15">
        <v>12299.0</v>
      </c>
      <c r="E28" s="49" t="s">
        <v>8409</v>
      </c>
      <c r="F28" s="50" t="s">
        <v>8395</v>
      </c>
      <c r="G28" s="39" t="s">
        <v>8396</v>
      </c>
      <c r="H28" s="49" t="s">
        <v>8410</v>
      </c>
      <c r="I28" s="49" t="s">
        <v>8309</v>
      </c>
      <c r="J28" s="39" t="s">
        <v>8398</v>
      </c>
    </row>
    <row r="29" ht="26.25" customHeight="1">
      <c r="A29" s="12" t="s">
        <v>208</v>
      </c>
      <c r="B29" s="17">
        <v>2025.0</v>
      </c>
      <c r="C29" s="17" t="s">
        <v>12</v>
      </c>
      <c r="D29" s="15">
        <v>14119.0</v>
      </c>
      <c r="E29" s="49" t="s">
        <v>8404</v>
      </c>
      <c r="F29" s="50" t="s">
        <v>8405</v>
      </c>
      <c r="G29" s="39" t="s">
        <v>8406</v>
      </c>
      <c r="H29" s="49" t="s">
        <v>8407</v>
      </c>
      <c r="I29" s="49" t="s">
        <v>8309</v>
      </c>
      <c r="J29" s="39" t="s">
        <v>8408</v>
      </c>
    </row>
    <row r="30" ht="26.25" customHeight="1">
      <c r="A30" s="12" t="s">
        <v>213</v>
      </c>
      <c r="B30" s="17">
        <v>2025.0</v>
      </c>
      <c r="C30" s="17" t="s">
        <v>14</v>
      </c>
      <c r="D30" s="15">
        <v>14733.0</v>
      </c>
      <c r="E30" s="49" t="s">
        <v>8411</v>
      </c>
      <c r="F30" s="50" t="s">
        <v>8412</v>
      </c>
      <c r="G30" s="39" t="s">
        <v>8413</v>
      </c>
      <c r="H30" s="49" t="s">
        <v>8414</v>
      </c>
      <c r="I30" s="49" t="s">
        <v>8309</v>
      </c>
      <c r="J30" s="39" t="s">
        <v>8415</v>
      </c>
    </row>
    <row r="31" ht="26.25" customHeight="1">
      <c r="A31" s="12" t="s">
        <v>215</v>
      </c>
      <c r="B31" s="17">
        <v>2025.0</v>
      </c>
      <c r="C31" s="17" t="s">
        <v>17</v>
      </c>
      <c r="D31" s="15">
        <v>15746.0</v>
      </c>
      <c r="E31" s="49" t="s">
        <v>8416</v>
      </c>
      <c r="F31" s="50" t="s">
        <v>8417</v>
      </c>
      <c r="G31" s="39" t="s">
        <v>8418</v>
      </c>
      <c r="H31" s="49" t="s">
        <v>5478</v>
      </c>
      <c r="I31" s="49" t="s">
        <v>8309</v>
      </c>
      <c r="J31" s="39" t="s">
        <v>8419</v>
      </c>
    </row>
    <row r="32" ht="26.25" customHeight="1">
      <c r="A32" s="12" t="s">
        <v>354</v>
      </c>
      <c r="B32" s="17">
        <v>2025.0</v>
      </c>
      <c r="C32" s="17" t="s">
        <v>19</v>
      </c>
      <c r="D32" s="15">
        <v>16201.0</v>
      </c>
      <c r="E32" s="77" t="s">
        <v>8420</v>
      </c>
      <c r="F32" s="54" t="s">
        <v>8421</v>
      </c>
      <c r="G32" s="39" t="s">
        <v>8422</v>
      </c>
      <c r="H32" s="49" t="s">
        <v>8423</v>
      </c>
      <c r="I32" s="49" t="s">
        <v>8424</v>
      </c>
      <c r="J32" s="39" t="s">
        <v>8425</v>
      </c>
    </row>
    <row r="33" ht="26.25" customHeight="1">
      <c r="A33" s="12" t="s">
        <v>358</v>
      </c>
      <c r="B33" s="17">
        <v>2025.0</v>
      </c>
      <c r="C33" s="20" t="s">
        <v>15</v>
      </c>
      <c r="D33" s="15">
        <v>18580.0</v>
      </c>
      <c r="E33" s="49" t="s">
        <v>8426</v>
      </c>
      <c r="F33" s="54" t="s">
        <v>8427</v>
      </c>
      <c r="G33" s="145" t="s">
        <v>8428</v>
      </c>
      <c r="H33" s="61" t="s">
        <v>8429</v>
      </c>
      <c r="I33" s="61" t="s">
        <v>8430</v>
      </c>
      <c r="J33" s="145" t="s">
        <v>8431</v>
      </c>
    </row>
    <row r="34" ht="26.25" customHeight="1">
      <c r="A34" s="12" t="s">
        <v>360</v>
      </c>
      <c r="B34" s="20">
        <v>2026.0</v>
      </c>
      <c r="C34" s="20" t="s">
        <v>17</v>
      </c>
      <c r="D34" s="155">
        <v>18931.0</v>
      </c>
      <c r="E34" s="61" t="s">
        <v>8432</v>
      </c>
      <c r="F34" s="166" t="s">
        <v>8433</v>
      </c>
      <c r="G34" s="145" t="s">
        <v>8434</v>
      </c>
      <c r="H34" s="142" t="s">
        <v>8435</v>
      </c>
      <c r="I34" s="142" t="s">
        <v>8436</v>
      </c>
      <c r="J34" s="87" t="s">
        <v>8437</v>
      </c>
    </row>
    <row r="35" ht="26.25" customHeight="1">
      <c r="A35" s="163" t="s">
        <v>222</v>
      </c>
      <c r="C35" s="53"/>
      <c r="D35" s="53"/>
      <c r="E35" s="53" t="str">
        <f t="array" ref="E35">sum(1/countif(E35,E35))</f>
        <v>#REF!</v>
      </c>
      <c r="F35" s="53"/>
      <c r="G35" s="53"/>
      <c r="H35" s="53" t="str">
        <f t="array" ref="H35">sum(1/countif(H35,H35))</f>
        <v>#REF!</v>
      </c>
      <c r="I35" s="53">
        <f t="array" ref="I35">sum(1/countif(I34,I34))</f>
        <v>1</v>
      </c>
      <c r="J35" s="53"/>
    </row>
    <row r="36" ht="26.25" customHeight="1">
      <c r="A36" s="163" t="s">
        <v>223</v>
      </c>
      <c r="C36" s="53"/>
      <c r="D36" s="53"/>
      <c r="E36" s="53">
        <f t="array" ref="E36">sum(1/countif(E5:E35,E5:E35))</f>
        <v>27</v>
      </c>
      <c r="F36" s="53"/>
      <c r="G36" s="53"/>
      <c r="H36" s="53">
        <f t="array" ref="H36">sum(1/countif(H5:H35,H5:H35))</f>
        <v>30</v>
      </c>
      <c r="I36" s="53">
        <f t="array" ref="I36">sum(1/countif(I5:I34,I5:I34))</f>
        <v>6</v>
      </c>
      <c r="J36" s="53"/>
    </row>
  </sheetData>
  <mergeCells count="5">
    <mergeCell ref="A1:J1"/>
    <mergeCell ref="A2:J2"/>
    <mergeCell ref="A3:J3"/>
    <mergeCell ref="A35:B35"/>
    <mergeCell ref="A36:B36"/>
  </mergeCell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14"/>
    <col customWidth="1" min="2" max="4" width="11.29"/>
    <col customWidth="1" min="5" max="5" width="21.29"/>
    <col customWidth="1" min="6" max="6" width="16.29"/>
    <col customWidth="1" min="7" max="7" width="29.43"/>
    <col customWidth="1" min="8" max="8" width="44.71"/>
    <col customWidth="1" min="9" max="9" width="18.71"/>
    <col customWidth="1" min="10" max="10" width="79.71"/>
  </cols>
  <sheetData>
    <row r="1" ht="25.5" customHeight="1">
      <c r="A1" s="25" t="s">
        <v>0</v>
      </c>
    </row>
    <row r="2" ht="26.25" customHeight="1">
      <c r="A2" s="25" t="s">
        <v>1</v>
      </c>
    </row>
    <row r="3" ht="26.25" customHeight="1">
      <c r="A3" s="26" t="s">
        <v>2</v>
      </c>
    </row>
    <row r="4" ht="41.25" customHeight="1">
      <c r="A4" s="7" t="s">
        <v>64</v>
      </c>
      <c r="B4" s="27" t="s">
        <v>65</v>
      </c>
      <c r="C4" s="28" t="s">
        <v>66</v>
      </c>
      <c r="D4" s="29" t="s">
        <v>67</v>
      </c>
      <c r="E4" s="30" t="s">
        <v>68</v>
      </c>
      <c r="F4" s="31" t="s">
        <v>69</v>
      </c>
      <c r="G4" s="32" t="s">
        <v>70</v>
      </c>
      <c r="H4" s="33" t="s">
        <v>71</v>
      </c>
      <c r="I4" s="34" t="s">
        <v>72</v>
      </c>
      <c r="J4" s="34" t="s">
        <v>73</v>
      </c>
    </row>
    <row r="5" ht="26.25" customHeight="1">
      <c r="A5" s="12" t="s">
        <v>24</v>
      </c>
      <c r="B5" s="35">
        <v>2021.0</v>
      </c>
      <c r="C5" s="35" t="s">
        <v>16</v>
      </c>
      <c r="D5" s="35">
        <v>1060.0</v>
      </c>
      <c r="E5" s="37" t="s">
        <v>8438</v>
      </c>
      <c r="F5" s="35" t="s">
        <v>8439</v>
      </c>
      <c r="G5" s="37" t="s">
        <v>8440</v>
      </c>
      <c r="H5" s="37" t="s">
        <v>8441</v>
      </c>
      <c r="I5" s="39" t="s">
        <v>8442</v>
      </c>
      <c r="J5" s="39" t="s">
        <v>8443</v>
      </c>
    </row>
    <row r="6" ht="26.25" customHeight="1">
      <c r="A6" s="12" t="s">
        <v>80</v>
      </c>
      <c r="B6" s="35">
        <v>2021.0</v>
      </c>
      <c r="C6" s="40" t="s">
        <v>19</v>
      </c>
      <c r="D6" s="40">
        <v>2343.0</v>
      </c>
      <c r="E6" s="39" t="s">
        <v>8444</v>
      </c>
      <c r="F6" s="40" t="s">
        <v>8445</v>
      </c>
      <c r="G6" s="39" t="s">
        <v>8446</v>
      </c>
      <c r="H6" s="39" t="s">
        <v>8447</v>
      </c>
      <c r="I6" s="39" t="s">
        <v>8448</v>
      </c>
      <c r="J6" s="39" t="s">
        <v>8449</v>
      </c>
    </row>
    <row r="7" ht="26.25" customHeight="1">
      <c r="A7" s="12" t="s">
        <v>87</v>
      </c>
      <c r="B7" s="35">
        <v>2021.0</v>
      </c>
      <c r="C7" s="40" t="s">
        <v>19</v>
      </c>
      <c r="D7" s="40">
        <v>2496.0</v>
      </c>
      <c r="E7" s="39" t="s">
        <v>8450</v>
      </c>
      <c r="F7" s="40" t="s">
        <v>8451</v>
      </c>
      <c r="G7" s="39" t="s">
        <v>8452</v>
      </c>
      <c r="H7" s="39" t="s">
        <v>8453</v>
      </c>
      <c r="I7" s="39" t="s">
        <v>8454</v>
      </c>
      <c r="J7" s="39" t="s">
        <v>8455</v>
      </c>
    </row>
    <row r="8" ht="26.25" customHeight="1">
      <c r="A8" s="12" t="s">
        <v>94</v>
      </c>
      <c r="B8" s="35">
        <v>2021.0</v>
      </c>
      <c r="C8" s="40" t="s">
        <v>19</v>
      </c>
      <c r="D8" s="40">
        <v>2370.0</v>
      </c>
      <c r="E8" s="39" t="s">
        <v>8456</v>
      </c>
      <c r="F8" s="40" t="s">
        <v>8457</v>
      </c>
      <c r="G8" s="39" t="s">
        <v>8458</v>
      </c>
      <c r="H8" s="39" t="s">
        <v>8459</v>
      </c>
      <c r="I8" s="39" t="s">
        <v>8442</v>
      </c>
      <c r="J8" s="39" t="s">
        <v>8460</v>
      </c>
    </row>
    <row r="9" ht="26.25" customHeight="1">
      <c r="A9" s="12" t="s">
        <v>101</v>
      </c>
      <c r="B9" s="35">
        <v>2021.0</v>
      </c>
      <c r="C9" s="40" t="s">
        <v>19</v>
      </c>
      <c r="D9" s="40">
        <v>284.0</v>
      </c>
      <c r="E9" s="39" t="s">
        <v>8461</v>
      </c>
      <c r="F9" s="40" t="s">
        <v>8462</v>
      </c>
      <c r="G9" s="39" t="s">
        <v>8463</v>
      </c>
      <c r="H9" s="39" t="s">
        <v>8461</v>
      </c>
      <c r="I9" s="39" t="s">
        <v>8448</v>
      </c>
      <c r="J9" s="39" t="s">
        <v>8464</v>
      </c>
    </row>
    <row r="10" ht="26.25" customHeight="1">
      <c r="A10" s="12" t="s">
        <v>108</v>
      </c>
      <c r="B10" s="35">
        <v>2021.0</v>
      </c>
      <c r="C10" s="40" t="s">
        <v>20</v>
      </c>
      <c r="D10" s="40">
        <v>2778.0</v>
      </c>
      <c r="E10" s="39" t="s">
        <v>8465</v>
      </c>
      <c r="F10" s="40" t="s">
        <v>8466</v>
      </c>
      <c r="G10" s="39" t="s">
        <v>8467</v>
      </c>
      <c r="H10" s="39" t="s">
        <v>8468</v>
      </c>
      <c r="I10" s="39" t="s">
        <v>8442</v>
      </c>
      <c r="J10" s="39" t="s">
        <v>8469</v>
      </c>
    </row>
    <row r="11" ht="26.25" customHeight="1">
      <c r="A11" s="12" t="s">
        <v>113</v>
      </c>
      <c r="B11" s="35">
        <v>2021.0</v>
      </c>
      <c r="C11" s="35" t="s">
        <v>20</v>
      </c>
      <c r="D11" s="35">
        <v>2700.0</v>
      </c>
      <c r="E11" s="37" t="s">
        <v>8327</v>
      </c>
      <c r="F11" s="40" t="s">
        <v>8470</v>
      </c>
      <c r="G11" s="39" t="s">
        <v>8471</v>
      </c>
      <c r="H11" s="37" t="s">
        <v>8472</v>
      </c>
      <c r="I11" s="39" t="s">
        <v>8454</v>
      </c>
      <c r="J11" s="39" t="s">
        <v>8473</v>
      </c>
    </row>
    <row r="12" ht="26.25" customHeight="1">
      <c r="A12" s="12" t="s">
        <v>120</v>
      </c>
      <c r="B12" s="35">
        <v>2021.0</v>
      </c>
      <c r="C12" s="17" t="s">
        <v>21</v>
      </c>
      <c r="D12" s="40">
        <v>3027.0</v>
      </c>
      <c r="E12" s="37" t="s">
        <v>8474</v>
      </c>
      <c r="F12" s="41" t="s">
        <v>8475</v>
      </c>
      <c r="G12" s="39" t="s">
        <v>8476</v>
      </c>
      <c r="H12" s="37" t="s">
        <v>8477</v>
      </c>
      <c r="I12" s="39" t="s">
        <v>8442</v>
      </c>
      <c r="J12" s="39" t="s">
        <v>8478</v>
      </c>
    </row>
    <row r="13" ht="26.25" customHeight="1">
      <c r="A13" s="12" t="s">
        <v>126</v>
      </c>
      <c r="B13" s="35">
        <v>2021.0</v>
      </c>
      <c r="C13" s="35" t="s">
        <v>22</v>
      </c>
      <c r="D13" s="35">
        <v>3328.0</v>
      </c>
      <c r="E13" s="37" t="s">
        <v>8479</v>
      </c>
      <c r="F13" s="35" t="s">
        <v>8480</v>
      </c>
      <c r="G13" s="37" t="s">
        <v>8481</v>
      </c>
      <c r="H13" s="37" t="s">
        <v>8482</v>
      </c>
      <c r="I13" s="39" t="s">
        <v>8442</v>
      </c>
      <c r="J13" s="39" t="s">
        <v>8483</v>
      </c>
    </row>
    <row r="14" ht="26.25" customHeight="1">
      <c r="A14" s="12" t="s">
        <v>132</v>
      </c>
      <c r="B14" s="35">
        <v>2021.0</v>
      </c>
      <c r="C14" s="35" t="s">
        <v>22</v>
      </c>
      <c r="D14" s="35">
        <v>3177.0</v>
      </c>
      <c r="E14" s="37" t="s">
        <v>8484</v>
      </c>
      <c r="F14" s="40" t="s">
        <v>8485</v>
      </c>
      <c r="G14" s="37" t="s">
        <v>8486</v>
      </c>
      <c r="H14" s="39" t="s">
        <v>8487</v>
      </c>
      <c r="I14" s="39" t="s">
        <v>8442</v>
      </c>
      <c r="J14" s="39" t="s">
        <v>8488</v>
      </c>
    </row>
    <row r="15" ht="26.25" customHeight="1">
      <c r="A15" s="12" t="s">
        <v>138</v>
      </c>
      <c r="B15" s="35">
        <v>2021.0</v>
      </c>
      <c r="C15" s="35" t="s">
        <v>22</v>
      </c>
      <c r="D15" s="35">
        <v>3595.0</v>
      </c>
      <c r="E15" s="37" t="s">
        <v>8489</v>
      </c>
      <c r="F15" s="40" t="s">
        <v>8490</v>
      </c>
      <c r="G15" s="37" t="s">
        <v>8491</v>
      </c>
      <c r="H15" s="39" t="s">
        <v>8492</v>
      </c>
      <c r="I15" s="39" t="s">
        <v>8442</v>
      </c>
      <c r="J15" s="39" t="s">
        <v>8493</v>
      </c>
    </row>
    <row r="16" ht="26.25" customHeight="1">
      <c r="A16" s="12" t="s">
        <v>144</v>
      </c>
      <c r="B16" s="35">
        <v>2021.0</v>
      </c>
      <c r="C16" s="35" t="s">
        <v>22</v>
      </c>
      <c r="D16" s="35">
        <v>3604.0</v>
      </c>
      <c r="E16" s="37" t="s">
        <v>2188</v>
      </c>
      <c r="F16" s="40" t="s">
        <v>8494</v>
      </c>
      <c r="G16" s="37" t="s">
        <v>8495</v>
      </c>
      <c r="H16" s="39" t="s">
        <v>5598</v>
      </c>
      <c r="I16" s="39" t="s">
        <v>8454</v>
      </c>
      <c r="J16" s="39" t="s">
        <v>8496</v>
      </c>
    </row>
    <row r="17" ht="26.25" customHeight="1">
      <c r="A17" s="12" t="s">
        <v>146</v>
      </c>
      <c r="B17" s="35">
        <v>2022.0</v>
      </c>
      <c r="C17" s="17" t="s">
        <v>11</v>
      </c>
      <c r="D17" s="40">
        <v>4402.0</v>
      </c>
      <c r="E17" s="39" t="s">
        <v>8497</v>
      </c>
      <c r="F17" s="40" t="s">
        <v>8498</v>
      </c>
      <c r="G17" s="39" t="s">
        <v>8499</v>
      </c>
      <c r="H17" s="39" t="s">
        <v>8500</v>
      </c>
      <c r="I17" s="39" t="s">
        <v>8454</v>
      </c>
      <c r="J17" s="39" t="s">
        <v>8501</v>
      </c>
    </row>
    <row r="18" ht="26.25" customHeight="1">
      <c r="A18" s="12" t="s">
        <v>151</v>
      </c>
      <c r="B18" s="35">
        <v>2022.0</v>
      </c>
      <c r="C18" s="40" t="s">
        <v>12</v>
      </c>
      <c r="D18" s="40">
        <v>3202.0</v>
      </c>
      <c r="E18" s="39" t="s">
        <v>8502</v>
      </c>
      <c r="F18" s="40" t="s">
        <v>8503</v>
      </c>
      <c r="G18" s="39" t="s">
        <v>8504</v>
      </c>
      <c r="H18" s="39" t="s">
        <v>8505</v>
      </c>
      <c r="I18" s="39" t="s">
        <v>8442</v>
      </c>
      <c r="J18" s="39" t="s">
        <v>8506</v>
      </c>
    </row>
    <row r="19" ht="26.25" customHeight="1">
      <c r="A19" s="12" t="s">
        <v>153</v>
      </c>
      <c r="B19" s="35">
        <v>2022.0</v>
      </c>
      <c r="C19" s="40" t="s">
        <v>12</v>
      </c>
      <c r="D19" s="40">
        <v>4698.0</v>
      </c>
      <c r="E19" s="39" t="s">
        <v>8507</v>
      </c>
      <c r="F19" s="40" t="s">
        <v>8508</v>
      </c>
      <c r="G19" s="39" t="s">
        <v>8509</v>
      </c>
      <c r="H19" s="39" t="s">
        <v>8510</v>
      </c>
      <c r="I19" s="39" t="s">
        <v>8442</v>
      </c>
      <c r="J19" s="39" t="s">
        <v>8511</v>
      </c>
    </row>
    <row r="20" ht="26.25" customHeight="1">
      <c r="A20" s="12" t="s">
        <v>159</v>
      </c>
      <c r="B20" s="35">
        <v>2022.0</v>
      </c>
      <c r="C20" s="40" t="s">
        <v>14</v>
      </c>
      <c r="D20" s="40">
        <v>5158.0</v>
      </c>
      <c r="E20" s="39" t="s">
        <v>8512</v>
      </c>
      <c r="F20" s="41" t="s">
        <v>8513</v>
      </c>
      <c r="G20" s="39" t="s">
        <v>8514</v>
      </c>
      <c r="H20" s="39" t="s">
        <v>8515</v>
      </c>
      <c r="I20" s="39" t="s">
        <v>8454</v>
      </c>
      <c r="J20" s="39" t="s">
        <v>8516</v>
      </c>
    </row>
    <row r="21" ht="26.25" customHeight="1">
      <c r="A21" s="12" t="s">
        <v>165</v>
      </c>
      <c r="B21" s="35">
        <v>2022.0</v>
      </c>
      <c r="C21" s="40" t="s">
        <v>15</v>
      </c>
      <c r="D21" s="42">
        <v>5771.0</v>
      </c>
      <c r="E21" s="38" t="s">
        <v>8517</v>
      </c>
      <c r="F21" s="42" t="s">
        <v>8518</v>
      </c>
      <c r="G21" s="39" t="s">
        <v>8519</v>
      </c>
      <c r="H21" s="38" t="s">
        <v>8520</v>
      </c>
      <c r="I21" s="39" t="s">
        <v>8442</v>
      </c>
      <c r="J21" s="39" t="s">
        <v>8521</v>
      </c>
    </row>
    <row r="22" ht="26.25" customHeight="1">
      <c r="A22" s="12" t="s">
        <v>171</v>
      </c>
      <c r="B22" s="35">
        <v>2022.0</v>
      </c>
      <c r="C22" s="40" t="s">
        <v>15</v>
      </c>
      <c r="D22" s="40">
        <v>4134.0</v>
      </c>
      <c r="E22" s="39" t="s">
        <v>8522</v>
      </c>
      <c r="F22" s="41" t="s">
        <v>8523</v>
      </c>
      <c r="G22" s="39" t="s">
        <v>8524</v>
      </c>
      <c r="H22" s="39" t="s">
        <v>8525</v>
      </c>
      <c r="I22" s="39" t="s">
        <v>8526</v>
      </c>
      <c r="J22" s="39" t="s">
        <v>8527</v>
      </c>
    </row>
    <row r="23" ht="26.25" customHeight="1">
      <c r="A23" s="12" t="s">
        <v>173</v>
      </c>
      <c r="B23" s="35">
        <v>2022.0</v>
      </c>
      <c r="C23" s="40" t="s">
        <v>15</v>
      </c>
      <c r="D23" s="40">
        <v>5624.0</v>
      </c>
      <c r="E23" s="39" t="s">
        <v>8528</v>
      </c>
      <c r="F23" s="40" t="s">
        <v>8529</v>
      </c>
      <c r="G23" s="39" t="s">
        <v>8530</v>
      </c>
      <c r="H23" s="39" t="s">
        <v>8531</v>
      </c>
      <c r="I23" s="39" t="s">
        <v>8532</v>
      </c>
      <c r="J23" s="39" t="s">
        <v>8531</v>
      </c>
    </row>
    <row r="24" ht="26.25" customHeight="1">
      <c r="A24" s="12" t="s">
        <v>178</v>
      </c>
      <c r="B24" s="35">
        <v>2022.0</v>
      </c>
      <c r="C24" s="40" t="s">
        <v>16</v>
      </c>
      <c r="D24" s="40">
        <v>5554.0</v>
      </c>
      <c r="E24" s="39" t="s">
        <v>8533</v>
      </c>
      <c r="F24" s="41" t="s">
        <v>8534</v>
      </c>
      <c r="G24" s="39" t="s">
        <v>8535</v>
      </c>
      <c r="H24" s="39" t="s">
        <v>8536</v>
      </c>
      <c r="I24" s="39" t="s">
        <v>8442</v>
      </c>
      <c r="J24" s="39" t="s">
        <v>8537</v>
      </c>
    </row>
    <row r="25" ht="26.25" customHeight="1">
      <c r="A25" s="12" t="s">
        <v>184</v>
      </c>
      <c r="B25" s="35">
        <v>2022.0</v>
      </c>
      <c r="C25" s="40" t="s">
        <v>17</v>
      </c>
      <c r="D25" s="17">
        <v>6207.0</v>
      </c>
      <c r="E25" s="36" t="s">
        <v>8538</v>
      </c>
      <c r="F25" s="48" t="s">
        <v>8539</v>
      </c>
      <c r="G25" s="39" t="s">
        <v>8540</v>
      </c>
      <c r="H25" s="39" t="s">
        <v>8541</v>
      </c>
      <c r="I25" s="39" t="s">
        <v>8454</v>
      </c>
      <c r="J25" s="39" t="s">
        <v>8542</v>
      </c>
    </row>
    <row r="26" ht="26.25" customHeight="1">
      <c r="A26" s="12" t="s">
        <v>190</v>
      </c>
      <c r="B26" s="35">
        <v>2022.0</v>
      </c>
      <c r="C26" s="40" t="s">
        <v>17</v>
      </c>
      <c r="D26" s="40">
        <v>6125.0</v>
      </c>
      <c r="E26" s="39" t="s">
        <v>8543</v>
      </c>
      <c r="F26" s="41" t="s">
        <v>8544</v>
      </c>
      <c r="G26" s="39" t="s">
        <v>8545</v>
      </c>
      <c r="H26" s="39" t="s">
        <v>8546</v>
      </c>
      <c r="I26" s="39" t="s">
        <v>8442</v>
      </c>
      <c r="J26" s="39" t="s">
        <v>8547</v>
      </c>
    </row>
    <row r="27" ht="26.25" customHeight="1">
      <c r="A27" s="12" t="s">
        <v>196</v>
      </c>
      <c r="B27" s="35">
        <v>2022.0</v>
      </c>
      <c r="C27" s="40" t="s">
        <v>17</v>
      </c>
      <c r="D27" s="40">
        <v>6066.0</v>
      </c>
      <c r="E27" s="39" t="s">
        <v>8548</v>
      </c>
      <c r="F27" s="41" t="s">
        <v>8549</v>
      </c>
      <c r="G27" s="39" t="s">
        <v>8550</v>
      </c>
      <c r="H27" s="39" t="s">
        <v>8551</v>
      </c>
      <c r="I27" s="39" t="s">
        <v>8552</v>
      </c>
      <c r="J27" s="39" t="s">
        <v>8553</v>
      </c>
    </row>
    <row r="28" ht="26.25" customHeight="1">
      <c r="A28" s="12" t="s">
        <v>202</v>
      </c>
      <c r="B28" s="35">
        <v>2022.0</v>
      </c>
      <c r="C28" s="40" t="s">
        <v>18</v>
      </c>
      <c r="D28" s="40">
        <v>6402.0</v>
      </c>
      <c r="E28" s="39" t="s">
        <v>8554</v>
      </c>
      <c r="F28" s="41" t="s">
        <v>8555</v>
      </c>
      <c r="G28" s="39" t="s">
        <v>8556</v>
      </c>
      <c r="H28" s="39" t="s">
        <v>8557</v>
      </c>
      <c r="I28" s="39" t="s">
        <v>8558</v>
      </c>
      <c r="J28" s="39" t="s">
        <v>8559</v>
      </c>
    </row>
    <row r="29" ht="26.25" customHeight="1">
      <c r="A29" s="12" t="s">
        <v>208</v>
      </c>
      <c r="B29" s="35">
        <v>2022.0</v>
      </c>
      <c r="C29" s="40" t="s">
        <v>18</v>
      </c>
      <c r="D29" s="40">
        <v>6368.0</v>
      </c>
      <c r="E29" s="39" t="s">
        <v>8560</v>
      </c>
      <c r="F29" s="41" t="s">
        <v>8561</v>
      </c>
      <c r="G29" s="39" t="s">
        <v>8562</v>
      </c>
      <c r="H29" s="39" t="s">
        <v>8563</v>
      </c>
      <c r="I29" s="39" t="s">
        <v>8442</v>
      </c>
      <c r="J29" s="39" t="s">
        <v>8564</v>
      </c>
    </row>
    <row r="30" ht="26.25" customHeight="1">
      <c r="A30" s="12" t="s">
        <v>213</v>
      </c>
      <c r="B30" s="35">
        <v>2022.0</v>
      </c>
      <c r="C30" s="40" t="s">
        <v>18</v>
      </c>
      <c r="D30" s="40">
        <v>6362.0</v>
      </c>
      <c r="E30" s="39" t="s">
        <v>8565</v>
      </c>
      <c r="F30" s="41" t="s">
        <v>8566</v>
      </c>
      <c r="G30" s="37"/>
      <c r="H30" s="39" t="s">
        <v>8567</v>
      </c>
      <c r="I30" s="39" t="s">
        <v>8454</v>
      </c>
      <c r="J30" s="39" t="s">
        <v>8568</v>
      </c>
    </row>
    <row r="31" ht="26.25" customHeight="1">
      <c r="A31" s="12" t="s">
        <v>215</v>
      </c>
      <c r="B31" s="35">
        <v>2022.0</v>
      </c>
      <c r="C31" s="40" t="s">
        <v>20</v>
      </c>
      <c r="D31" s="40">
        <v>7175.0</v>
      </c>
      <c r="E31" s="39" t="s">
        <v>8569</v>
      </c>
      <c r="F31" s="41" t="s">
        <v>8570</v>
      </c>
      <c r="G31" s="39" t="s">
        <v>8571</v>
      </c>
      <c r="H31" s="39" t="s">
        <v>8572</v>
      </c>
      <c r="I31" s="39" t="s">
        <v>8573</v>
      </c>
      <c r="J31" s="39" t="s">
        <v>8574</v>
      </c>
    </row>
    <row r="32" ht="26.25" customHeight="1">
      <c r="A32" s="12" t="s">
        <v>354</v>
      </c>
      <c r="B32" s="35">
        <v>2022.0</v>
      </c>
      <c r="C32" s="40" t="s">
        <v>20</v>
      </c>
      <c r="D32" s="17">
        <v>7010.0</v>
      </c>
      <c r="E32" s="36" t="s">
        <v>8575</v>
      </c>
      <c r="F32" s="43" t="s">
        <v>8576</v>
      </c>
      <c r="G32" s="39" t="s">
        <v>8577</v>
      </c>
      <c r="H32" s="36" t="s">
        <v>8578</v>
      </c>
      <c r="I32" s="39" t="s">
        <v>8579</v>
      </c>
      <c r="J32" s="39" t="s">
        <v>8580</v>
      </c>
    </row>
    <row r="33" ht="26.25" customHeight="1">
      <c r="A33" s="12" t="s">
        <v>358</v>
      </c>
      <c r="B33" s="35">
        <v>2022.0</v>
      </c>
      <c r="C33" s="40" t="s">
        <v>21</v>
      </c>
      <c r="D33" s="17">
        <v>7537.0</v>
      </c>
      <c r="E33" s="36" t="s">
        <v>8581</v>
      </c>
      <c r="F33" s="17" t="s">
        <v>8582</v>
      </c>
      <c r="G33" s="39" t="s">
        <v>8583</v>
      </c>
      <c r="H33" s="39" t="s">
        <v>8584</v>
      </c>
      <c r="I33" s="39" t="s">
        <v>8442</v>
      </c>
      <c r="J33" s="39" t="s">
        <v>8585</v>
      </c>
    </row>
    <row r="34" ht="26.25" customHeight="1">
      <c r="A34" s="12" t="s">
        <v>360</v>
      </c>
      <c r="B34" s="35">
        <v>2022.0</v>
      </c>
      <c r="C34" s="40" t="s">
        <v>21</v>
      </c>
      <c r="D34" s="40">
        <v>7251.0</v>
      </c>
      <c r="E34" s="39" t="s">
        <v>8586</v>
      </c>
      <c r="F34" s="41" t="s">
        <v>8587</v>
      </c>
      <c r="G34" s="39" t="s">
        <v>8588</v>
      </c>
      <c r="H34" s="39" t="s">
        <v>8589</v>
      </c>
      <c r="I34" s="39" t="s">
        <v>8526</v>
      </c>
      <c r="J34" s="39" t="s">
        <v>8590</v>
      </c>
    </row>
    <row r="35" ht="26.25" customHeight="1">
      <c r="A35" s="12" t="s">
        <v>366</v>
      </c>
      <c r="B35" s="35">
        <v>2022.0</v>
      </c>
      <c r="C35" s="40" t="s">
        <v>21</v>
      </c>
      <c r="D35" s="40">
        <v>7425.0</v>
      </c>
      <c r="E35" s="39" t="s">
        <v>8591</v>
      </c>
      <c r="F35" s="41" t="s">
        <v>8592</v>
      </c>
      <c r="G35" s="37"/>
      <c r="H35" s="39" t="s">
        <v>8593</v>
      </c>
      <c r="I35" s="39" t="s">
        <v>8442</v>
      </c>
      <c r="J35" s="39" t="s">
        <v>8594</v>
      </c>
    </row>
    <row r="36" ht="26.25" customHeight="1">
      <c r="A36" s="12" t="s">
        <v>372</v>
      </c>
      <c r="B36" s="35">
        <v>2022.0</v>
      </c>
      <c r="C36" s="40" t="s">
        <v>22</v>
      </c>
      <c r="D36" s="40">
        <v>7649.0</v>
      </c>
      <c r="E36" s="39" t="s">
        <v>8595</v>
      </c>
      <c r="F36" s="41" t="s">
        <v>8596</v>
      </c>
      <c r="G36" s="39" t="s">
        <v>8597</v>
      </c>
      <c r="H36" s="39" t="s">
        <v>8598</v>
      </c>
      <c r="I36" s="39" t="s">
        <v>8454</v>
      </c>
      <c r="J36" s="39" t="s">
        <v>8599</v>
      </c>
    </row>
    <row r="37" ht="26.25" customHeight="1">
      <c r="A37" s="12" t="s">
        <v>377</v>
      </c>
      <c r="B37" s="35">
        <v>2022.0</v>
      </c>
      <c r="C37" s="40" t="s">
        <v>22</v>
      </c>
      <c r="D37" s="40">
        <v>7734.0</v>
      </c>
      <c r="E37" s="39" t="s">
        <v>8600</v>
      </c>
      <c r="F37" s="41" t="s">
        <v>8601</v>
      </c>
      <c r="G37" s="39" t="s">
        <v>8602</v>
      </c>
      <c r="H37" s="39" t="s">
        <v>8603</v>
      </c>
      <c r="I37" s="39" t="s">
        <v>8454</v>
      </c>
      <c r="J37" s="39" t="s">
        <v>8604</v>
      </c>
    </row>
    <row r="38" ht="26.25" customHeight="1">
      <c r="A38" s="12" t="s">
        <v>383</v>
      </c>
      <c r="B38" s="35">
        <v>2022.0</v>
      </c>
      <c r="C38" s="40" t="s">
        <v>22</v>
      </c>
      <c r="D38" s="17">
        <v>7658.0</v>
      </c>
      <c r="E38" s="36" t="s">
        <v>8605</v>
      </c>
      <c r="F38" s="43" t="s">
        <v>8606</v>
      </c>
      <c r="G38" s="39" t="s">
        <v>8607</v>
      </c>
      <c r="H38" s="36" t="s">
        <v>8608</v>
      </c>
      <c r="I38" s="39" t="s">
        <v>8609</v>
      </c>
      <c r="J38" s="39" t="s">
        <v>8610</v>
      </c>
    </row>
    <row r="39" ht="26.25" customHeight="1">
      <c r="A39" s="12" t="s">
        <v>390</v>
      </c>
      <c r="B39" s="35">
        <v>2022.0</v>
      </c>
      <c r="C39" s="40" t="s">
        <v>22</v>
      </c>
      <c r="D39" s="40">
        <v>7820.0</v>
      </c>
      <c r="E39" s="39" t="s">
        <v>8611</v>
      </c>
      <c r="F39" s="41" t="s">
        <v>8612</v>
      </c>
      <c r="G39" s="39" t="s">
        <v>8613</v>
      </c>
      <c r="H39" s="39" t="s">
        <v>8614</v>
      </c>
      <c r="I39" s="39" t="s">
        <v>8552</v>
      </c>
      <c r="J39" s="39" t="s">
        <v>8615</v>
      </c>
    </row>
    <row r="40" ht="26.25" customHeight="1">
      <c r="A40" s="12" t="s">
        <v>393</v>
      </c>
      <c r="B40" s="17">
        <v>2023.0</v>
      </c>
      <c r="C40" s="40" t="s">
        <v>11</v>
      </c>
      <c r="D40" s="40">
        <v>7514.0</v>
      </c>
      <c r="E40" s="39" t="s">
        <v>8616</v>
      </c>
      <c r="F40" s="41" t="s">
        <v>8617</v>
      </c>
      <c r="G40" s="37"/>
      <c r="H40" s="38" t="s">
        <v>8618</v>
      </c>
      <c r="I40" s="39" t="s">
        <v>8454</v>
      </c>
      <c r="J40" s="39" t="s">
        <v>8619</v>
      </c>
    </row>
    <row r="41" ht="26.25" customHeight="1">
      <c r="A41" s="12" t="s">
        <v>399</v>
      </c>
      <c r="B41" s="17">
        <v>2023.0</v>
      </c>
      <c r="C41" s="40" t="s">
        <v>11</v>
      </c>
      <c r="D41" s="40">
        <v>7514.0</v>
      </c>
      <c r="E41" s="39" t="s">
        <v>8616</v>
      </c>
      <c r="F41" s="41" t="s">
        <v>8617</v>
      </c>
      <c r="G41" s="37"/>
      <c r="H41" s="38" t="s">
        <v>8620</v>
      </c>
      <c r="I41" s="39" t="s">
        <v>8454</v>
      </c>
      <c r="J41" s="39" t="s">
        <v>8619</v>
      </c>
    </row>
    <row r="42" ht="26.25" customHeight="1">
      <c r="A42" s="12" t="s">
        <v>404</v>
      </c>
      <c r="B42" s="17">
        <v>2023.0</v>
      </c>
      <c r="C42" s="40" t="s">
        <v>12</v>
      </c>
      <c r="D42" s="40">
        <v>7514.0</v>
      </c>
      <c r="E42" s="39" t="s">
        <v>8616</v>
      </c>
      <c r="F42" s="41" t="s">
        <v>8617</v>
      </c>
      <c r="G42" s="37"/>
      <c r="H42" s="38" t="s">
        <v>8621</v>
      </c>
      <c r="I42" s="39" t="s">
        <v>8454</v>
      </c>
      <c r="J42" s="39" t="s">
        <v>8619</v>
      </c>
    </row>
    <row r="43" ht="26.25" customHeight="1">
      <c r="A43" s="12" t="s">
        <v>409</v>
      </c>
      <c r="B43" s="17">
        <v>2023.0</v>
      </c>
      <c r="C43" s="40" t="s">
        <v>12</v>
      </c>
      <c r="D43" s="40">
        <v>7514.0</v>
      </c>
      <c r="E43" s="39" t="s">
        <v>8616</v>
      </c>
      <c r="F43" s="41" t="s">
        <v>8617</v>
      </c>
      <c r="G43" s="37"/>
      <c r="H43" s="38" t="s">
        <v>8622</v>
      </c>
      <c r="I43" s="39" t="s">
        <v>8454</v>
      </c>
      <c r="J43" s="39" t="s">
        <v>8619</v>
      </c>
    </row>
    <row r="44" ht="26.25" customHeight="1">
      <c r="A44" s="12" t="s">
        <v>415</v>
      </c>
      <c r="B44" s="17">
        <v>2023.0</v>
      </c>
      <c r="C44" s="40" t="s">
        <v>12</v>
      </c>
      <c r="D44" s="17">
        <v>8313.0</v>
      </c>
      <c r="E44" s="36" t="s">
        <v>8623</v>
      </c>
      <c r="F44" s="48" t="s">
        <v>8624</v>
      </c>
      <c r="G44" s="39" t="s">
        <v>8625</v>
      </c>
      <c r="H44" s="38" t="s">
        <v>5035</v>
      </c>
      <c r="I44" s="39" t="s">
        <v>8454</v>
      </c>
      <c r="J44" s="39" t="s">
        <v>8626</v>
      </c>
    </row>
    <row r="45" ht="26.25" customHeight="1">
      <c r="A45" s="12" t="s">
        <v>421</v>
      </c>
      <c r="B45" s="17">
        <v>2023.0</v>
      </c>
      <c r="C45" s="40" t="s">
        <v>12</v>
      </c>
      <c r="D45" s="42">
        <v>8177.0</v>
      </c>
      <c r="E45" s="38" t="s">
        <v>8627</v>
      </c>
      <c r="F45" s="43" t="s">
        <v>8628</v>
      </c>
      <c r="G45" s="39" t="s">
        <v>8629</v>
      </c>
      <c r="H45" s="38" t="s">
        <v>8630</v>
      </c>
      <c r="I45" s="39" t="s">
        <v>8454</v>
      </c>
      <c r="J45" s="39" t="s">
        <v>8631</v>
      </c>
    </row>
    <row r="46" ht="26.25" customHeight="1">
      <c r="A46" s="12" t="s">
        <v>426</v>
      </c>
      <c r="B46" s="17">
        <v>2023.0</v>
      </c>
      <c r="C46" s="40" t="s">
        <v>13</v>
      </c>
      <c r="D46" s="40">
        <v>8434.0</v>
      </c>
      <c r="E46" s="39" t="s">
        <v>8632</v>
      </c>
      <c r="F46" s="40" t="s">
        <v>8633</v>
      </c>
      <c r="G46" s="39" t="s">
        <v>8634</v>
      </c>
      <c r="H46" s="39" t="s">
        <v>8635</v>
      </c>
      <c r="I46" s="39" t="s">
        <v>8442</v>
      </c>
      <c r="J46" s="39" t="s">
        <v>8636</v>
      </c>
    </row>
    <row r="47" ht="26.25" customHeight="1">
      <c r="A47" s="12" t="s">
        <v>432</v>
      </c>
      <c r="B47" s="17">
        <v>2023.0</v>
      </c>
      <c r="C47" s="40" t="s">
        <v>13</v>
      </c>
      <c r="D47" s="40">
        <v>8463.0</v>
      </c>
      <c r="E47" s="39" t="s">
        <v>8637</v>
      </c>
      <c r="F47" s="41" t="s">
        <v>8638</v>
      </c>
      <c r="G47" s="37"/>
      <c r="H47" s="39" t="s">
        <v>8639</v>
      </c>
      <c r="I47" s="39" t="s">
        <v>8526</v>
      </c>
      <c r="J47" s="39" t="s">
        <v>8640</v>
      </c>
    </row>
    <row r="48" ht="26.25" customHeight="1">
      <c r="A48" s="12" t="s">
        <v>437</v>
      </c>
      <c r="B48" s="17">
        <v>2023.0</v>
      </c>
      <c r="C48" s="40" t="s">
        <v>13</v>
      </c>
      <c r="D48" s="40">
        <v>8412.0</v>
      </c>
      <c r="E48" s="39" t="s">
        <v>8641</v>
      </c>
      <c r="F48" s="41" t="s">
        <v>8642</v>
      </c>
      <c r="G48" s="39" t="s">
        <v>8643</v>
      </c>
      <c r="H48" s="39" t="s">
        <v>8644</v>
      </c>
      <c r="I48" s="39" t="s">
        <v>8573</v>
      </c>
      <c r="J48" s="39" t="s">
        <v>8645</v>
      </c>
    </row>
    <row r="49" ht="26.25" customHeight="1">
      <c r="A49" s="12" t="s">
        <v>441</v>
      </c>
      <c r="B49" s="17">
        <v>2023.0</v>
      </c>
      <c r="C49" s="40" t="s">
        <v>14</v>
      </c>
      <c r="D49" s="40">
        <v>8668.0</v>
      </c>
      <c r="E49" s="39" t="s">
        <v>8646</v>
      </c>
      <c r="F49" s="41" t="s">
        <v>8647</v>
      </c>
      <c r="G49" s="39" t="s">
        <v>8648</v>
      </c>
      <c r="H49" s="39" t="s">
        <v>8646</v>
      </c>
      <c r="I49" s="39" t="s">
        <v>8526</v>
      </c>
      <c r="J49" s="39" t="s">
        <v>8649</v>
      </c>
    </row>
    <row r="50" ht="26.25" customHeight="1">
      <c r="A50" s="12" t="s">
        <v>445</v>
      </c>
      <c r="B50" s="17">
        <v>2023.0</v>
      </c>
      <c r="C50" s="40" t="s">
        <v>15</v>
      </c>
      <c r="D50" s="17">
        <v>9174.0</v>
      </c>
      <c r="E50" s="36" t="s">
        <v>8650</v>
      </c>
      <c r="F50" s="43" t="s">
        <v>8651</v>
      </c>
      <c r="G50" s="39" t="s">
        <v>8652</v>
      </c>
      <c r="H50" s="39" t="s">
        <v>8653</v>
      </c>
      <c r="I50" s="39" t="s">
        <v>8442</v>
      </c>
      <c r="J50" s="39" t="s">
        <v>8654</v>
      </c>
    </row>
    <row r="51" ht="26.25" customHeight="1">
      <c r="A51" s="12" t="s">
        <v>451</v>
      </c>
      <c r="B51" s="17">
        <v>2023.0</v>
      </c>
      <c r="C51" s="40" t="s">
        <v>15</v>
      </c>
      <c r="D51" s="40">
        <v>8820.0</v>
      </c>
      <c r="E51" s="39" t="s">
        <v>8655</v>
      </c>
      <c r="F51" s="41" t="s">
        <v>8656</v>
      </c>
      <c r="G51" s="39" t="s">
        <v>8657</v>
      </c>
      <c r="H51" s="39" t="s">
        <v>8658</v>
      </c>
      <c r="I51" s="39" t="s">
        <v>8448</v>
      </c>
      <c r="J51" s="39" t="s">
        <v>8659</v>
      </c>
    </row>
    <row r="52" ht="26.25" customHeight="1">
      <c r="A52" s="12" t="s">
        <v>457</v>
      </c>
      <c r="B52" s="17">
        <v>2023.0</v>
      </c>
      <c r="C52" s="40" t="s">
        <v>15</v>
      </c>
      <c r="D52" s="40">
        <v>8905.0</v>
      </c>
      <c r="E52" s="39" t="s">
        <v>8660</v>
      </c>
      <c r="F52" s="41" t="s">
        <v>8661</v>
      </c>
      <c r="G52" s="37"/>
      <c r="H52" s="39" t="s">
        <v>8662</v>
      </c>
      <c r="I52" s="39" t="s">
        <v>8663</v>
      </c>
      <c r="J52" s="39" t="s">
        <v>8664</v>
      </c>
    </row>
    <row r="53" ht="26.25" customHeight="1">
      <c r="A53" s="12" t="s">
        <v>463</v>
      </c>
      <c r="B53" s="17">
        <v>2023.0</v>
      </c>
      <c r="C53" s="40" t="s">
        <v>15</v>
      </c>
      <c r="D53" s="40">
        <v>8900.0</v>
      </c>
      <c r="E53" s="39" t="s">
        <v>8665</v>
      </c>
      <c r="F53" s="41" t="s">
        <v>8666</v>
      </c>
      <c r="G53" s="39" t="s">
        <v>8667</v>
      </c>
      <c r="H53" s="39" t="s">
        <v>8668</v>
      </c>
      <c r="I53" s="39" t="s">
        <v>8532</v>
      </c>
      <c r="J53" s="39" t="s">
        <v>8669</v>
      </c>
    </row>
    <row r="54" ht="26.25" customHeight="1">
      <c r="A54" s="12" t="s">
        <v>468</v>
      </c>
      <c r="B54" s="17">
        <v>2023.0</v>
      </c>
      <c r="C54" s="40" t="s">
        <v>15</v>
      </c>
      <c r="D54" s="40">
        <v>7514.0</v>
      </c>
      <c r="E54" s="39" t="s">
        <v>8616</v>
      </c>
      <c r="F54" s="41" t="s">
        <v>8617</v>
      </c>
      <c r="G54" s="37"/>
      <c r="H54" s="38" t="s">
        <v>8670</v>
      </c>
      <c r="I54" s="39" t="s">
        <v>8454</v>
      </c>
      <c r="J54" s="39" t="s">
        <v>8619</v>
      </c>
    </row>
    <row r="55" ht="26.25" customHeight="1">
      <c r="A55" s="12" t="s">
        <v>473</v>
      </c>
      <c r="B55" s="17">
        <v>2023.0</v>
      </c>
      <c r="C55" s="40" t="s">
        <v>15</v>
      </c>
      <c r="D55" s="40">
        <v>9030.0</v>
      </c>
      <c r="E55" s="39" t="s">
        <v>8671</v>
      </c>
      <c r="F55" s="41" t="s">
        <v>8672</v>
      </c>
      <c r="G55" s="37"/>
      <c r="H55" s="39" t="s">
        <v>8673</v>
      </c>
      <c r="I55" s="39" t="s">
        <v>8442</v>
      </c>
      <c r="J55" s="39" t="s">
        <v>8674</v>
      </c>
    </row>
    <row r="56" ht="26.25" customHeight="1">
      <c r="A56" s="12" t="s">
        <v>479</v>
      </c>
      <c r="B56" s="17">
        <v>2023.0</v>
      </c>
      <c r="C56" s="40" t="s">
        <v>15</v>
      </c>
      <c r="D56" s="40">
        <v>8979.0</v>
      </c>
      <c r="E56" s="39" t="s">
        <v>8675</v>
      </c>
      <c r="F56" s="41" t="s">
        <v>8676</v>
      </c>
      <c r="G56" s="37"/>
      <c r="H56" s="39" t="s">
        <v>8677</v>
      </c>
      <c r="I56" s="39" t="s">
        <v>8579</v>
      </c>
      <c r="J56" s="39" t="s">
        <v>8678</v>
      </c>
    </row>
    <row r="57" ht="26.25" customHeight="1">
      <c r="A57" s="12" t="s">
        <v>485</v>
      </c>
      <c r="B57" s="17">
        <v>2023.0</v>
      </c>
      <c r="C57" s="40" t="s">
        <v>16</v>
      </c>
      <c r="D57" s="40">
        <v>9124.0</v>
      </c>
      <c r="E57" s="39" t="s">
        <v>8679</v>
      </c>
      <c r="F57" s="41" t="s">
        <v>8680</v>
      </c>
      <c r="G57" s="39" t="s">
        <v>8681</v>
      </c>
      <c r="H57" s="39" t="s">
        <v>8682</v>
      </c>
      <c r="I57" s="39" t="s">
        <v>8442</v>
      </c>
      <c r="J57" s="39" t="s">
        <v>8683</v>
      </c>
    </row>
    <row r="58" ht="26.25" customHeight="1">
      <c r="A58" s="12" t="s">
        <v>487</v>
      </c>
      <c r="B58" s="17">
        <v>2023.0</v>
      </c>
      <c r="C58" s="40" t="s">
        <v>16</v>
      </c>
      <c r="D58" s="40">
        <v>9445.0</v>
      </c>
      <c r="E58" s="39" t="s">
        <v>8684</v>
      </c>
      <c r="F58" s="41" t="s">
        <v>8685</v>
      </c>
      <c r="G58" s="39" t="s">
        <v>8686</v>
      </c>
      <c r="H58" s="39" t="s">
        <v>8687</v>
      </c>
      <c r="I58" s="39" t="s">
        <v>8448</v>
      </c>
      <c r="J58" s="39" t="s">
        <v>8688</v>
      </c>
    </row>
    <row r="59" ht="26.25" customHeight="1">
      <c r="A59" s="12" t="s">
        <v>493</v>
      </c>
      <c r="B59" s="17">
        <v>2023.0</v>
      </c>
      <c r="C59" s="40" t="s">
        <v>16</v>
      </c>
      <c r="D59" s="40">
        <v>9369.0</v>
      </c>
      <c r="E59" s="39" t="s">
        <v>8689</v>
      </c>
      <c r="F59" s="41" t="s">
        <v>8690</v>
      </c>
      <c r="G59" s="39" t="s">
        <v>8691</v>
      </c>
      <c r="H59" s="39" t="s">
        <v>8692</v>
      </c>
      <c r="I59" s="39" t="s">
        <v>8442</v>
      </c>
      <c r="J59" s="39" t="s">
        <v>8693</v>
      </c>
    </row>
    <row r="60" ht="26.25" customHeight="1">
      <c r="A60" s="12" t="s">
        <v>498</v>
      </c>
      <c r="B60" s="17">
        <v>2023.0</v>
      </c>
      <c r="C60" s="40" t="s">
        <v>16</v>
      </c>
      <c r="D60" s="40">
        <v>8851.0</v>
      </c>
      <c r="E60" s="39" t="s">
        <v>8694</v>
      </c>
      <c r="F60" s="41" t="s">
        <v>8695</v>
      </c>
      <c r="G60" s="39" t="s">
        <v>8696</v>
      </c>
      <c r="H60" s="39" t="s">
        <v>8697</v>
      </c>
      <c r="I60" s="39" t="s">
        <v>8442</v>
      </c>
      <c r="J60" s="39" t="s">
        <v>8698</v>
      </c>
    </row>
    <row r="61" ht="26.25" customHeight="1">
      <c r="A61" s="12" t="s">
        <v>504</v>
      </c>
      <c r="B61" s="17">
        <v>2023.0</v>
      </c>
      <c r="C61" s="40" t="s">
        <v>16</v>
      </c>
      <c r="D61" s="40">
        <v>9441.0</v>
      </c>
      <c r="E61" s="39" t="s">
        <v>8699</v>
      </c>
      <c r="F61" s="41" t="s">
        <v>8700</v>
      </c>
      <c r="G61" s="39" t="s">
        <v>8701</v>
      </c>
      <c r="H61" s="39" t="s">
        <v>8646</v>
      </c>
      <c r="I61" s="39" t="s">
        <v>8526</v>
      </c>
      <c r="J61" s="39" t="s">
        <v>8702</v>
      </c>
    </row>
    <row r="62" ht="26.25" customHeight="1">
      <c r="A62" s="12" t="s">
        <v>797</v>
      </c>
      <c r="B62" s="17">
        <v>2023.0</v>
      </c>
      <c r="C62" s="40" t="s">
        <v>16</v>
      </c>
      <c r="D62" s="40">
        <v>9187.0</v>
      </c>
      <c r="E62" s="39" t="s">
        <v>8703</v>
      </c>
      <c r="F62" s="41" t="s">
        <v>8704</v>
      </c>
      <c r="G62" s="39" t="s">
        <v>8705</v>
      </c>
      <c r="H62" s="39" t="s">
        <v>8706</v>
      </c>
      <c r="I62" s="39" t="s">
        <v>8707</v>
      </c>
      <c r="J62" s="39" t="s">
        <v>8708</v>
      </c>
    </row>
    <row r="63" ht="26.25" customHeight="1">
      <c r="A63" s="12" t="s">
        <v>803</v>
      </c>
      <c r="B63" s="17">
        <v>2023.0</v>
      </c>
      <c r="C63" s="40" t="s">
        <v>16</v>
      </c>
      <c r="D63" s="40">
        <v>8924.0</v>
      </c>
      <c r="E63" s="39" t="s">
        <v>8709</v>
      </c>
      <c r="F63" s="41" t="s">
        <v>8710</v>
      </c>
      <c r="G63" s="39" t="s">
        <v>8711</v>
      </c>
      <c r="H63" s="39" t="s">
        <v>8709</v>
      </c>
      <c r="I63" s="39" t="s">
        <v>8442</v>
      </c>
      <c r="J63" s="39" t="s">
        <v>8712</v>
      </c>
    </row>
    <row r="64" ht="26.25" customHeight="1">
      <c r="A64" s="12" t="s">
        <v>807</v>
      </c>
      <c r="B64" s="17">
        <v>2023.0</v>
      </c>
      <c r="C64" s="40" t="s">
        <v>17</v>
      </c>
      <c r="D64" s="40">
        <v>8412.0</v>
      </c>
      <c r="E64" s="39" t="s">
        <v>8641</v>
      </c>
      <c r="F64" s="41" t="s">
        <v>8642</v>
      </c>
      <c r="G64" s="39" t="s">
        <v>8643</v>
      </c>
      <c r="H64" s="39" t="s">
        <v>8713</v>
      </c>
      <c r="I64" s="39" t="s">
        <v>8573</v>
      </c>
      <c r="J64" s="39" t="s">
        <v>8645</v>
      </c>
    </row>
    <row r="65" ht="26.25" customHeight="1">
      <c r="A65" s="12" t="s">
        <v>811</v>
      </c>
      <c r="B65" s="17">
        <v>2023.0</v>
      </c>
      <c r="C65" s="40" t="s">
        <v>17</v>
      </c>
      <c r="D65" s="40">
        <v>9477.0</v>
      </c>
      <c r="E65" s="39" t="s">
        <v>8714</v>
      </c>
      <c r="F65" s="41" t="s">
        <v>8715</v>
      </c>
      <c r="G65" s="39" t="s">
        <v>8716</v>
      </c>
      <c r="H65" s="39" t="s">
        <v>8714</v>
      </c>
      <c r="I65" s="39" t="s">
        <v>8717</v>
      </c>
      <c r="J65" s="39" t="s">
        <v>8718</v>
      </c>
    </row>
    <row r="66" ht="26.25" customHeight="1">
      <c r="A66" s="12" t="s">
        <v>817</v>
      </c>
      <c r="B66" s="17">
        <v>2023.0</v>
      </c>
      <c r="C66" s="40" t="s">
        <v>17</v>
      </c>
      <c r="D66" s="40">
        <v>9428.0</v>
      </c>
      <c r="E66" s="39" t="s">
        <v>8719</v>
      </c>
      <c r="F66" s="41" t="s">
        <v>8720</v>
      </c>
      <c r="G66" s="39" t="s">
        <v>8721</v>
      </c>
      <c r="H66" s="39" t="s">
        <v>8722</v>
      </c>
      <c r="I66" s="39" t="s">
        <v>8442</v>
      </c>
      <c r="J66" s="39" t="s">
        <v>8723</v>
      </c>
    </row>
    <row r="67" ht="26.25" customHeight="1">
      <c r="A67" s="12" t="s">
        <v>823</v>
      </c>
      <c r="B67" s="17">
        <v>2023.0</v>
      </c>
      <c r="C67" s="40" t="s">
        <v>17</v>
      </c>
      <c r="D67" s="40">
        <v>9603.0</v>
      </c>
      <c r="E67" s="39" t="s">
        <v>8724</v>
      </c>
      <c r="F67" s="41" t="s">
        <v>8725</v>
      </c>
      <c r="G67" s="39" t="s">
        <v>8726</v>
      </c>
      <c r="H67" s="39" t="s">
        <v>8727</v>
      </c>
      <c r="I67" s="39" t="s">
        <v>8454</v>
      </c>
      <c r="J67" s="39" t="s">
        <v>8728</v>
      </c>
    </row>
    <row r="68" ht="26.25" customHeight="1">
      <c r="A68" s="12" t="s">
        <v>829</v>
      </c>
      <c r="B68" s="17">
        <v>2023.0</v>
      </c>
      <c r="C68" s="40" t="s">
        <v>17</v>
      </c>
      <c r="D68" s="40">
        <v>9621.0</v>
      </c>
      <c r="E68" s="39" t="s">
        <v>8729</v>
      </c>
      <c r="F68" s="41" t="s">
        <v>8730</v>
      </c>
      <c r="G68" s="37"/>
      <c r="H68" s="39" t="s">
        <v>4904</v>
      </c>
      <c r="I68" s="39" t="s">
        <v>8442</v>
      </c>
      <c r="J68" s="39" t="s">
        <v>8731</v>
      </c>
    </row>
    <row r="69" ht="26.25" customHeight="1">
      <c r="A69" s="12" t="s">
        <v>831</v>
      </c>
      <c r="B69" s="17">
        <v>2023.0</v>
      </c>
      <c r="C69" s="40" t="s">
        <v>18</v>
      </c>
      <c r="D69" s="40">
        <v>9665.0</v>
      </c>
      <c r="E69" s="39" t="s">
        <v>8732</v>
      </c>
      <c r="F69" s="41" t="s">
        <v>8733</v>
      </c>
      <c r="G69" s="37"/>
      <c r="H69" s="39" t="s">
        <v>8734</v>
      </c>
      <c r="I69" s="39" t="s">
        <v>8526</v>
      </c>
      <c r="J69" s="39" t="s">
        <v>8735</v>
      </c>
    </row>
    <row r="70" ht="26.25" customHeight="1">
      <c r="A70" s="12" t="s">
        <v>833</v>
      </c>
      <c r="B70" s="17">
        <v>2023.0</v>
      </c>
      <c r="C70" s="40" t="s">
        <v>18</v>
      </c>
      <c r="D70" s="40">
        <v>7514.0</v>
      </c>
      <c r="E70" s="39" t="s">
        <v>8616</v>
      </c>
      <c r="F70" s="41" t="s">
        <v>8617</v>
      </c>
      <c r="G70" s="37"/>
      <c r="H70" s="38" t="s">
        <v>8736</v>
      </c>
      <c r="I70" s="39" t="s">
        <v>8454</v>
      </c>
      <c r="J70" s="39" t="s">
        <v>8619</v>
      </c>
    </row>
    <row r="71" ht="26.25" customHeight="1">
      <c r="A71" s="12" t="s">
        <v>835</v>
      </c>
      <c r="B71" s="17">
        <v>2023.0</v>
      </c>
      <c r="C71" s="40" t="s">
        <v>18</v>
      </c>
      <c r="D71" s="40">
        <v>9684.0</v>
      </c>
      <c r="E71" s="39" t="s">
        <v>8737</v>
      </c>
      <c r="F71" s="40" t="s">
        <v>8738</v>
      </c>
      <c r="G71" s="39" t="s">
        <v>8739</v>
      </c>
      <c r="H71" s="39" t="s">
        <v>8740</v>
      </c>
      <c r="I71" s="144" t="s">
        <v>8442</v>
      </c>
      <c r="J71" s="39" t="s">
        <v>8741</v>
      </c>
    </row>
    <row r="72" ht="26.25" customHeight="1">
      <c r="A72" s="12" t="s">
        <v>840</v>
      </c>
      <c r="B72" s="17">
        <v>2023.0</v>
      </c>
      <c r="C72" s="40" t="s">
        <v>18</v>
      </c>
      <c r="D72" s="35">
        <v>9841.0</v>
      </c>
      <c r="E72" s="37" t="s">
        <v>8742</v>
      </c>
      <c r="F72" s="41" t="s">
        <v>8743</v>
      </c>
      <c r="G72" s="39" t="s">
        <v>8744</v>
      </c>
      <c r="H72" s="37" t="s">
        <v>8745</v>
      </c>
      <c r="I72" s="39" t="s">
        <v>8573</v>
      </c>
      <c r="J72" s="39" t="s">
        <v>8746</v>
      </c>
    </row>
    <row r="73" ht="26.25" customHeight="1">
      <c r="A73" s="12" t="s">
        <v>846</v>
      </c>
      <c r="B73" s="17">
        <v>2023.0</v>
      </c>
      <c r="C73" s="40" t="s">
        <v>18</v>
      </c>
      <c r="D73" s="40">
        <v>9709.0</v>
      </c>
      <c r="E73" s="39" t="s">
        <v>8747</v>
      </c>
      <c r="F73" s="40" t="s">
        <v>8748</v>
      </c>
      <c r="G73" s="39" t="s">
        <v>8749</v>
      </c>
      <c r="H73" s="39" t="s">
        <v>8750</v>
      </c>
      <c r="I73" s="39" t="s">
        <v>8454</v>
      </c>
      <c r="J73" s="39" t="s">
        <v>8751</v>
      </c>
    </row>
    <row r="74" ht="26.25" customHeight="1">
      <c r="A74" s="12" t="s">
        <v>849</v>
      </c>
      <c r="B74" s="17">
        <v>2023.0</v>
      </c>
      <c r="C74" s="40" t="s">
        <v>19</v>
      </c>
      <c r="D74" s="42">
        <v>10254.0</v>
      </c>
      <c r="E74" s="38" t="s">
        <v>8752</v>
      </c>
      <c r="F74" s="43" t="s">
        <v>8753</v>
      </c>
      <c r="G74" s="39" t="s">
        <v>8754</v>
      </c>
      <c r="H74" s="39" t="s">
        <v>3601</v>
      </c>
      <c r="I74" s="39" t="s">
        <v>8454</v>
      </c>
      <c r="J74" s="39" t="s">
        <v>8755</v>
      </c>
    </row>
    <row r="75" ht="26.25" customHeight="1">
      <c r="A75" s="12" t="s">
        <v>854</v>
      </c>
      <c r="B75" s="17">
        <v>2023.0</v>
      </c>
      <c r="C75" s="35" t="s">
        <v>19</v>
      </c>
      <c r="D75" s="35">
        <v>9803.0</v>
      </c>
      <c r="E75" s="37" t="s">
        <v>8756</v>
      </c>
      <c r="F75" s="41" t="s">
        <v>8757</v>
      </c>
      <c r="G75" s="39" t="s">
        <v>8758</v>
      </c>
      <c r="H75" s="37" t="s">
        <v>8759</v>
      </c>
      <c r="I75" s="39" t="s">
        <v>8707</v>
      </c>
      <c r="J75" s="39" t="s">
        <v>8760</v>
      </c>
    </row>
    <row r="76" ht="26.25" customHeight="1">
      <c r="A76" s="12" t="s">
        <v>860</v>
      </c>
      <c r="B76" s="17">
        <v>2023.0</v>
      </c>
      <c r="C76" s="17" t="s">
        <v>19</v>
      </c>
      <c r="D76" s="17">
        <v>6390.0</v>
      </c>
      <c r="E76" s="36" t="s">
        <v>8761</v>
      </c>
      <c r="F76" s="40" t="s">
        <v>8762</v>
      </c>
      <c r="G76" s="37"/>
      <c r="H76" s="36" t="s">
        <v>8763</v>
      </c>
      <c r="I76" s="39" t="s">
        <v>8573</v>
      </c>
      <c r="J76" s="39" t="s">
        <v>8764</v>
      </c>
    </row>
    <row r="77" ht="26.25" customHeight="1">
      <c r="A77" s="12" t="s">
        <v>866</v>
      </c>
      <c r="B77" s="17">
        <v>2023.0</v>
      </c>
      <c r="C77" s="17" t="s">
        <v>19</v>
      </c>
      <c r="D77" s="17">
        <v>10156.0</v>
      </c>
      <c r="E77" s="37" t="s">
        <v>8765</v>
      </c>
      <c r="F77" s="41" t="s">
        <v>8766</v>
      </c>
      <c r="G77" s="39" t="s">
        <v>8767</v>
      </c>
      <c r="H77" s="37" t="s">
        <v>8765</v>
      </c>
      <c r="I77" s="39" t="s">
        <v>8552</v>
      </c>
      <c r="J77" s="39" t="s">
        <v>8768</v>
      </c>
    </row>
    <row r="78" ht="26.25" customHeight="1">
      <c r="A78" s="12" t="s">
        <v>869</v>
      </c>
      <c r="B78" s="17">
        <v>2023.0</v>
      </c>
      <c r="C78" s="17" t="s">
        <v>19</v>
      </c>
      <c r="D78" s="17">
        <v>8999.0</v>
      </c>
      <c r="E78" s="37" t="s">
        <v>8769</v>
      </c>
      <c r="F78" s="41" t="s">
        <v>8770</v>
      </c>
      <c r="G78" s="37"/>
      <c r="H78" s="37" t="s">
        <v>5598</v>
      </c>
      <c r="I78" s="39" t="s">
        <v>8552</v>
      </c>
      <c r="J78" s="39" t="s">
        <v>8771</v>
      </c>
    </row>
    <row r="79" ht="26.25" customHeight="1">
      <c r="A79" s="12" t="s">
        <v>875</v>
      </c>
      <c r="B79" s="17">
        <v>2023.0</v>
      </c>
      <c r="C79" s="17" t="s">
        <v>20</v>
      </c>
      <c r="D79" s="17">
        <v>10234.0</v>
      </c>
      <c r="E79" s="37" t="s">
        <v>8772</v>
      </c>
      <c r="F79" s="41" t="s">
        <v>8773</v>
      </c>
      <c r="G79" s="39" t="s">
        <v>8774</v>
      </c>
      <c r="H79" s="37" t="s">
        <v>8775</v>
      </c>
      <c r="I79" s="38" t="s">
        <v>8454</v>
      </c>
      <c r="J79" s="39" t="s">
        <v>8776</v>
      </c>
    </row>
    <row r="80" ht="26.25" customHeight="1">
      <c r="A80" s="12" t="s">
        <v>880</v>
      </c>
      <c r="B80" s="17">
        <v>2023.0</v>
      </c>
      <c r="C80" s="17" t="s">
        <v>20</v>
      </c>
      <c r="D80" s="17">
        <v>10512.0</v>
      </c>
      <c r="E80" s="36" t="s">
        <v>8777</v>
      </c>
      <c r="F80" s="43" t="s">
        <v>8778</v>
      </c>
      <c r="G80" s="36" t="s">
        <v>8779</v>
      </c>
      <c r="H80" s="36" t="s">
        <v>8780</v>
      </c>
      <c r="I80" s="38" t="s">
        <v>8454</v>
      </c>
      <c r="J80" s="39" t="s">
        <v>8781</v>
      </c>
    </row>
    <row r="81" ht="26.25" customHeight="1">
      <c r="A81" s="12" t="s">
        <v>887</v>
      </c>
      <c r="B81" s="17">
        <v>2023.0</v>
      </c>
      <c r="C81" s="17" t="s">
        <v>20</v>
      </c>
      <c r="D81" s="17">
        <v>10474.0</v>
      </c>
      <c r="E81" s="36" t="s">
        <v>8782</v>
      </c>
      <c r="F81" s="43" t="s">
        <v>8783</v>
      </c>
      <c r="G81" s="36" t="s">
        <v>8784</v>
      </c>
      <c r="H81" s="36" t="s">
        <v>8785</v>
      </c>
      <c r="I81" s="39" t="s">
        <v>8573</v>
      </c>
      <c r="J81" s="39" t="s">
        <v>8786</v>
      </c>
    </row>
    <row r="82" ht="26.25" customHeight="1">
      <c r="A82" s="12" t="s">
        <v>889</v>
      </c>
      <c r="B82" s="17">
        <v>2023.0</v>
      </c>
      <c r="C82" s="17" t="s">
        <v>8787</v>
      </c>
      <c r="D82" s="17">
        <v>10237.0</v>
      </c>
      <c r="E82" s="36" t="s">
        <v>8788</v>
      </c>
      <c r="F82" s="43" t="s">
        <v>8789</v>
      </c>
      <c r="G82" s="36" t="s">
        <v>8790</v>
      </c>
      <c r="H82" s="36" t="s">
        <v>8791</v>
      </c>
      <c r="I82" s="39" t="s">
        <v>8526</v>
      </c>
      <c r="J82" s="39" t="s">
        <v>8792</v>
      </c>
    </row>
    <row r="83" ht="26.25" customHeight="1">
      <c r="A83" s="12" t="s">
        <v>891</v>
      </c>
      <c r="B83" s="17">
        <v>2023.0</v>
      </c>
      <c r="C83" s="17" t="s">
        <v>8787</v>
      </c>
      <c r="D83" s="17">
        <v>10250.0</v>
      </c>
      <c r="E83" s="36" t="s">
        <v>8793</v>
      </c>
      <c r="F83" s="43" t="s">
        <v>8794</v>
      </c>
      <c r="G83" s="36" t="s">
        <v>8795</v>
      </c>
      <c r="H83" s="36" t="s">
        <v>8796</v>
      </c>
      <c r="I83" s="39" t="s">
        <v>8526</v>
      </c>
      <c r="J83" s="39" t="s">
        <v>8797</v>
      </c>
    </row>
    <row r="84" ht="26.25" customHeight="1">
      <c r="A84" s="12" t="s">
        <v>896</v>
      </c>
      <c r="B84" s="17">
        <v>2023.0</v>
      </c>
      <c r="C84" s="17" t="s">
        <v>21</v>
      </c>
      <c r="D84" s="17">
        <v>10394.0</v>
      </c>
      <c r="E84" s="36" t="s">
        <v>8798</v>
      </c>
      <c r="F84" s="43" t="s">
        <v>8799</v>
      </c>
      <c r="G84" s="36" t="s">
        <v>8800</v>
      </c>
      <c r="H84" s="36" t="s">
        <v>8801</v>
      </c>
      <c r="I84" s="38" t="s">
        <v>8442</v>
      </c>
      <c r="J84" s="38" t="s">
        <v>8802</v>
      </c>
    </row>
    <row r="85" ht="26.25" customHeight="1">
      <c r="A85" s="12" t="s">
        <v>901</v>
      </c>
      <c r="B85" s="17">
        <v>2023.0</v>
      </c>
      <c r="C85" s="40" t="s">
        <v>21</v>
      </c>
      <c r="D85" s="40">
        <v>9709.0</v>
      </c>
      <c r="E85" s="39" t="s">
        <v>8747</v>
      </c>
      <c r="F85" s="40" t="s">
        <v>8748</v>
      </c>
      <c r="G85" s="39" t="s">
        <v>8749</v>
      </c>
      <c r="H85" s="38" t="s">
        <v>8803</v>
      </c>
      <c r="I85" s="39" t="s">
        <v>8454</v>
      </c>
      <c r="J85" s="39" t="s">
        <v>8751</v>
      </c>
    </row>
    <row r="86" ht="26.25" customHeight="1">
      <c r="A86" s="12" t="s">
        <v>907</v>
      </c>
      <c r="B86" s="17">
        <v>2023.0</v>
      </c>
      <c r="C86" s="17" t="s">
        <v>21</v>
      </c>
      <c r="D86" s="17">
        <v>10538.0</v>
      </c>
      <c r="E86" s="36" t="s">
        <v>8804</v>
      </c>
      <c r="F86" s="43" t="s">
        <v>8805</v>
      </c>
      <c r="G86" s="36"/>
      <c r="H86" s="36" t="s">
        <v>8806</v>
      </c>
      <c r="I86" s="38" t="s">
        <v>8454</v>
      </c>
      <c r="J86" s="38" t="s">
        <v>8807</v>
      </c>
    </row>
    <row r="87" ht="26.25" customHeight="1">
      <c r="A87" s="12" t="s">
        <v>913</v>
      </c>
      <c r="B87" s="17">
        <v>2023.0</v>
      </c>
      <c r="C87" s="17" t="s">
        <v>21</v>
      </c>
      <c r="D87" s="17">
        <v>10697.0</v>
      </c>
      <c r="E87" s="36" t="s">
        <v>8808</v>
      </c>
      <c r="F87" s="43" t="s">
        <v>8809</v>
      </c>
      <c r="G87" s="36" t="s">
        <v>8810</v>
      </c>
      <c r="H87" s="36" t="s">
        <v>8811</v>
      </c>
      <c r="I87" s="38" t="s">
        <v>8442</v>
      </c>
      <c r="J87" s="38" t="s">
        <v>8812</v>
      </c>
    </row>
    <row r="88" ht="26.25" customHeight="1">
      <c r="A88" s="12" t="s">
        <v>919</v>
      </c>
      <c r="B88" s="17">
        <v>2023.0</v>
      </c>
      <c r="C88" s="17" t="s">
        <v>22</v>
      </c>
      <c r="D88" s="17">
        <v>10720.0</v>
      </c>
      <c r="E88" s="36" t="s">
        <v>8813</v>
      </c>
      <c r="F88" s="43" t="s">
        <v>8814</v>
      </c>
      <c r="G88" s="36" t="s">
        <v>8815</v>
      </c>
      <c r="H88" s="36" t="s">
        <v>8816</v>
      </c>
      <c r="I88" s="38" t="s">
        <v>8573</v>
      </c>
      <c r="J88" s="38" t="s">
        <v>8817</v>
      </c>
    </row>
    <row r="89" ht="26.25" customHeight="1">
      <c r="A89" s="12" t="s">
        <v>924</v>
      </c>
      <c r="B89" s="17">
        <v>2023.0</v>
      </c>
      <c r="C89" s="17" t="s">
        <v>22</v>
      </c>
      <c r="D89" s="42">
        <v>10835.0</v>
      </c>
      <c r="E89" s="38" t="s">
        <v>8818</v>
      </c>
      <c r="F89" s="43" t="s">
        <v>8819</v>
      </c>
      <c r="G89" s="38" t="s">
        <v>8820</v>
      </c>
      <c r="H89" s="36" t="s">
        <v>8821</v>
      </c>
      <c r="I89" s="38" t="s">
        <v>8442</v>
      </c>
      <c r="J89" s="38" t="s">
        <v>8822</v>
      </c>
    </row>
    <row r="90" ht="26.25" customHeight="1">
      <c r="A90" s="12" t="s">
        <v>930</v>
      </c>
      <c r="B90" s="17">
        <v>2023.0</v>
      </c>
      <c r="C90" s="17" t="s">
        <v>22</v>
      </c>
      <c r="D90" s="17">
        <v>10762.0</v>
      </c>
      <c r="E90" s="36" t="s">
        <v>8823</v>
      </c>
      <c r="F90" s="43" t="s">
        <v>8824</v>
      </c>
      <c r="G90" s="36" t="s">
        <v>8825</v>
      </c>
      <c r="H90" s="36" t="s">
        <v>8826</v>
      </c>
      <c r="I90" s="38" t="s">
        <v>8707</v>
      </c>
      <c r="J90" s="38" t="s">
        <v>8827</v>
      </c>
    </row>
    <row r="91" ht="26.25" customHeight="1">
      <c r="A91" s="12" t="s">
        <v>935</v>
      </c>
      <c r="B91" s="17">
        <v>2023.0</v>
      </c>
      <c r="C91" s="17" t="s">
        <v>22</v>
      </c>
      <c r="D91" s="17">
        <v>10788.0</v>
      </c>
      <c r="E91" s="36" t="s">
        <v>8828</v>
      </c>
      <c r="F91" s="43" t="s">
        <v>8829</v>
      </c>
      <c r="G91" s="36"/>
      <c r="H91" s="36" t="s">
        <v>8830</v>
      </c>
      <c r="I91" s="38" t="s">
        <v>8454</v>
      </c>
      <c r="J91" s="38" t="s">
        <v>8831</v>
      </c>
    </row>
    <row r="92" ht="26.25" customHeight="1">
      <c r="A92" s="12" t="s">
        <v>941</v>
      </c>
      <c r="B92" s="17">
        <v>2023.0</v>
      </c>
      <c r="C92" s="17" t="s">
        <v>22</v>
      </c>
      <c r="D92" s="42">
        <v>10881.0</v>
      </c>
      <c r="E92" s="38" t="s">
        <v>8832</v>
      </c>
      <c r="F92" s="43" t="s">
        <v>8833</v>
      </c>
      <c r="G92" s="36" t="s">
        <v>8834</v>
      </c>
      <c r="H92" s="36" t="s">
        <v>8835</v>
      </c>
      <c r="I92" s="38" t="s">
        <v>8442</v>
      </c>
      <c r="J92" s="38" t="s">
        <v>8836</v>
      </c>
    </row>
    <row r="93" ht="26.25" customHeight="1">
      <c r="A93" s="12" t="s">
        <v>947</v>
      </c>
      <c r="B93" s="17">
        <v>2024.0</v>
      </c>
      <c r="C93" s="17" t="s">
        <v>11</v>
      </c>
      <c r="D93" s="17">
        <v>10856.0</v>
      </c>
      <c r="E93" s="36" t="s">
        <v>8837</v>
      </c>
      <c r="F93" s="43" t="s">
        <v>8838</v>
      </c>
      <c r="G93" s="36" t="s">
        <v>8839</v>
      </c>
      <c r="H93" s="36" t="s">
        <v>8840</v>
      </c>
      <c r="I93" s="38" t="s">
        <v>8454</v>
      </c>
      <c r="J93" s="38" t="s">
        <v>8841</v>
      </c>
    </row>
    <row r="94" ht="26.25" customHeight="1">
      <c r="A94" s="12" t="s">
        <v>951</v>
      </c>
      <c r="B94" s="17">
        <v>2024.0</v>
      </c>
      <c r="C94" s="17" t="s">
        <v>11</v>
      </c>
      <c r="D94" s="17">
        <v>11000.0</v>
      </c>
      <c r="E94" s="36" t="s">
        <v>8842</v>
      </c>
      <c r="F94" s="43" t="s">
        <v>8843</v>
      </c>
      <c r="G94" s="36" t="s">
        <v>8844</v>
      </c>
      <c r="H94" s="36" t="s">
        <v>8845</v>
      </c>
      <c r="I94" s="38" t="s">
        <v>8846</v>
      </c>
      <c r="J94" s="38" t="s">
        <v>8847</v>
      </c>
    </row>
    <row r="95" ht="26.25" customHeight="1">
      <c r="A95" s="12" t="s">
        <v>953</v>
      </c>
      <c r="B95" s="17">
        <v>2024.0</v>
      </c>
      <c r="C95" s="17" t="s">
        <v>11</v>
      </c>
      <c r="D95" s="17">
        <v>10908.0</v>
      </c>
      <c r="E95" s="36" t="s">
        <v>8848</v>
      </c>
      <c r="F95" s="43" t="s">
        <v>8849</v>
      </c>
      <c r="G95" s="36" t="s">
        <v>8850</v>
      </c>
      <c r="H95" s="36" t="s">
        <v>8851</v>
      </c>
      <c r="I95" s="38" t="s">
        <v>8442</v>
      </c>
      <c r="J95" s="38" t="s">
        <v>8852</v>
      </c>
    </row>
    <row r="96" ht="26.25" customHeight="1">
      <c r="A96" s="12" t="s">
        <v>959</v>
      </c>
      <c r="B96" s="17">
        <v>2024.0</v>
      </c>
      <c r="C96" s="44" t="s">
        <v>11</v>
      </c>
      <c r="D96" s="44">
        <v>11047.0</v>
      </c>
      <c r="E96" s="45" t="s">
        <v>8853</v>
      </c>
      <c r="F96" s="46" t="s">
        <v>8854</v>
      </c>
      <c r="G96" s="167"/>
      <c r="H96" s="45" t="s">
        <v>8855</v>
      </c>
      <c r="I96" s="168" t="s">
        <v>8448</v>
      </c>
      <c r="J96" s="168" t="s">
        <v>8856</v>
      </c>
    </row>
    <row r="97" ht="26.25" customHeight="1">
      <c r="A97" s="12" t="s">
        <v>965</v>
      </c>
      <c r="B97" s="17">
        <v>2024.0</v>
      </c>
      <c r="C97" s="44" t="s">
        <v>11</v>
      </c>
      <c r="D97" s="17">
        <v>10954.0</v>
      </c>
      <c r="E97" s="36" t="s">
        <v>8857</v>
      </c>
      <c r="F97" s="43" t="s">
        <v>8858</v>
      </c>
      <c r="G97" s="36" t="s">
        <v>8859</v>
      </c>
      <c r="H97" s="36" t="s">
        <v>8860</v>
      </c>
      <c r="I97" s="38" t="s">
        <v>8442</v>
      </c>
      <c r="J97" s="38" t="s">
        <v>8861</v>
      </c>
    </row>
    <row r="98" ht="26.25" customHeight="1">
      <c r="A98" s="12" t="s">
        <v>967</v>
      </c>
      <c r="B98" s="17">
        <v>2024.0</v>
      </c>
      <c r="C98" s="44" t="s">
        <v>11</v>
      </c>
      <c r="D98" s="17">
        <v>4449.0</v>
      </c>
      <c r="E98" s="36" t="s">
        <v>8862</v>
      </c>
      <c r="F98" s="43" t="s">
        <v>8863</v>
      </c>
      <c r="G98" s="36" t="s">
        <v>8864</v>
      </c>
      <c r="H98" s="36" t="s">
        <v>8865</v>
      </c>
      <c r="I98" s="38" t="s">
        <v>8442</v>
      </c>
      <c r="J98" s="38" t="s">
        <v>8866</v>
      </c>
    </row>
    <row r="99" ht="26.25" customHeight="1">
      <c r="A99" s="12" t="s">
        <v>971</v>
      </c>
      <c r="B99" s="17">
        <v>2024.0</v>
      </c>
      <c r="C99" s="17" t="s">
        <v>12</v>
      </c>
      <c r="D99" s="17">
        <v>11308.0</v>
      </c>
      <c r="E99" s="36" t="s">
        <v>8867</v>
      </c>
      <c r="F99" s="43" t="s">
        <v>8868</v>
      </c>
      <c r="G99" s="36" t="s">
        <v>8869</v>
      </c>
      <c r="H99" s="36" t="s">
        <v>8870</v>
      </c>
      <c r="I99" s="38" t="s">
        <v>8442</v>
      </c>
      <c r="J99" s="38" t="s">
        <v>8871</v>
      </c>
    </row>
    <row r="100" ht="26.25" customHeight="1">
      <c r="A100" s="12" t="s">
        <v>978</v>
      </c>
      <c r="B100" s="17">
        <v>2024.0</v>
      </c>
      <c r="C100" s="17" t="s">
        <v>12</v>
      </c>
      <c r="D100" s="17">
        <v>11196.0</v>
      </c>
      <c r="E100" s="36" t="s">
        <v>8872</v>
      </c>
      <c r="F100" s="43" t="s">
        <v>8873</v>
      </c>
      <c r="G100" s="36" t="s">
        <v>8874</v>
      </c>
      <c r="H100" s="36" t="s">
        <v>8875</v>
      </c>
      <c r="I100" s="38" t="s">
        <v>8442</v>
      </c>
      <c r="J100" s="38" t="s">
        <v>8876</v>
      </c>
    </row>
    <row r="101" ht="26.25" customHeight="1">
      <c r="A101" s="12" t="s">
        <v>984</v>
      </c>
      <c r="B101" s="17">
        <v>2024.0</v>
      </c>
      <c r="C101" s="17" t="s">
        <v>12</v>
      </c>
      <c r="D101" s="17">
        <v>11384.0</v>
      </c>
      <c r="E101" s="36" t="s">
        <v>8877</v>
      </c>
      <c r="F101" s="43" t="s">
        <v>8878</v>
      </c>
      <c r="G101" s="36" t="s">
        <v>8879</v>
      </c>
      <c r="H101" s="36" t="s">
        <v>8880</v>
      </c>
      <c r="I101" s="38" t="s">
        <v>8526</v>
      </c>
      <c r="J101" s="38" t="s">
        <v>8881</v>
      </c>
    </row>
    <row r="102" ht="26.25" customHeight="1">
      <c r="A102" s="12" t="s">
        <v>990</v>
      </c>
      <c r="B102" s="17">
        <v>2024.0</v>
      </c>
      <c r="C102" s="17" t="s">
        <v>12</v>
      </c>
      <c r="D102" s="17">
        <v>11295.0</v>
      </c>
      <c r="E102" s="36" t="s">
        <v>8882</v>
      </c>
      <c r="F102" s="43" t="s">
        <v>8883</v>
      </c>
      <c r="G102" s="36" t="s">
        <v>8884</v>
      </c>
      <c r="H102" s="38" t="s">
        <v>8885</v>
      </c>
      <c r="I102" s="38" t="s">
        <v>8442</v>
      </c>
      <c r="J102" s="38" t="s">
        <v>8886</v>
      </c>
    </row>
    <row r="103" ht="26.25" customHeight="1">
      <c r="A103" s="12" t="s">
        <v>995</v>
      </c>
      <c r="B103" s="17">
        <v>2024.0</v>
      </c>
      <c r="C103" s="17" t="s">
        <v>12</v>
      </c>
      <c r="D103" s="17">
        <v>11295.0</v>
      </c>
      <c r="E103" s="36" t="s">
        <v>8882</v>
      </c>
      <c r="F103" s="43" t="s">
        <v>8883</v>
      </c>
      <c r="G103" s="36" t="s">
        <v>8884</v>
      </c>
      <c r="H103" s="38" t="s">
        <v>8887</v>
      </c>
      <c r="I103" s="38" t="s">
        <v>8442</v>
      </c>
      <c r="J103" s="38" t="s">
        <v>8888</v>
      </c>
    </row>
    <row r="104" ht="26.25" customHeight="1">
      <c r="A104" s="12" t="s">
        <v>1001</v>
      </c>
      <c r="B104" s="17">
        <v>2024.0</v>
      </c>
      <c r="C104" s="17" t="s">
        <v>12</v>
      </c>
      <c r="D104" s="17">
        <v>11320.0</v>
      </c>
      <c r="E104" s="36" t="s">
        <v>8889</v>
      </c>
      <c r="F104" s="43" t="s">
        <v>8890</v>
      </c>
      <c r="G104" s="36" t="s">
        <v>8891</v>
      </c>
      <c r="H104" s="36" t="s">
        <v>8892</v>
      </c>
      <c r="I104" s="38" t="s">
        <v>8442</v>
      </c>
      <c r="J104" s="38" t="s">
        <v>8893</v>
      </c>
    </row>
    <row r="105" ht="26.25" customHeight="1">
      <c r="A105" s="12" t="s">
        <v>1003</v>
      </c>
      <c r="B105" s="17">
        <v>2024.0</v>
      </c>
      <c r="C105" s="17" t="s">
        <v>13</v>
      </c>
      <c r="D105" s="17">
        <v>9803.0</v>
      </c>
      <c r="E105" s="36" t="s">
        <v>8756</v>
      </c>
      <c r="F105" s="43" t="s">
        <v>8757</v>
      </c>
      <c r="G105" s="36" t="s">
        <v>8758</v>
      </c>
      <c r="H105" s="36" t="s">
        <v>8894</v>
      </c>
      <c r="I105" s="38" t="s">
        <v>8707</v>
      </c>
      <c r="J105" s="38" t="s">
        <v>8760</v>
      </c>
    </row>
    <row r="106" ht="26.25" customHeight="1">
      <c r="A106" s="12" t="s">
        <v>1005</v>
      </c>
      <c r="B106" s="17">
        <v>2024.0</v>
      </c>
      <c r="C106" s="17" t="s">
        <v>13</v>
      </c>
      <c r="D106" s="17">
        <v>11364.0</v>
      </c>
      <c r="E106" s="36" t="s">
        <v>8895</v>
      </c>
      <c r="F106" s="43" t="s">
        <v>8896</v>
      </c>
      <c r="G106" s="36" t="s">
        <v>8897</v>
      </c>
      <c r="H106" s="36" t="s">
        <v>8898</v>
      </c>
      <c r="I106" s="38" t="s">
        <v>8454</v>
      </c>
      <c r="J106" s="38" t="s">
        <v>8899</v>
      </c>
    </row>
    <row r="107" ht="26.25" customHeight="1">
      <c r="A107" s="12" t="s">
        <v>1011</v>
      </c>
      <c r="B107" s="17">
        <v>2024.0</v>
      </c>
      <c r="C107" s="17" t="s">
        <v>13</v>
      </c>
      <c r="D107" s="17">
        <v>11517.0</v>
      </c>
      <c r="E107" s="36" t="s">
        <v>8900</v>
      </c>
      <c r="F107" s="43" t="s">
        <v>8901</v>
      </c>
      <c r="G107" s="47"/>
      <c r="H107" s="36" t="s">
        <v>8902</v>
      </c>
      <c r="I107" s="38" t="s">
        <v>8526</v>
      </c>
      <c r="J107" s="38" t="s">
        <v>8903</v>
      </c>
    </row>
    <row r="108" ht="26.25" customHeight="1">
      <c r="A108" s="12" t="s">
        <v>1017</v>
      </c>
      <c r="B108" s="17">
        <v>2024.0</v>
      </c>
      <c r="C108" s="17" t="s">
        <v>13</v>
      </c>
      <c r="D108" s="17">
        <v>11648.0</v>
      </c>
      <c r="E108" s="36" t="s">
        <v>8904</v>
      </c>
      <c r="F108" s="43" t="s">
        <v>8905</v>
      </c>
      <c r="G108" s="36" t="s">
        <v>8906</v>
      </c>
      <c r="H108" s="36" t="s">
        <v>8907</v>
      </c>
      <c r="I108" s="38" t="s">
        <v>8442</v>
      </c>
      <c r="J108" s="38" t="s">
        <v>8908</v>
      </c>
    </row>
    <row r="109" ht="26.25" customHeight="1">
      <c r="A109" s="12" t="s">
        <v>1023</v>
      </c>
      <c r="B109" s="17">
        <v>2024.0</v>
      </c>
      <c r="C109" s="17" t="s">
        <v>13</v>
      </c>
      <c r="D109" s="17">
        <v>11556.0</v>
      </c>
      <c r="E109" s="36" t="s">
        <v>8909</v>
      </c>
      <c r="F109" s="43" t="s">
        <v>8910</v>
      </c>
      <c r="G109" s="36" t="s">
        <v>8911</v>
      </c>
      <c r="H109" s="36" t="s">
        <v>8912</v>
      </c>
      <c r="I109" s="38" t="s">
        <v>8442</v>
      </c>
      <c r="J109" s="38" t="s">
        <v>8913</v>
      </c>
    </row>
    <row r="110" ht="26.25" customHeight="1">
      <c r="A110" s="12" t="s">
        <v>1029</v>
      </c>
      <c r="B110" s="17">
        <v>2024.0</v>
      </c>
      <c r="C110" s="17" t="s">
        <v>13</v>
      </c>
      <c r="D110" s="17">
        <v>11741.0</v>
      </c>
      <c r="E110" s="36" t="s">
        <v>8914</v>
      </c>
      <c r="F110" s="48" t="s">
        <v>8915</v>
      </c>
      <c r="G110" s="36" t="s">
        <v>8916</v>
      </c>
      <c r="H110" s="36" t="s">
        <v>8917</v>
      </c>
      <c r="I110" s="38" t="s">
        <v>8442</v>
      </c>
      <c r="J110" s="38" t="s">
        <v>8918</v>
      </c>
    </row>
    <row r="111" ht="26.25" customHeight="1">
      <c r="A111" s="12" t="s">
        <v>1035</v>
      </c>
      <c r="B111" s="17">
        <v>2024.0</v>
      </c>
      <c r="C111" s="17" t="s">
        <v>13</v>
      </c>
      <c r="D111" s="17">
        <v>11703.0</v>
      </c>
      <c r="E111" s="36" t="s">
        <v>8919</v>
      </c>
      <c r="F111" s="48" t="s">
        <v>8920</v>
      </c>
      <c r="G111" s="36" t="s">
        <v>8921</v>
      </c>
      <c r="H111" s="36" t="s">
        <v>8922</v>
      </c>
      <c r="I111" s="38" t="s">
        <v>8442</v>
      </c>
      <c r="J111" s="38" t="s">
        <v>8923</v>
      </c>
    </row>
    <row r="112" ht="26.25" customHeight="1">
      <c r="A112" s="12" t="s">
        <v>1040</v>
      </c>
      <c r="B112" s="17">
        <v>2024.0</v>
      </c>
      <c r="C112" s="17" t="s">
        <v>14</v>
      </c>
      <c r="D112" s="17">
        <v>11642.0</v>
      </c>
      <c r="E112" s="36" t="s">
        <v>8924</v>
      </c>
      <c r="F112" s="48" t="s">
        <v>8925</v>
      </c>
      <c r="G112" s="36" t="s">
        <v>8926</v>
      </c>
      <c r="H112" s="36" t="s">
        <v>8927</v>
      </c>
      <c r="I112" s="38" t="s">
        <v>8442</v>
      </c>
      <c r="J112" s="38" t="s">
        <v>8928</v>
      </c>
    </row>
    <row r="113" ht="26.25" customHeight="1">
      <c r="A113" s="12" t="s">
        <v>1045</v>
      </c>
      <c r="B113" s="17">
        <v>2024.0</v>
      </c>
      <c r="C113" s="17" t="s">
        <v>14</v>
      </c>
      <c r="D113" s="17">
        <v>11824.0</v>
      </c>
      <c r="E113" s="36" t="s">
        <v>8929</v>
      </c>
      <c r="F113" s="48" t="s">
        <v>8930</v>
      </c>
      <c r="G113" s="36" t="s">
        <v>8931</v>
      </c>
      <c r="H113" s="36" t="s">
        <v>8932</v>
      </c>
      <c r="I113" s="38" t="s">
        <v>8573</v>
      </c>
      <c r="J113" s="38" t="s">
        <v>8933</v>
      </c>
    </row>
    <row r="114" ht="26.25" customHeight="1">
      <c r="A114" s="12" t="s">
        <v>1051</v>
      </c>
      <c r="B114" s="17">
        <v>2024.0</v>
      </c>
      <c r="C114" s="17" t="s">
        <v>14</v>
      </c>
      <c r="D114" s="17">
        <v>11823.0</v>
      </c>
      <c r="E114" s="36" t="s">
        <v>8934</v>
      </c>
      <c r="F114" s="48" t="s">
        <v>8935</v>
      </c>
      <c r="G114" s="36" t="s">
        <v>8936</v>
      </c>
      <c r="H114" s="36" t="s">
        <v>8937</v>
      </c>
      <c r="I114" s="38" t="s">
        <v>8442</v>
      </c>
      <c r="J114" s="38" t="s">
        <v>8938</v>
      </c>
    </row>
    <row r="115" ht="26.25" customHeight="1">
      <c r="A115" s="12" t="s">
        <v>1056</v>
      </c>
      <c r="B115" s="17">
        <v>2024.0</v>
      </c>
      <c r="C115" s="17" t="s">
        <v>14</v>
      </c>
      <c r="D115" s="17">
        <v>11657.0</v>
      </c>
      <c r="E115" s="36" t="s">
        <v>8939</v>
      </c>
      <c r="F115" s="48" t="s">
        <v>8940</v>
      </c>
      <c r="G115" s="36" t="s">
        <v>8941</v>
      </c>
      <c r="H115" s="36" t="s">
        <v>8939</v>
      </c>
      <c r="I115" s="38" t="s">
        <v>8579</v>
      </c>
      <c r="J115" s="38" t="s">
        <v>8942</v>
      </c>
    </row>
    <row r="116" ht="26.25" customHeight="1">
      <c r="A116" s="12" t="s">
        <v>1062</v>
      </c>
      <c r="B116" s="17">
        <v>2024.0</v>
      </c>
      <c r="C116" s="17" t="s">
        <v>15</v>
      </c>
      <c r="D116" s="17">
        <v>12109.0</v>
      </c>
      <c r="E116" s="36" t="s">
        <v>8943</v>
      </c>
      <c r="F116" s="48" t="s">
        <v>8944</v>
      </c>
      <c r="G116" s="36" t="s">
        <v>8945</v>
      </c>
      <c r="H116" s="36" t="s">
        <v>8946</v>
      </c>
      <c r="I116" s="36" t="s">
        <v>8454</v>
      </c>
      <c r="J116" s="38" t="s">
        <v>8947</v>
      </c>
    </row>
    <row r="117" ht="26.25" customHeight="1">
      <c r="A117" s="12" t="s">
        <v>1068</v>
      </c>
      <c r="B117" s="17">
        <v>2024.0</v>
      </c>
      <c r="C117" s="17" t="s">
        <v>15</v>
      </c>
      <c r="D117" s="17">
        <v>12053.0</v>
      </c>
      <c r="E117" s="36" t="s">
        <v>8948</v>
      </c>
      <c r="F117" s="48" t="s">
        <v>8949</v>
      </c>
      <c r="G117" s="36" t="s">
        <v>8950</v>
      </c>
      <c r="H117" s="36" t="s">
        <v>8951</v>
      </c>
      <c r="I117" s="36" t="s">
        <v>8573</v>
      </c>
      <c r="J117" s="38" t="s">
        <v>8952</v>
      </c>
    </row>
    <row r="118" ht="26.25" customHeight="1">
      <c r="A118" s="12" t="s">
        <v>1074</v>
      </c>
      <c r="B118" s="17">
        <v>2024.0</v>
      </c>
      <c r="C118" s="17" t="s">
        <v>15</v>
      </c>
      <c r="D118" s="17">
        <v>10835.0</v>
      </c>
      <c r="E118" s="36" t="s">
        <v>8818</v>
      </c>
      <c r="F118" s="48" t="s">
        <v>8953</v>
      </c>
      <c r="G118" s="36" t="s">
        <v>8820</v>
      </c>
      <c r="H118" s="36" t="s">
        <v>8954</v>
      </c>
      <c r="I118" s="36" t="s">
        <v>8442</v>
      </c>
      <c r="J118" s="38" t="s">
        <v>8955</v>
      </c>
    </row>
    <row r="119" ht="26.25" customHeight="1">
      <c r="A119" s="12" t="s">
        <v>1080</v>
      </c>
      <c r="B119" s="17">
        <v>2024.0</v>
      </c>
      <c r="C119" s="17" t="s">
        <v>15</v>
      </c>
      <c r="D119" s="17">
        <v>12254.0</v>
      </c>
      <c r="E119" s="36" t="s">
        <v>8956</v>
      </c>
      <c r="F119" s="48" t="s">
        <v>8957</v>
      </c>
      <c r="G119" s="36" t="s">
        <v>8958</v>
      </c>
      <c r="H119" s="36" t="s">
        <v>8959</v>
      </c>
      <c r="I119" s="36" t="s">
        <v>8960</v>
      </c>
      <c r="J119" s="38" t="s">
        <v>8961</v>
      </c>
    </row>
    <row r="120" ht="26.25" customHeight="1">
      <c r="A120" s="12" t="s">
        <v>1086</v>
      </c>
      <c r="B120" s="17">
        <v>2024.0</v>
      </c>
      <c r="C120" s="17" t="s">
        <v>15</v>
      </c>
      <c r="D120" s="17">
        <v>12086.0</v>
      </c>
      <c r="E120" s="36" t="s">
        <v>8962</v>
      </c>
      <c r="F120" s="48" t="s">
        <v>8963</v>
      </c>
      <c r="G120" s="47"/>
      <c r="H120" s="36" t="s">
        <v>8962</v>
      </c>
      <c r="I120" s="36" t="s">
        <v>8454</v>
      </c>
      <c r="J120" s="38" t="s">
        <v>8964</v>
      </c>
    </row>
    <row r="121" ht="26.25" customHeight="1">
      <c r="A121" s="12" t="s">
        <v>1091</v>
      </c>
      <c r="B121" s="17">
        <v>2024.0</v>
      </c>
      <c r="C121" s="17" t="s">
        <v>16</v>
      </c>
      <c r="D121" s="17">
        <v>12192.0</v>
      </c>
      <c r="E121" s="37" t="s">
        <v>8965</v>
      </c>
      <c r="F121" s="72" t="s">
        <v>8966</v>
      </c>
      <c r="G121" s="36" t="s">
        <v>8967</v>
      </c>
      <c r="H121" s="37" t="s">
        <v>8968</v>
      </c>
      <c r="I121" s="37" t="s">
        <v>8454</v>
      </c>
      <c r="J121" s="38" t="s">
        <v>8969</v>
      </c>
    </row>
    <row r="122" ht="26.25" customHeight="1">
      <c r="A122" s="12" t="s">
        <v>1097</v>
      </c>
      <c r="B122" s="17">
        <v>2024.0</v>
      </c>
      <c r="C122" s="17" t="s">
        <v>16</v>
      </c>
      <c r="D122" s="17">
        <v>12281.0</v>
      </c>
      <c r="E122" s="36" t="s">
        <v>8970</v>
      </c>
      <c r="F122" s="48" t="s">
        <v>8971</v>
      </c>
      <c r="G122" s="36" t="s">
        <v>8972</v>
      </c>
      <c r="H122" s="36" t="s">
        <v>571</v>
      </c>
      <c r="I122" s="36" t="s">
        <v>8442</v>
      </c>
      <c r="J122" s="38" t="s">
        <v>8973</v>
      </c>
    </row>
    <row r="123" ht="26.25" customHeight="1">
      <c r="A123" s="12" t="s">
        <v>1100</v>
      </c>
      <c r="B123" s="17">
        <v>2024.0</v>
      </c>
      <c r="C123" s="17" t="s">
        <v>16</v>
      </c>
      <c r="D123" s="17">
        <v>12427.0</v>
      </c>
      <c r="E123" s="36" t="s">
        <v>8974</v>
      </c>
      <c r="F123" s="48" t="s">
        <v>8975</v>
      </c>
      <c r="G123" s="47"/>
      <c r="H123" s="36" t="s">
        <v>8976</v>
      </c>
      <c r="I123" s="36" t="s">
        <v>8442</v>
      </c>
      <c r="J123" s="38" t="s">
        <v>8977</v>
      </c>
    </row>
    <row r="124" ht="26.25" customHeight="1">
      <c r="A124" s="12" t="s">
        <v>1106</v>
      </c>
      <c r="B124" s="17">
        <v>2024.0</v>
      </c>
      <c r="C124" s="17" t="s">
        <v>16</v>
      </c>
      <c r="D124" s="17">
        <v>4181.0</v>
      </c>
      <c r="E124" s="36" t="s">
        <v>667</v>
      </c>
      <c r="F124" s="48" t="s">
        <v>8978</v>
      </c>
      <c r="G124" s="47"/>
      <c r="H124" s="36" t="s">
        <v>8979</v>
      </c>
      <c r="I124" s="36" t="s">
        <v>8526</v>
      </c>
      <c r="J124" s="38" t="s">
        <v>8980</v>
      </c>
    </row>
    <row r="125" ht="26.25" customHeight="1">
      <c r="A125" s="12" t="s">
        <v>1112</v>
      </c>
      <c r="B125" s="17">
        <v>2024.0</v>
      </c>
      <c r="C125" s="17" t="s">
        <v>16</v>
      </c>
      <c r="D125" s="17">
        <v>12422.0</v>
      </c>
      <c r="E125" s="36" t="s">
        <v>8981</v>
      </c>
      <c r="F125" s="48" t="s">
        <v>8982</v>
      </c>
      <c r="G125" s="36" t="s">
        <v>8983</v>
      </c>
      <c r="H125" s="36" t="s">
        <v>8984</v>
      </c>
      <c r="I125" s="36" t="s">
        <v>8532</v>
      </c>
      <c r="J125" s="38" t="s">
        <v>8985</v>
      </c>
    </row>
    <row r="126" ht="26.25" customHeight="1">
      <c r="A126" s="12" t="s">
        <v>1118</v>
      </c>
      <c r="B126" s="17">
        <v>2024.0</v>
      </c>
      <c r="C126" s="17" t="s">
        <v>17</v>
      </c>
      <c r="D126" s="17">
        <v>12511.0</v>
      </c>
      <c r="E126" s="36" t="s">
        <v>8986</v>
      </c>
      <c r="F126" s="48" t="s">
        <v>8987</v>
      </c>
      <c r="G126" s="47"/>
      <c r="H126" s="36" t="s">
        <v>163</v>
      </c>
      <c r="I126" s="36" t="s">
        <v>8573</v>
      </c>
      <c r="J126" s="38" t="s">
        <v>8988</v>
      </c>
    </row>
    <row r="127" ht="26.25" customHeight="1">
      <c r="A127" s="12" t="s">
        <v>1124</v>
      </c>
      <c r="B127" s="17">
        <v>2024.0</v>
      </c>
      <c r="C127" s="17" t="s">
        <v>17</v>
      </c>
      <c r="D127" s="17">
        <v>12530.0</v>
      </c>
      <c r="E127" s="36" t="s">
        <v>8989</v>
      </c>
      <c r="F127" s="48" t="s">
        <v>8990</v>
      </c>
      <c r="G127" s="36" t="s">
        <v>8991</v>
      </c>
      <c r="H127" s="36" t="s">
        <v>8992</v>
      </c>
      <c r="I127" s="36" t="s">
        <v>8993</v>
      </c>
      <c r="J127" s="38" t="s">
        <v>8994</v>
      </c>
    </row>
    <row r="128" ht="26.25" customHeight="1">
      <c r="A128" s="12" t="s">
        <v>1129</v>
      </c>
      <c r="B128" s="17">
        <v>2024.0</v>
      </c>
      <c r="C128" s="17" t="s">
        <v>17</v>
      </c>
      <c r="D128" s="15">
        <v>12638.0</v>
      </c>
      <c r="E128" s="49" t="s">
        <v>8995</v>
      </c>
      <c r="F128" s="50" t="s">
        <v>8996</v>
      </c>
      <c r="G128" s="36" t="s">
        <v>8997</v>
      </c>
      <c r="H128" s="49" t="s">
        <v>8998</v>
      </c>
      <c r="I128" s="49" t="s">
        <v>8579</v>
      </c>
      <c r="J128" s="38" t="s">
        <v>8999</v>
      </c>
    </row>
    <row r="129" ht="26.25" customHeight="1">
      <c r="A129" s="12" t="s">
        <v>1135</v>
      </c>
      <c r="B129" s="17">
        <v>2024.0</v>
      </c>
      <c r="C129" s="17" t="s">
        <v>18</v>
      </c>
      <c r="D129" s="15">
        <v>4181.0</v>
      </c>
      <c r="E129" s="77" t="s">
        <v>667</v>
      </c>
      <c r="F129" s="50" t="s">
        <v>8978</v>
      </c>
      <c r="G129" s="36"/>
      <c r="H129" s="49" t="s">
        <v>9000</v>
      </c>
      <c r="I129" s="49" t="s">
        <v>8526</v>
      </c>
      <c r="J129" s="38" t="s">
        <v>9001</v>
      </c>
    </row>
    <row r="130" ht="26.25" customHeight="1">
      <c r="A130" s="12" t="s">
        <v>1141</v>
      </c>
      <c r="B130" s="17">
        <v>2024.0</v>
      </c>
      <c r="C130" s="17" t="s">
        <v>18</v>
      </c>
      <c r="D130" s="42">
        <v>13058.0</v>
      </c>
      <c r="E130" s="38" t="s">
        <v>9002</v>
      </c>
      <c r="F130" s="43" t="s">
        <v>9003</v>
      </c>
      <c r="G130" s="169"/>
      <c r="H130" s="38" t="s">
        <v>9004</v>
      </c>
      <c r="I130" s="49" t="s">
        <v>8526</v>
      </c>
      <c r="J130" s="38" t="s">
        <v>9005</v>
      </c>
    </row>
    <row r="131" ht="26.25" customHeight="1">
      <c r="A131" s="12" t="s">
        <v>1147</v>
      </c>
      <c r="B131" s="17">
        <v>2024.0</v>
      </c>
      <c r="C131" s="17" t="s">
        <v>19</v>
      </c>
      <c r="D131" s="15">
        <v>13292.0</v>
      </c>
      <c r="E131" s="49" t="s">
        <v>9006</v>
      </c>
      <c r="F131" s="50" t="s">
        <v>9007</v>
      </c>
      <c r="G131" s="169" t="s">
        <v>9008</v>
      </c>
      <c r="H131" s="49" t="s">
        <v>9009</v>
      </c>
      <c r="I131" s="49" t="s">
        <v>8454</v>
      </c>
      <c r="J131" s="38" t="s">
        <v>9010</v>
      </c>
    </row>
    <row r="132" ht="26.25" customHeight="1">
      <c r="A132" s="12" t="s">
        <v>1153</v>
      </c>
      <c r="B132" s="17">
        <v>2024.0</v>
      </c>
      <c r="C132" s="17" t="s">
        <v>19</v>
      </c>
      <c r="D132" s="15">
        <v>13254.0</v>
      </c>
      <c r="E132" s="49" t="s">
        <v>9011</v>
      </c>
      <c r="F132" s="50" t="s">
        <v>9012</v>
      </c>
      <c r="G132" s="169" t="s">
        <v>9013</v>
      </c>
      <c r="H132" s="49" t="s">
        <v>9014</v>
      </c>
      <c r="I132" s="49" t="s">
        <v>8454</v>
      </c>
      <c r="J132" s="38" t="s">
        <v>9015</v>
      </c>
    </row>
    <row r="133" ht="26.25" customHeight="1">
      <c r="A133" s="12" t="s">
        <v>1156</v>
      </c>
      <c r="B133" s="17">
        <v>2024.0</v>
      </c>
      <c r="C133" s="17" t="s">
        <v>20</v>
      </c>
      <c r="D133" s="15">
        <v>9603.0</v>
      </c>
      <c r="E133" s="49" t="s">
        <v>9016</v>
      </c>
      <c r="F133" s="50" t="s">
        <v>8725</v>
      </c>
      <c r="G133" s="169" t="s">
        <v>8726</v>
      </c>
      <c r="H133" s="49" t="s">
        <v>9017</v>
      </c>
      <c r="I133" s="49" t="s">
        <v>8454</v>
      </c>
      <c r="J133" s="38" t="s">
        <v>8728</v>
      </c>
    </row>
    <row r="134" ht="26.25" customHeight="1">
      <c r="A134" s="12" t="s">
        <v>1163</v>
      </c>
      <c r="B134" s="17">
        <v>2024.0</v>
      </c>
      <c r="C134" s="17" t="s">
        <v>21</v>
      </c>
      <c r="D134" s="15">
        <v>13654.0</v>
      </c>
      <c r="E134" s="49" t="s">
        <v>9018</v>
      </c>
      <c r="F134" s="50" t="s">
        <v>9019</v>
      </c>
      <c r="G134" s="49" t="s">
        <v>9020</v>
      </c>
      <c r="H134" s="49" t="s">
        <v>9021</v>
      </c>
      <c r="I134" s="49" t="s">
        <v>8442</v>
      </c>
      <c r="J134" s="39" t="s">
        <v>9022</v>
      </c>
    </row>
    <row r="135" ht="26.25" customHeight="1">
      <c r="A135" s="12" t="s">
        <v>1169</v>
      </c>
      <c r="B135" s="17">
        <v>2024.0</v>
      </c>
      <c r="C135" s="17" t="s">
        <v>21</v>
      </c>
      <c r="D135" s="15">
        <v>13849.0</v>
      </c>
      <c r="E135" s="49" t="s">
        <v>9023</v>
      </c>
      <c r="F135" s="50" t="s">
        <v>9024</v>
      </c>
      <c r="G135" s="49" t="s">
        <v>9025</v>
      </c>
      <c r="H135" s="49" t="s">
        <v>9026</v>
      </c>
      <c r="I135" s="49" t="s">
        <v>9027</v>
      </c>
      <c r="J135" s="39" t="s">
        <v>9028</v>
      </c>
    </row>
    <row r="136" ht="26.25" customHeight="1">
      <c r="A136" s="12" t="s">
        <v>1174</v>
      </c>
      <c r="B136" s="17">
        <v>2024.0</v>
      </c>
      <c r="C136" s="17" t="s">
        <v>21</v>
      </c>
      <c r="D136" s="15">
        <v>12511.0</v>
      </c>
      <c r="E136" s="49" t="s">
        <v>9029</v>
      </c>
      <c r="F136" s="50" t="s">
        <v>8987</v>
      </c>
      <c r="G136" s="49"/>
      <c r="H136" s="49" t="s">
        <v>9030</v>
      </c>
      <c r="I136" s="49" t="s">
        <v>8573</v>
      </c>
      <c r="J136" s="39" t="s">
        <v>9031</v>
      </c>
    </row>
    <row r="137" ht="26.25" customHeight="1">
      <c r="A137" s="12" t="s">
        <v>1180</v>
      </c>
      <c r="B137" s="17">
        <v>2024.0</v>
      </c>
      <c r="C137" s="17" t="s">
        <v>21</v>
      </c>
      <c r="D137" s="15">
        <v>13883.0</v>
      </c>
      <c r="E137" s="49" t="s">
        <v>9032</v>
      </c>
      <c r="F137" s="50" t="s">
        <v>9033</v>
      </c>
      <c r="G137" s="49" t="s">
        <v>9034</v>
      </c>
      <c r="H137" s="49" t="s">
        <v>9035</v>
      </c>
      <c r="I137" s="49" t="s">
        <v>8442</v>
      </c>
      <c r="J137" s="39" t="s">
        <v>9036</v>
      </c>
    </row>
    <row r="138" ht="26.25" customHeight="1">
      <c r="A138" s="12" t="s">
        <v>1186</v>
      </c>
      <c r="B138" s="17">
        <v>2024.0</v>
      </c>
      <c r="C138" s="17" t="s">
        <v>22</v>
      </c>
      <c r="D138" s="15">
        <v>13951.0</v>
      </c>
      <c r="E138" s="49" t="s">
        <v>9037</v>
      </c>
      <c r="F138" s="50" t="s">
        <v>9038</v>
      </c>
      <c r="G138" s="49" t="s">
        <v>9039</v>
      </c>
      <c r="H138" s="49" t="s">
        <v>9040</v>
      </c>
      <c r="I138" s="49" t="s">
        <v>8573</v>
      </c>
      <c r="J138" s="39" t="s">
        <v>9041</v>
      </c>
    </row>
    <row r="139" ht="26.25" customHeight="1">
      <c r="A139" s="12" t="s">
        <v>1192</v>
      </c>
      <c r="B139" s="17">
        <v>2024.0</v>
      </c>
      <c r="C139" s="17" t="s">
        <v>22</v>
      </c>
      <c r="D139" s="15">
        <v>14162.0</v>
      </c>
      <c r="E139" s="49" t="s">
        <v>9042</v>
      </c>
      <c r="F139" s="50" t="s">
        <v>9043</v>
      </c>
      <c r="G139" s="49" t="s">
        <v>9044</v>
      </c>
      <c r="H139" s="49" t="s">
        <v>9045</v>
      </c>
      <c r="I139" s="49" t="s">
        <v>8454</v>
      </c>
      <c r="J139" s="39" t="s">
        <v>9046</v>
      </c>
    </row>
    <row r="140" ht="26.25" customHeight="1">
      <c r="A140" s="12" t="s">
        <v>1198</v>
      </c>
      <c r="B140" s="17">
        <v>2024.0</v>
      </c>
      <c r="C140" s="17" t="s">
        <v>22</v>
      </c>
      <c r="D140" s="15">
        <v>13849.0</v>
      </c>
      <c r="E140" s="49" t="s">
        <v>9023</v>
      </c>
      <c r="F140" s="50" t="s">
        <v>9024</v>
      </c>
      <c r="G140" s="49" t="s">
        <v>9025</v>
      </c>
      <c r="H140" s="49" t="s">
        <v>9047</v>
      </c>
      <c r="I140" s="49" t="s">
        <v>9027</v>
      </c>
      <c r="J140" s="39" t="s">
        <v>9028</v>
      </c>
    </row>
    <row r="141" ht="26.25" customHeight="1">
      <c r="A141" s="12" t="s">
        <v>1204</v>
      </c>
      <c r="B141" s="17">
        <v>2024.0</v>
      </c>
      <c r="C141" s="17" t="s">
        <v>22</v>
      </c>
      <c r="D141" s="15">
        <v>13996.0</v>
      </c>
      <c r="E141" s="49" t="s">
        <v>9048</v>
      </c>
      <c r="F141" s="50" t="s">
        <v>9049</v>
      </c>
      <c r="G141" s="49" t="s">
        <v>9050</v>
      </c>
      <c r="H141" s="49" t="s">
        <v>9051</v>
      </c>
      <c r="I141" s="49" t="s">
        <v>8442</v>
      </c>
      <c r="J141" s="39" t="s">
        <v>9052</v>
      </c>
    </row>
    <row r="142" ht="26.25" customHeight="1">
      <c r="A142" s="12" t="s">
        <v>1210</v>
      </c>
      <c r="B142" s="17">
        <v>2024.0</v>
      </c>
      <c r="C142" s="17" t="s">
        <v>22</v>
      </c>
      <c r="D142" s="15">
        <v>13985.0</v>
      </c>
      <c r="E142" s="49" t="s">
        <v>9053</v>
      </c>
      <c r="F142" s="50" t="s">
        <v>9054</v>
      </c>
      <c r="G142" s="49"/>
      <c r="H142" s="49" t="s">
        <v>9055</v>
      </c>
      <c r="I142" s="49" t="s">
        <v>8573</v>
      </c>
      <c r="J142" s="39" t="s">
        <v>9056</v>
      </c>
    </row>
    <row r="143" ht="26.25" customHeight="1">
      <c r="A143" s="12" t="s">
        <v>1213</v>
      </c>
      <c r="B143" s="17">
        <v>2024.0</v>
      </c>
      <c r="C143" s="17" t="s">
        <v>22</v>
      </c>
      <c r="D143" s="15">
        <v>14131.0</v>
      </c>
      <c r="E143" s="49" t="s">
        <v>9057</v>
      </c>
      <c r="F143" s="50" t="s">
        <v>9058</v>
      </c>
      <c r="G143" s="49" t="s">
        <v>9059</v>
      </c>
      <c r="H143" s="61" t="s">
        <v>9060</v>
      </c>
      <c r="I143" s="49" t="s">
        <v>8579</v>
      </c>
      <c r="J143" s="39" t="s">
        <v>9061</v>
      </c>
    </row>
    <row r="144" ht="26.25" customHeight="1">
      <c r="A144" s="12" t="s">
        <v>1219</v>
      </c>
      <c r="B144" s="17">
        <v>2024.0</v>
      </c>
      <c r="C144" s="17" t="s">
        <v>22</v>
      </c>
      <c r="D144" s="17">
        <v>13944.0</v>
      </c>
      <c r="E144" s="36" t="s">
        <v>9062</v>
      </c>
      <c r="F144" s="48" t="s">
        <v>9063</v>
      </c>
      <c r="G144" s="13" t="s">
        <v>9064</v>
      </c>
      <c r="H144" s="36" t="s">
        <v>9065</v>
      </c>
      <c r="I144" s="49" t="s">
        <v>8960</v>
      </c>
      <c r="J144" s="39" t="s">
        <v>9066</v>
      </c>
    </row>
    <row r="145" ht="26.25" customHeight="1">
      <c r="A145" s="12" t="s">
        <v>1225</v>
      </c>
      <c r="B145" s="17">
        <v>2025.0</v>
      </c>
      <c r="C145" s="17" t="s">
        <v>11</v>
      </c>
      <c r="D145" s="17">
        <v>14232.0</v>
      </c>
      <c r="E145" s="36" t="s">
        <v>9067</v>
      </c>
      <c r="F145" s="48" t="s">
        <v>9068</v>
      </c>
      <c r="G145" s="13" t="s">
        <v>9069</v>
      </c>
      <c r="H145" s="36" t="s">
        <v>9070</v>
      </c>
      <c r="I145" s="49" t="s">
        <v>8454</v>
      </c>
      <c r="J145" s="39" t="s">
        <v>9071</v>
      </c>
    </row>
    <row r="146" ht="26.25" customHeight="1">
      <c r="A146" s="12" t="s">
        <v>1231</v>
      </c>
      <c r="B146" s="17">
        <v>2025.0</v>
      </c>
      <c r="C146" s="17" t="s">
        <v>11</v>
      </c>
      <c r="D146" s="17">
        <v>14299.0</v>
      </c>
      <c r="E146" s="36" t="s">
        <v>9072</v>
      </c>
      <c r="F146" s="48" t="s">
        <v>9073</v>
      </c>
      <c r="G146" s="13"/>
      <c r="H146" s="36" t="s">
        <v>9074</v>
      </c>
      <c r="I146" s="49" t="s">
        <v>8526</v>
      </c>
      <c r="J146" s="39" t="s">
        <v>9075</v>
      </c>
    </row>
    <row r="147" ht="26.25" customHeight="1">
      <c r="A147" s="12" t="s">
        <v>1235</v>
      </c>
      <c r="B147" s="17">
        <v>2025.0</v>
      </c>
      <c r="C147" s="17" t="s">
        <v>11</v>
      </c>
      <c r="D147" s="17">
        <v>14338.0</v>
      </c>
      <c r="E147" s="36" t="s">
        <v>9076</v>
      </c>
      <c r="F147" s="48" t="s">
        <v>9077</v>
      </c>
      <c r="G147" s="13" t="s">
        <v>9078</v>
      </c>
      <c r="H147" s="36" t="s">
        <v>9079</v>
      </c>
      <c r="I147" s="49" t="s">
        <v>8442</v>
      </c>
      <c r="J147" s="39" t="s">
        <v>9080</v>
      </c>
    </row>
    <row r="148" ht="26.25" customHeight="1">
      <c r="A148" s="12" t="s">
        <v>1235</v>
      </c>
      <c r="B148" s="17">
        <v>2025.0</v>
      </c>
      <c r="C148" s="17" t="s">
        <v>11</v>
      </c>
      <c r="D148" s="17">
        <v>14334.0</v>
      </c>
      <c r="E148" s="36" t="s">
        <v>9081</v>
      </c>
      <c r="F148" s="48" t="s">
        <v>9082</v>
      </c>
      <c r="G148" s="13" t="s">
        <v>2844</v>
      </c>
      <c r="H148" s="36" t="s">
        <v>9083</v>
      </c>
      <c r="I148" s="49" t="s">
        <v>8526</v>
      </c>
      <c r="J148" s="39" t="s">
        <v>2846</v>
      </c>
    </row>
    <row r="149" ht="26.25" customHeight="1">
      <c r="A149" s="12" t="s">
        <v>1241</v>
      </c>
      <c r="B149" s="17">
        <v>2025.0</v>
      </c>
      <c r="C149" s="17" t="s">
        <v>11</v>
      </c>
      <c r="D149" s="17">
        <v>14487.0</v>
      </c>
      <c r="E149" s="36" t="s">
        <v>9084</v>
      </c>
      <c r="F149" s="48" t="s">
        <v>9085</v>
      </c>
      <c r="G149" s="13" t="s">
        <v>9086</v>
      </c>
      <c r="H149" s="36" t="s">
        <v>9087</v>
      </c>
      <c r="I149" s="49" t="s">
        <v>8707</v>
      </c>
      <c r="J149" s="39" t="s">
        <v>9088</v>
      </c>
    </row>
    <row r="150" ht="26.25" customHeight="1">
      <c r="A150" s="12" t="s">
        <v>1246</v>
      </c>
      <c r="B150" s="17">
        <v>2025.0</v>
      </c>
      <c r="C150" s="17" t="s">
        <v>11</v>
      </c>
      <c r="D150" s="17">
        <v>14395.0</v>
      </c>
      <c r="E150" s="36" t="s">
        <v>9089</v>
      </c>
      <c r="F150" s="48" t="s">
        <v>9090</v>
      </c>
      <c r="G150" s="13"/>
      <c r="H150" s="36" t="s">
        <v>9091</v>
      </c>
      <c r="I150" s="49" t="s">
        <v>8717</v>
      </c>
      <c r="J150" s="39" t="s">
        <v>9092</v>
      </c>
    </row>
    <row r="151" ht="26.25" customHeight="1">
      <c r="A151" s="12" t="s">
        <v>1252</v>
      </c>
      <c r="B151" s="17">
        <v>2025.0</v>
      </c>
      <c r="C151" s="17" t="s">
        <v>12</v>
      </c>
      <c r="D151" s="17">
        <v>14457.0</v>
      </c>
      <c r="E151" s="36" t="s">
        <v>9093</v>
      </c>
      <c r="F151" s="48" t="s">
        <v>9094</v>
      </c>
      <c r="G151" s="13" t="s">
        <v>9095</v>
      </c>
      <c r="H151" s="36" t="s">
        <v>9096</v>
      </c>
      <c r="I151" s="49" t="s">
        <v>8442</v>
      </c>
      <c r="J151" s="39" t="s">
        <v>9097</v>
      </c>
    </row>
    <row r="152" ht="26.25" customHeight="1">
      <c r="A152" s="12" t="s">
        <v>1999</v>
      </c>
      <c r="B152" s="17">
        <v>2025.0</v>
      </c>
      <c r="C152" s="17" t="s">
        <v>12</v>
      </c>
      <c r="D152" s="17">
        <v>14589.0</v>
      </c>
      <c r="E152" s="36" t="s">
        <v>9098</v>
      </c>
      <c r="F152" s="48" t="s">
        <v>9099</v>
      </c>
      <c r="G152" s="13" t="s">
        <v>9100</v>
      </c>
      <c r="H152" s="36" t="s">
        <v>9101</v>
      </c>
      <c r="I152" s="49" t="s">
        <v>8454</v>
      </c>
      <c r="J152" s="39" t="s">
        <v>9102</v>
      </c>
    </row>
    <row r="153" ht="26.25" customHeight="1">
      <c r="A153" s="12" t="s">
        <v>2002</v>
      </c>
      <c r="B153" s="17">
        <v>2025.0</v>
      </c>
      <c r="C153" s="17" t="s">
        <v>12</v>
      </c>
      <c r="D153" s="17">
        <v>14482.0</v>
      </c>
      <c r="E153" s="36" t="s">
        <v>9103</v>
      </c>
      <c r="F153" s="48" t="s">
        <v>9104</v>
      </c>
      <c r="G153" s="13" t="s">
        <v>9105</v>
      </c>
      <c r="H153" s="36" t="s">
        <v>9106</v>
      </c>
      <c r="I153" s="49" t="s">
        <v>8442</v>
      </c>
      <c r="J153" s="39" t="s">
        <v>9107</v>
      </c>
    </row>
    <row r="154" ht="26.25" customHeight="1">
      <c r="A154" s="12" t="s">
        <v>2008</v>
      </c>
      <c r="B154" s="17">
        <v>2025.0</v>
      </c>
      <c r="C154" s="17" t="s">
        <v>12</v>
      </c>
      <c r="D154" s="17">
        <v>14660.0</v>
      </c>
      <c r="E154" s="36" t="s">
        <v>9108</v>
      </c>
      <c r="F154" s="48" t="s">
        <v>9109</v>
      </c>
      <c r="G154" s="13"/>
      <c r="H154" s="36" t="s">
        <v>9110</v>
      </c>
      <c r="I154" s="49" t="s">
        <v>8454</v>
      </c>
      <c r="J154" s="39" t="s">
        <v>9111</v>
      </c>
    </row>
    <row r="155" ht="26.25" customHeight="1">
      <c r="A155" s="12" t="s">
        <v>2010</v>
      </c>
      <c r="B155" s="17">
        <v>2025.0</v>
      </c>
      <c r="C155" s="17" t="s">
        <v>12</v>
      </c>
      <c r="D155" s="17">
        <v>14564.0</v>
      </c>
      <c r="E155" s="36" t="s">
        <v>9112</v>
      </c>
      <c r="F155" s="48" t="s">
        <v>9113</v>
      </c>
      <c r="G155" s="13"/>
      <c r="H155" s="36" t="s">
        <v>9114</v>
      </c>
      <c r="I155" s="49" t="s">
        <v>8442</v>
      </c>
      <c r="J155" s="39" t="s">
        <v>9115</v>
      </c>
    </row>
    <row r="156" ht="26.25" customHeight="1">
      <c r="A156" s="12" t="s">
        <v>2016</v>
      </c>
      <c r="B156" s="17">
        <v>2025.0</v>
      </c>
      <c r="C156" s="17" t="s">
        <v>13</v>
      </c>
      <c r="D156" s="15">
        <v>14751.0</v>
      </c>
      <c r="E156" s="49" t="s">
        <v>9116</v>
      </c>
      <c r="F156" s="48" t="s">
        <v>9117</v>
      </c>
      <c r="G156" s="13" t="s">
        <v>9118</v>
      </c>
      <c r="H156" s="36" t="s">
        <v>9119</v>
      </c>
      <c r="I156" s="49" t="s">
        <v>8960</v>
      </c>
      <c r="J156" s="39" t="s">
        <v>9120</v>
      </c>
    </row>
    <row r="157" ht="26.25" customHeight="1">
      <c r="A157" s="12" t="s">
        <v>2018</v>
      </c>
      <c r="B157" s="17">
        <v>2025.0</v>
      </c>
      <c r="C157" s="17" t="s">
        <v>13</v>
      </c>
      <c r="D157" s="15">
        <v>14737.0</v>
      </c>
      <c r="E157" s="49" t="s">
        <v>9121</v>
      </c>
      <c r="F157" s="48" t="s">
        <v>9122</v>
      </c>
      <c r="G157" s="13" t="s">
        <v>9123</v>
      </c>
      <c r="H157" s="36" t="s">
        <v>9124</v>
      </c>
      <c r="I157" s="49" t="s">
        <v>8442</v>
      </c>
      <c r="J157" s="39" t="s">
        <v>9125</v>
      </c>
    </row>
    <row r="158" ht="26.25" customHeight="1">
      <c r="A158" s="12" t="s">
        <v>2024</v>
      </c>
      <c r="B158" s="17">
        <v>2025.0</v>
      </c>
      <c r="C158" s="17" t="s">
        <v>13</v>
      </c>
      <c r="D158" s="15">
        <v>14896.0</v>
      </c>
      <c r="E158" s="49" t="s">
        <v>9126</v>
      </c>
      <c r="F158" s="54" t="s">
        <v>9127</v>
      </c>
      <c r="G158" s="13" t="s">
        <v>9128</v>
      </c>
      <c r="H158" s="36" t="s">
        <v>9129</v>
      </c>
      <c r="I158" s="49" t="s">
        <v>8442</v>
      </c>
      <c r="J158" s="39" t="s">
        <v>9130</v>
      </c>
    </row>
    <row r="159" ht="26.25" customHeight="1">
      <c r="A159" s="12" t="s">
        <v>2029</v>
      </c>
      <c r="B159" s="17">
        <v>2025.0</v>
      </c>
      <c r="C159" s="17" t="s">
        <v>13</v>
      </c>
      <c r="D159" s="15">
        <v>15028.0</v>
      </c>
      <c r="E159" s="49" t="s">
        <v>9131</v>
      </c>
      <c r="F159" s="54" t="s">
        <v>9132</v>
      </c>
      <c r="G159" s="13" t="s">
        <v>9133</v>
      </c>
      <c r="H159" s="36" t="s">
        <v>9134</v>
      </c>
      <c r="I159" s="49" t="s">
        <v>8442</v>
      </c>
      <c r="J159" s="39" t="s">
        <v>9135</v>
      </c>
    </row>
    <row r="160" ht="26.25" customHeight="1">
      <c r="A160" s="12" t="s">
        <v>2031</v>
      </c>
      <c r="B160" s="17">
        <v>2025.0</v>
      </c>
      <c r="C160" s="17" t="s">
        <v>13</v>
      </c>
      <c r="D160" s="15">
        <v>14887.0</v>
      </c>
      <c r="E160" s="49" t="s">
        <v>9136</v>
      </c>
      <c r="F160" s="54" t="s">
        <v>9137</v>
      </c>
      <c r="G160" s="13" t="s">
        <v>9138</v>
      </c>
      <c r="H160" s="36" t="s">
        <v>9139</v>
      </c>
      <c r="I160" s="49" t="s">
        <v>8442</v>
      </c>
      <c r="J160" s="39" t="s">
        <v>9140</v>
      </c>
    </row>
    <row r="161" ht="26.25" customHeight="1">
      <c r="A161" s="12" t="s">
        <v>2037</v>
      </c>
      <c r="B161" s="17">
        <v>2025.0</v>
      </c>
      <c r="C161" s="17" t="s">
        <v>13</v>
      </c>
      <c r="D161" s="15">
        <v>8412.0</v>
      </c>
      <c r="E161" s="49" t="s">
        <v>9141</v>
      </c>
      <c r="F161" s="54" t="s">
        <v>9142</v>
      </c>
      <c r="G161" s="13" t="s">
        <v>8643</v>
      </c>
      <c r="H161" s="36" t="s">
        <v>9143</v>
      </c>
      <c r="I161" s="49" t="s">
        <v>8442</v>
      </c>
      <c r="J161" s="39" t="s">
        <v>9144</v>
      </c>
    </row>
    <row r="162" ht="26.25" customHeight="1">
      <c r="A162" s="12" t="s">
        <v>2043</v>
      </c>
      <c r="B162" s="17">
        <v>2025.0</v>
      </c>
      <c r="C162" s="17" t="s">
        <v>14</v>
      </c>
      <c r="D162" s="15">
        <v>15205.0</v>
      </c>
      <c r="E162" s="49" t="s">
        <v>9145</v>
      </c>
      <c r="F162" s="54" t="s">
        <v>9146</v>
      </c>
      <c r="G162" s="13" t="s">
        <v>9147</v>
      </c>
      <c r="H162" s="13" t="s">
        <v>9148</v>
      </c>
      <c r="I162" s="36" t="s">
        <v>8454</v>
      </c>
      <c r="J162" s="39" t="s">
        <v>9149</v>
      </c>
    </row>
    <row r="163" ht="26.25" customHeight="1">
      <c r="A163" s="12" t="s">
        <v>2045</v>
      </c>
      <c r="B163" s="17">
        <v>2025.0</v>
      </c>
      <c r="C163" s="17" t="s">
        <v>15</v>
      </c>
      <c r="D163" s="15">
        <v>14617.0</v>
      </c>
      <c r="E163" s="49" t="s">
        <v>9150</v>
      </c>
      <c r="F163" s="54" t="s">
        <v>9151</v>
      </c>
      <c r="G163" s="13" t="s">
        <v>9152</v>
      </c>
      <c r="H163" s="49" t="s">
        <v>9153</v>
      </c>
      <c r="I163" s="49" t="s">
        <v>8526</v>
      </c>
      <c r="J163" s="39" t="s">
        <v>9154</v>
      </c>
    </row>
    <row r="164" ht="26.25" customHeight="1">
      <c r="A164" s="12" t="s">
        <v>2052</v>
      </c>
      <c r="B164" s="17">
        <v>2025.0</v>
      </c>
      <c r="C164" s="17" t="s">
        <v>15</v>
      </c>
      <c r="D164" s="15">
        <v>15422.0</v>
      </c>
      <c r="E164" s="49" t="s">
        <v>9155</v>
      </c>
      <c r="F164" s="54" t="s">
        <v>9156</v>
      </c>
      <c r="G164" s="13" t="s">
        <v>9157</v>
      </c>
      <c r="H164" s="49" t="s">
        <v>9158</v>
      </c>
      <c r="I164" s="49" t="s">
        <v>8442</v>
      </c>
      <c r="J164" s="39" t="s">
        <v>9159</v>
      </c>
    </row>
    <row r="165" ht="26.25" customHeight="1">
      <c r="A165" s="12" t="s">
        <v>2057</v>
      </c>
      <c r="B165" s="17">
        <v>2025.0</v>
      </c>
      <c r="C165" s="17" t="s">
        <v>15</v>
      </c>
      <c r="D165" s="15">
        <v>15457.0</v>
      </c>
      <c r="E165" s="49" t="s">
        <v>9160</v>
      </c>
      <c r="F165" s="54" t="s">
        <v>9161</v>
      </c>
      <c r="G165" s="13" t="s">
        <v>9162</v>
      </c>
      <c r="H165" s="49" t="s">
        <v>9163</v>
      </c>
      <c r="I165" s="49" t="s">
        <v>8454</v>
      </c>
      <c r="J165" s="39" t="s">
        <v>9164</v>
      </c>
    </row>
    <row r="166" ht="26.25" customHeight="1">
      <c r="A166" s="12" t="s">
        <v>2063</v>
      </c>
      <c r="B166" s="17">
        <v>2025.0</v>
      </c>
      <c r="C166" s="17" t="s">
        <v>15</v>
      </c>
      <c r="D166" s="15">
        <v>8461.0</v>
      </c>
      <c r="E166" s="49" t="s">
        <v>9165</v>
      </c>
      <c r="F166" s="54" t="s">
        <v>9166</v>
      </c>
      <c r="G166" s="13"/>
      <c r="H166" s="49" t="s">
        <v>9167</v>
      </c>
      <c r="I166" s="49" t="s">
        <v>8442</v>
      </c>
      <c r="J166" s="39" t="s">
        <v>9168</v>
      </c>
    </row>
    <row r="167" ht="26.25" customHeight="1">
      <c r="A167" s="12" t="s">
        <v>2065</v>
      </c>
      <c r="B167" s="17">
        <v>2025.0</v>
      </c>
      <c r="C167" s="17" t="s">
        <v>15</v>
      </c>
      <c r="D167" s="15">
        <v>10697.0</v>
      </c>
      <c r="E167" s="49" t="s">
        <v>8808</v>
      </c>
      <c r="F167" s="54" t="s">
        <v>8809</v>
      </c>
      <c r="G167" s="13" t="s">
        <v>8810</v>
      </c>
      <c r="H167" s="49" t="s">
        <v>9169</v>
      </c>
      <c r="I167" s="49" t="s">
        <v>8442</v>
      </c>
      <c r="J167" s="39" t="s">
        <v>9170</v>
      </c>
    </row>
    <row r="168" ht="26.25" customHeight="1">
      <c r="A168" s="12" t="s">
        <v>2071</v>
      </c>
      <c r="B168" s="17">
        <v>2025.0</v>
      </c>
      <c r="C168" s="17" t="s">
        <v>15</v>
      </c>
      <c r="D168" s="15">
        <v>12511.0</v>
      </c>
      <c r="E168" s="49" t="s">
        <v>9029</v>
      </c>
      <c r="F168" s="54" t="s">
        <v>8987</v>
      </c>
      <c r="G168" s="13"/>
      <c r="H168" s="49" t="s">
        <v>9171</v>
      </c>
      <c r="I168" s="49" t="s">
        <v>8573</v>
      </c>
      <c r="J168" s="39" t="s">
        <v>9172</v>
      </c>
    </row>
    <row r="169" ht="26.25" customHeight="1">
      <c r="A169" s="12" t="s">
        <v>2077</v>
      </c>
      <c r="B169" s="17">
        <v>2025.0</v>
      </c>
      <c r="C169" s="17" t="s">
        <v>16</v>
      </c>
      <c r="D169" s="15">
        <v>15674.0</v>
      </c>
      <c r="E169" s="49" t="s">
        <v>9173</v>
      </c>
      <c r="F169" s="54" t="s">
        <v>9174</v>
      </c>
      <c r="G169" s="13" t="s">
        <v>9175</v>
      </c>
      <c r="H169" s="49" t="s">
        <v>9176</v>
      </c>
      <c r="I169" s="49" t="s">
        <v>8442</v>
      </c>
      <c r="J169" s="39" t="s">
        <v>9177</v>
      </c>
    </row>
    <row r="170" ht="26.25" customHeight="1">
      <c r="A170" s="12" t="s">
        <v>2083</v>
      </c>
      <c r="B170" s="17">
        <v>2025.0</v>
      </c>
      <c r="C170" s="17" t="s">
        <v>16</v>
      </c>
      <c r="D170" s="15">
        <v>15526.0</v>
      </c>
      <c r="E170" s="49" t="s">
        <v>9178</v>
      </c>
      <c r="F170" s="54" t="s">
        <v>9179</v>
      </c>
      <c r="G170" s="13" t="s">
        <v>9180</v>
      </c>
      <c r="H170" s="49" t="s">
        <v>9181</v>
      </c>
      <c r="I170" s="49" t="s">
        <v>9182</v>
      </c>
      <c r="J170" s="39" t="s">
        <v>9183</v>
      </c>
    </row>
    <row r="171" ht="26.25" customHeight="1">
      <c r="A171" s="12" t="s">
        <v>2088</v>
      </c>
      <c r="B171" s="17">
        <v>2025.0</v>
      </c>
      <c r="C171" s="17" t="s">
        <v>16</v>
      </c>
      <c r="D171" s="15">
        <v>15738.0</v>
      </c>
      <c r="E171" s="93" t="s">
        <v>9184</v>
      </c>
      <c r="F171" s="54" t="s">
        <v>9185</v>
      </c>
      <c r="G171" s="13" t="s">
        <v>9186</v>
      </c>
      <c r="H171" s="49" t="s">
        <v>9187</v>
      </c>
      <c r="I171" s="49" t="s">
        <v>8454</v>
      </c>
      <c r="J171" s="39" t="s">
        <v>9188</v>
      </c>
    </row>
    <row r="172" ht="26.25" customHeight="1">
      <c r="A172" s="12" t="s">
        <v>2094</v>
      </c>
      <c r="B172" s="17">
        <v>2025.0</v>
      </c>
      <c r="C172" s="17" t="s">
        <v>16</v>
      </c>
      <c r="D172" s="170">
        <v>15574.0</v>
      </c>
      <c r="E172" s="94" t="s">
        <v>9189</v>
      </c>
      <c r="F172" s="54" t="s">
        <v>9190</v>
      </c>
      <c r="G172" s="13" t="s">
        <v>9191</v>
      </c>
      <c r="H172" s="94" t="s">
        <v>9192</v>
      </c>
      <c r="I172" s="49" t="s">
        <v>8442</v>
      </c>
      <c r="J172" s="39" t="s">
        <v>9193</v>
      </c>
    </row>
    <row r="173" ht="26.25" customHeight="1">
      <c r="A173" s="12" t="s">
        <v>2099</v>
      </c>
      <c r="B173" s="17">
        <v>2025.0</v>
      </c>
      <c r="C173" s="17" t="s">
        <v>17</v>
      </c>
      <c r="D173" s="15">
        <v>15758.0</v>
      </c>
      <c r="E173" s="49" t="s">
        <v>9194</v>
      </c>
      <c r="F173" s="54" t="s">
        <v>9195</v>
      </c>
      <c r="G173" s="13" t="s">
        <v>9196</v>
      </c>
      <c r="H173" s="49" t="s">
        <v>9197</v>
      </c>
      <c r="I173" s="49" t="s">
        <v>8442</v>
      </c>
      <c r="J173" s="39" t="s">
        <v>9198</v>
      </c>
    </row>
    <row r="174" ht="26.25" customHeight="1">
      <c r="A174" s="12" t="s">
        <v>2101</v>
      </c>
      <c r="B174" s="17">
        <v>2025.0</v>
      </c>
      <c r="C174" s="17" t="s">
        <v>17</v>
      </c>
      <c r="D174" s="15">
        <v>15774.0</v>
      </c>
      <c r="E174" s="49" t="s">
        <v>9199</v>
      </c>
      <c r="F174" s="54" t="s">
        <v>9200</v>
      </c>
      <c r="G174" s="13" t="s">
        <v>9201</v>
      </c>
      <c r="H174" s="49" t="s">
        <v>9202</v>
      </c>
      <c r="I174" s="49" t="s">
        <v>8717</v>
      </c>
      <c r="J174" s="39" t="s">
        <v>9203</v>
      </c>
    </row>
    <row r="175" ht="26.25" customHeight="1">
      <c r="A175" s="12" t="s">
        <v>2107</v>
      </c>
      <c r="B175" s="17">
        <v>2025.0</v>
      </c>
      <c r="C175" s="17" t="s">
        <v>17</v>
      </c>
      <c r="D175" s="15">
        <v>9709.0</v>
      </c>
      <c r="E175" s="49" t="s">
        <v>8747</v>
      </c>
      <c r="F175" s="54" t="s">
        <v>9204</v>
      </c>
      <c r="G175" s="13" t="s">
        <v>8749</v>
      </c>
      <c r="H175" s="49" t="s">
        <v>9205</v>
      </c>
      <c r="I175" s="49" t="s">
        <v>8454</v>
      </c>
      <c r="J175" s="39" t="s">
        <v>9206</v>
      </c>
    </row>
    <row r="176" ht="26.25" customHeight="1">
      <c r="A176" s="12" t="s">
        <v>2109</v>
      </c>
      <c r="B176" s="17">
        <v>2025.0</v>
      </c>
      <c r="C176" s="17" t="s">
        <v>17</v>
      </c>
      <c r="D176" s="15">
        <v>15902.0</v>
      </c>
      <c r="E176" s="49" t="s">
        <v>9207</v>
      </c>
      <c r="F176" s="54" t="s">
        <v>9208</v>
      </c>
      <c r="G176" s="13"/>
      <c r="H176" s="49" t="s">
        <v>9209</v>
      </c>
      <c r="I176" s="49" t="s">
        <v>8442</v>
      </c>
      <c r="J176" s="39" t="s">
        <v>9210</v>
      </c>
    </row>
    <row r="177" ht="26.25" customHeight="1">
      <c r="A177" s="12" t="s">
        <v>2115</v>
      </c>
      <c r="B177" s="17">
        <v>2025.0</v>
      </c>
      <c r="C177" s="17" t="s">
        <v>18</v>
      </c>
      <c r="D177" s="15">
        <v>16070.0</v>
      </c>
      <c r="E177" s="49" t="s">
        <v>9211</v>
      </c>
      <c r="F177" s="54" t="s">
        <v>9212</v>
      </c>
      <c r="G177" s="13" t="s">
        <v>9213</v>
      </c>
      <c r="H177" s="49" t="s">
        <v>9214</v>
      </c>
      <c r="I177" s="49" t="s">
        <v>8442</v>
      </c>
      <c r="J177" s="39" t="s">
        <v>9215</v>
      </c>
    </row>
    <row r="178" ht="26.25" customHeight="1">
      <c r="A178" s="12" t="s">
        <v>2117</v>
      </c>
      <c r="B178" s="17">
        <v>2025.0</v>
      </c>
      <c r="C178" s="17" t="s">
        <v>18</v>
      </c>
      <c r="D178" s="15">
        <v>15945.0</v>
      </c>
      <c r="E178" s="49" t="s">
        <v>9216</v>
      </c>
      <c r="F178" s="54" t="s">
        <v>9217</v>
      </c>
      <c r="G178" s="13" t="s">
        <v>9218</v>
      </c>
      <c r="H178" s="49" t="s">
        <v>9219</v>
      </c>
      <c r="I178" s="49" t="s">
        <v>8442</v>
      </c>
      <c r="J178" s="39" t="s">
        <v>9220</v>
      </c>
    </row>
    <row r="179" ht="26.25" customHeight="1">
      <c r="A179" s="12" t="s">
        <v>2123</v>
      </c>
      <c r="B179" s="17">
        <v>2025.0</v>
      </c>
      <c r="C179" s="17" t="s">
        <v>18</v>
      </c>
      <c r="D179" s="15">
        <v>14338.0</v>
      </c>
      <c r="E179" s="49" t="s">
        <v>9221</v>
      </c>
      <c r="F179" s="54" t="s">
        <v>9077</v>
      </c>
      <c r="G179" s="13" t="s">
        <v>9078</v>
      </c>
      <c r="H179" s="49" t="s">
        <v>9222</v>
      </c>
      <c r="I179" s="49" t="s">
        <v>8442</v>
      </c>
      <c r="J179" s="39" t="s">
        <v>9223</v>
      </c>
    </row>
    <row r="180" ht="26.25" customHeight="1">
      <c r="A180" s="12" t="s">
        <v>2129</v>
      </c>
      <c r="B180" s="17">
        <v>2025.0</v>
      </c>
      <c r="C180" s="17" t="s">
        <v>18</v>
      </c>
      <c r="D180" s="15">
        <v>16012.0</v>
      </c>
      <c r="E180" s="49" t="s">
        <v>9224</v>
      </c>
      <c r="F180" s="54" t="s">
        <v>9225</v>
      </c>
      <c r="G180" s="13"/>
      <c r="H180" s="49" t="s">
        <v>7054</v>
      </c>
      <c r="I180" s="49" t="s">
        <v>8442</v>
      </c>
      <c r="J180" s="39" t="s">
        <v>9226</v>
      </c>
    </row>
    <row r="181" ht="26.25" customHeight="1">
      <c r="A181" s="12" t="s">
        <v>2135</v>
      </c>
      <c r="B181" s="17">
        <v>2025.0</v>
      </c>
      <c r="C181" s="17" t="s">
        <v>18</v>
      </c>
      <c r="D181" s="15">
        <v>16141.0</v>
      </c>
      <c r="E181" s="49" t="s">
        <v>9227</v>
      </c>
      <c r="F181" s="54" t="s">
        <v>9228</v>
      </c>
      <c r="G181" s="13"/>
      <c r="H181" s="49" t="s">
        <v>9229</v>
      </c>
      <c r="I181" s="49" t="s">
        <v>8442</v>
      </c>
      <c r="J181" s="39" t="s">
        <v>9230</v>
      </c>
    </row>
    <row r="182" ht="26.25" customHeight="1">
      <c r="A182" s="12" t="s">
        <v>2138</v>
      </c>
      <c r="B182" s="17">
        <v>2025.0</v>
      </c>
      <c r="C182" s="17" t="s">
        <v>19</v>
      </c>
      <c r="D182" s="15">
        <v>15870.0</v>
      </c>
      <c r="E182" s="49" t="s">
        <v>9231</v>
      </c>
      <c r="F182" s="54" t="s">
        <v>9232</v>
      </c>
      <c r="G182" s="13" t="s">
        <v>9233</v>
      </c>
      <c r="H182" s="49" t="s">
        <v>9234</v>
      </c>
      <c r="I182" s="49" t="s">
        <v>8442</v>
      </c>
      <c r="J182" s="39" t="s">
        <v>9235</v>
      </c>
    </row>
    <row r="183" ht="26.25" customHeight="1">
      <c r="A183" s="12" t="s">
        <v>2142</v>
      </c>
      <c r="B183" s="17">
        <v>2025.0</v>
      </c>
      <c r="C183" s="17" t="s">
        <v>19</v>
      </c>
      <c r="D183" s="15">
        <v>16331.0</v>
      </c>
      <c r="E183" s="49" t="s">
        <v>9236</v>
      </c>
      <c r="F183" s="54" t="s">
        <v>9237</v>
      </c>
      <c r="G183" s="13" t="s">
        <v>9238</v>
      </c>
      <c r="H183" s="78" t="s">
        <v>9239</v>
      </c>
      <c r="I183" s="55" t="s">
        <v>8442</v>
      </c>
      <c r="J183" s="39" t="s">
        <v>9240</v>
      </c>
    </row>
    <row r="184" ht="26.25" customHeight="1">
      <c r="A184" s="12" t="s">
        <v>2148</v>
      </c>
      <c r="B184" s="17">
        <v>2025.0</v>
      </c>
      <c r="C184" s="17" t="s">
        <v>19</v>
      </c>
      <c r="D184" s="15">
        <v>15720.0</v>
      </c>
      <c r="E184" s="49" t="s">
        <v>9241</v>
      </c>
      <c r="F184" s="54" t="s">
        <v>9242</v>
      </c>
      <c r="G184" s="13" t="s">
        <v>9243</v>
      </c>
      <c r="H184" s="49" t="s">
        <v>9244</v>
      </c>
      <c r="I184" s="55" t="s">
        <v>9245</v>
      </c>
      <c r="J184" s="39" t="s">
        <v>9246</v>
      </c>
    </row>
    <row r="185" ht="26.25" customHeight="1">
      <c r="A185" s="12" t="s">
        <v>2156</v>
      </c>
      <c r="B185" s="17">
        <v>2025.0</v>
      </c>
      <c r="C185" s="17" t="s">
        <v>19</v>
      </c>
      <c r="D185" s="15">
        <v>16306.0</v>
      </c>
      <c r="E185" s="49" t="s">
        <v>9247</v>
      </c>
      <c r="F185" s="54" t="s">
        <v>9248</v>
      </c>
      <c r="G185" s="13" t="s">
        <v>9249</v>
      </c>
      <c r="H185" s="78" t="s">
        <v>9250</v>
      </c>
      <c r="I185" s="55" t="s">
        <v>9245</v>
      </c>
      <c r="J185" s="39" t="s">
        <v>9251</v>
      </c>
    </row>
    <row r="186" ht="26.25" customHeight="1">
      <c r="A186" s="12" t="s">
        <v>2150</v>
      </c>
      <c r="B186" s="17">
        <v>2025.0</v>
      </c>
      <c r="C186" s="17" t="s">
        <v>20</v>
      </c>
      <c r="D186" s="15">
        <v>16463.0</v>
      </c>
      <c r="E186" s="49" t="s">
        <v>9252</v>
      </c>
      <c r="F186" s="54" t="s">
        <v>9253</v>
      </c>
      <c r="G186" s="13"/>
      <c r="H186" s="49" t="s">
        <v>9254</v>
      </c>
      <c r="I186" s="55" t="s">
        <v>9182</v>
      </c>
      <c r="J186" s="39" t="s">
        <v>9255</v>
      </c>
    </row>
    <row r="187" ht="26.25" customHeight="1">
      <c r="A187" s="12" t="s">
        <v>2160</v>
      </c>
      <c r="B187" s="17">
        <v>2025.0</v>
      </c>
      <c r="C187" s="17" t="s">
        <v>20</v>
      </c>
      <c r="D187" s="15">
        <v>16410.0</v>
      </c>
      <c r="E187" s="49" t="s">
        <v>9256</v>
      </c>
      <c r="F187" s="54" t="s">
        <v>9257</v>
      </c>
      <c r="G187" s="13"/>
      <c r="H187" s="49" t="s">
        <v>9258</v>
      </c>
      <c r="I187" s="49" t="s">
        <v>8454</v>
      </c>
      <c r="J187" s="39" t="s">
        <v>9259</v>
      </c>
    </row>
    <row r="188" ht="26.25" customHeight="1">
      <c r="A188" s="12" t="s">
        <v>2165</v>
      </c>
      <c r="B188" s="17">
        <v>2025.0</v>
      </c>
      <c r="C188" s="17" t="s">
        <v>20</v>
      </c>
      <c r="D188" s="15">
        <v>16516.0</v>
      </c>
      <c r="E188" s="49" t="s">
        <v>9260</v>
      </c>
      <c r="F188" s="54" t="s">
        <v>9261</v>
      </c>
      <c r="G188" s="13" t="s">
        <v>9262</v>
      </c>
      <c r="H188" s="49" t="s">
        <v>9263</v>
      </c>
      <c r="I188" s="55" t="s">
        <v>9264</v>
      </c>
      <c r="J188" s="39" t="s">
        <v>9265</v>
      </c>
    </row>
    <row r="189" ht="26.25" customHeight="1">
      <c r="A189" s="12" t="s">
        <v>2170</v>
      </c>
      <c r="B189" s="17">
        <v>2025.0</v>
      </c>
      <c r="C189" s="17" t="s">
        <v>20</v>
      </c>
      <c r="D189" s="15">
        <v>16459.0</v>
      </c>
      <c r="E189" s="49" t="s">
        <v>9266</v>
      </c>
      <c r="F189" s="54" t="s">
        <v>9267</v>
      </c>
      <c r="G189" s="13" t="s">
        <v>9268</v>
      </c>
      <c r="H189" s="49" t="s">
        <v>4771</v>
      </c>
      <c r="I189" s="55" t="s">
        <v>8454</v>
      </c>
      <c r="J189" s="39" t="s">
        <v>9269</v>
      </c>
    </row>
    <row r="190" ht="26.25" customHeight="1">
      <c r="A190" s="12" t="s">
        <v>2176</v>
      </c>
      <c r="B190" s="17">
        <v>2025.0</v>
      </c>
      <c r="C190" s="17" t="s">
        <v>20</v>
      </c>
      <c r="D190" s="15">
        <v>10697.0</v>
      </c>
      <c r="E190" s="49" t="s">
        <v>8808</v>
      </c>
      <c r="F190" s="54" t="s">
        <v>8809</v>
      </c>
      <c r="G190" s="13" t="s">
        <v>8810</v>
      </c>
      <c r="H190" s="49" t="s">
        <v>9270</v>
      </c>
      <c r="I190" s="55" t="s">
        <v>8442</v>
      </c>
      <c r="J190" s="39" t="s">
        <v>9271</v>
      </c>
    </row>
    <row r="191" ht="26.25" customHeight="1">
      <c r="A191" s="12" t="s">
        <v>2182</v>
      </c>
      <c r="B191" s="17">
        <v>2025.0</v>
      </c>
      <c r="C191" s="17" t="s">
        <v>9272</v>
      </c>
      <c r="D191" s="15">
        <v>16631.0</v>
      </c>
      <c r="E191" s="49" t="s">
        <v>9273</v>
      </c>
      <c r="F191" s="54" t="s">
        <v>9274</v>
      </c>
      <c r="G191" s="13" t="s">
        <v>9275</v>
      </c>
      <c r="H191" s="49" t="s">
        <v>9276</v>
      </c>
      <c r="I191" s="55" t="s">
        <v>8993</v>
      </c>
      <c r="J191" s="39" t="s">
        <v>9277</v>
      </c>
    </row>
    <row r="192" ht="26.25" customHeight="1">
      <c r="A192" s="12" t="s">
        <v>2187</v>
      </c>
      <c r="B192" s="17">
        <v>2025.0</v>
      </c>
      <c r="C192" s="17" t="s">
        <v>9272</v>
      </c>
      <c r="D192" s="15">
        <v>16617.0</v>
      </c>
      <c r="E192" s="49" t="s">
        <v>9278</v>
      </c>
      <c r="F192" s="54" t="s">
        <v>9279</v>
      </c>
      <c r="G192" s="13" t="s">
        <v>9280</v>
      </c>
      <c r="H192" s="78" t="s">
        <v>9281</v>
      </c>
      <c r="I192" s="49" t="s">
        <v>8454</v>
      </c>
      <c r="J192" s="39" t="s">
        <v>9282</v>
      </c>
    </row>
    <row r="193" ht="26.25" customHeight="1">
      <c r="A193" s="12" t="s">
        <v>2192</v>
      </c>
      <c r="B193" s="17">
        <v>2025.0</v>
      </c>
      <c r="C193" s="17" t="s">
        <v>21</v>
      </c>
      <c r="D193" s="15">
        <v>16749.0</v>
      </c>
      <c r="E193" s="49" t="s">
        <v>9283</v>
      </c>
      <c r="F193" s="54" t="s">
        <v>9284</v>
      </c>
      <c r="G193" s="13" t="s">
        <v>9285</v>
      </c>
      <c r="H193" s="49" t="s">
        <v>9286</v>
      </c>
      <c r="I193" s="49" t="s">
        <v>8442</v>
      </c>
      <c r="J193" s="38" t="s">
        <v>9287</v>
      </c>
    </row>
    <row r="194" ht="26.25" customHeight="1">
      <c r="A194" s="12" t="s">
        <v>2198</v>
      </c>
      <c r="B194" s="17">
        <v>2025.0</v>
      </c>
      <c r="C194" s="17" t="s">
        <v>21</v>
      </c>
      <c r="D194" s="15">
        <v>16197.0</v>
      </c>
      <c r="E194" s="49" t="s">
        <v>9288</v>
      </c>
      <c r="F194" s="54" t="s">
        <v>9289</v>
      </c>
      <c r="G194" s="13" t="s">
        <v>9290</v>
      </c>
      <c r="H194" s="49" t="s">
        <v>9291</v>
      </c>
      <c r="I194" s="49" t="s">
        <v>8526</v>
      </c>
      <c r="J194" s="38" t="s">
        <v>9292</v>
      </c>
    </row>
    <row r="195" ht="26.25" customHeight="1">
      <c r="A195" s="12" t="s">
        <v>2204</v>
      </c>
      <c r="B195" s="17">
        <v>2025.0</v>
      </c>
      <c r="C195" s="17" t="s">
        <v>22</v>
      </c>
      <c r="D195" s="15">
        <v>17185.0</v>
      </c>
      <c r="E195" s="49" t="s">
        <v>9293</v>
      </c>
      <c r="F195" s="54" t="s">
        <v>9294</v>
      </c>
      <c r="G195" s="13" t="s">
        <v>9295</v>
      </c>
      <c r="H195" s="49" t="s">
        <v>6113</v>
      </c>
      <c r="I195" s="49" t="s">
        <v>8960</v>
      </c>
      <c r="J195" s="38" t="s">
        <v>9296</v>
      </c>
    </row>
    <row r="196" ht="26.25" customHeight="1">
      <c r="A196" s="12" t="s">
        <v>2210</v>
      </c>
      <c r="B196" s="17">
        <v>2026.0</v>
      </c>
      <c r="C196" s="17" t="s">
        <v>11</v>
      </c>
      <c r="D196" s="57">
        <v>14232.0</v>
      </c>
      <c r="E196" s="58" t="s">
        <v>9297</v>
      </c>
      <c r="F196" s="59" t="s">
        <v>9068</v>
      </c>
      <c r="G196" s="13" t="s">
        <v>9069</v>
      </c>
      <c r="H196" s="58" t="s">
        <v>9298</v>
      </c>
      <c r="I196" s="58" t="s">
        <v>8454</v>
      </c>
      <c r="J196" s="38" t="s">
        <v>9071</v>
      </c>
    </row>
    <row r="197" ht="26.25" customHeight="1">
      <c r="A197" s="12" t="s">
        <v>2214</v>
      </c>
      <c r="B197" s="17">
        <v>2026.0</v>
      </c>
      <c r="C197" s="17" t="s">
        <v>11</v>
      </c>
      <c r="D197" s="57">
        <v>8836.0</v>
      </c>
      <c r="E197" s="58" t="s">
        <v>9299</v>
      </c>
      <c r="F197" s="59" t="s">
        <v>9300</v>
      </c>
      <c r="G197" s="13"/>
      <c r="H197" s="58" t="s">
        <v>9301</v>
      </c>
      <c r="I197" s="58" t="s">
        <v>9302</v>
      </c>
      <c r="J197" s="38" t="s">
        <v>9303</v>
      </c>
    </row>
    <row r="198" ht="26.25" customHeight="1">
      <c r="A198" s="12" t="s">
        <v>2220</v>
      </c>
      <c r="B198" s="17">
        <v>2026.0</v>
      </c>
      <c r="C198" s="17" t="s">
        <v>11</v>
      </c>
      <c r="D198" s="57">
        <v>17405.0</v>
      </c>
      <c r="E198" s="58" t="s">
        <v>9304</v>
      </c>
      <c r="F198" s="59" t="s">
        <v>9305</v>
      </c>
      <c r="G198" s="13"/>
      <c r="H198" s="58" t="s">
        <v>9306</v>
      </c>
      <c r="I198" s="58" t="s">
        <v>8442</v>
      </c>
      <c r="J198" s="96" t="s">
        <v>9307</v>
      </c>
    </row>
    <row r="199" ht="26.25" customHeight="1">
      <c r="A199" s="12" t="s">
        <v>2225</v>
      </c>
      <c r="B199" s="17">
        <v>2026.0</v>
      </c>
      <c r="C199" s="17" t="s">
        <v>11</v>
      </c>
      <c r="D199" s="82">
        <v>14131.0</v>
      </c>
      <c r="E199" s="58" t="s">
        <v>9308</v>
      </c>
      <c r="F199" s="59" t="s">
        <v>9058</v>
      </c>
      <c r="G199" s="60" t="s">
        <v>9059</v>
      </c>
      <c r="H199" s="80" t="s">
        <v>9309</v>
      </c>
      <c r="I199" s="80" t="s">
        <v>8579</v>
      </c>
      <c r="J199" s="96" t="s">
        <v>9310</v>
      </c>
    </row>
    <row r="200" ht="26.25" customHeight="1">
      <c r="A200" s="12" t="s">
        <v>2231</v>
      </c>
      <c r="B200" s="17">
        <v>2026.0</v>
      </c>
      <c r="C200" s="20" t="s">
        <v>13</v>
      </c>
      <c r="D200" s="171">
        <v>15028.0</v>
      </c>
      <c r="E200" s="58" t="s">
        <v>9311</v>
      </c>
      <c r="F200" s="59" t="s">
        <v>9132</v>
      </c>
      <c r="G200" s="60" t="s">
        <v>9133</v>
      </c>
      <c r="H200" s="81" t="s">
        <v>9312</v>
      </c>
      <c r="I200" s="81" t="s">
        <v>8442</v>
      </c>
      <c r="J200" s="96" t="s">
        <v>9135</v>
      </c>
    </row>
    <row r="201" ht="26.25" customHeight="1">
      <c r="A201" s="12" t="s">
        <v>2237</v>
      </c>
      <c r="B201" s="17">
        <v>2026.0</v>
      </c>
      <c r="C201" s="20" t="s">
        <v>13</v>
      </c>
      <c r="D201" s="172">
        <v>17998.0</v>
      </c>
      <c r="E201" s="58" t="s">
        <v>9313</v>
      </c>
      <c r="F201" s="59" t="s">
        <v>9314</v>
      </c>
      <c r="G201" s="60" t="s">
        <v>9315</v>
      </c>
      <c r="H201" s="81" t="s">
        <v>9316</v>
      </c>
      <c r="I201" s="81" t="s">
        <v>8454</v>
      </c>
      <c r="J201" s="96" t="s">
        <v>9317</v>
      </c>
    </row>
    <row r="202" ht="26.25" customHeight="1">
      <c r="A202" s="12" t="s">
        <v>2243</v>
      </c>
      <c r="B202" s="17">
        <v>2026.0</v>
      </c>
      <c r="C202" s="20" t="s">
        <v>14</v>
      </c>
      <c r="D202" s="172">
        <v>18173.0</v>
      </c>
      <c r="E202" s="49" t="s">
        <v>381</v>
      </c>
      <c r="F202" s="54" t="s">
        <v>9318</v>
      </c>
      <c r="G202" s="60" t="s">
        <v>9319</v>
      </c>
      <c r="H202" s="130" t="s">
        <v>9320</v>
      </c>
      <c r="I202" s="130" t="s">
        <v>9302</v>
      </c>
      <c r="J202" s="96" t="s">
        <v>9321</v>
      </c>
    </row>
    <row r="203" ht="26.25" customHeight="1">
      <c r="A203" s="12" t="s">
        <v>2246</v>
      </c>
      <c r="B203" s="17">
        <v>2026.0</v>
      </c>
      <c r="C203" s="20" t="s">
        <v>14</v>
      </c>
      <c r="D203" s="155">
        <v>18215.0</v>
      </c>
      <c r="E203" s="61" t="s">
        <v>9322</v>
      </c>
      <c r="F203" s="166" t="s">
        <v>9323</v>
      </c>
      <c r="G203" s="60" t="s">
        <v>9324</v>
      </c>
      <c r="H203" s="61" t="s">
        <v>9325</v>
      </c>
      <c r="I203" s="61" t="s">
        <v>9245</v>
      </c>
      <c r="J203" s="96" t="s">
        <v>9326</v>
      </c>
    </row>
    <row r="204" ht="26.25" customHeight="1">
      <c r="A204" s="12" t="s">
        <v>2252</v>
      </c>
      <c r="B204" s="17">
        <v>2026.0</v>
      </c>
      <c r="C204" s="20" t="s">
        <v>14</v>
      </c>
      <c r="D204" s="172">
        <v>18183.0</v>
      </c>
      <c r="E204" s="49" t="s">
        <v>9327</v>
      </c>
      <c r="F204" s="54" t="s">
        <v>9328</v>
      </c>
      <c r="G204" s="60"/>
      <c r="H204" s="130" t="s">
        <v>9329</v>
      </c>
      <c r="I204" s="130" t="s">
        <v>8454</v>
      </c>
      <c r="J204" s="96" t="s">
        <v>9330</v>
      </c>
    </row>
    <row r="205" ht="26.25" customHeight="1">
      <c r="A205" s="12" t="s">
        <v>2256</v>
      </c>
      <c r="B205" s="17">
        <v>2026.0</v>
      </c>
      <c r="C205" s="20" t="s">
        <v>14</v>
      </c>
      <c r="D205" s="172">
        <v>18291.0</v>
      </c>
      <c r="E205" s="49" t="s">
        <v>9331</v>
      </c>
      <c r="F205" s="54" t="s">
        <v>9332</v>
      </c>
      <c r="G205" s="60" t="s">
        <v>9333</v>
      </c>
      <c r="H205" s="130" t="s">
        <v>9334</v>
      </c>
      <c r="I205" s="130" t="s">
        <v>8442</v>
      </c>
      <c r="J205" s="96" t="s">
        <v>9335</v>
      </c>
    </row>
    <row r="206" ht="26.25" customHeight="1">
      <c r="A206" s="12" t="s">
        <v>2262</v>
      </c>
      <c r="B206" s="17">
        <v>2026.0</v>
      </c>
      <c r="C206" s="20" t="s">
        <v>16</v>
      </c>
      <c r="D206" s="172">
        <v>18778.0</v>
      </c>
      <c r="E206" s="49" t="s">
        <v>9336</v>
      </c>
      <c r="F206" s="54" t="s">
        <v>9337</v>
      </c>
      <c r="G206" s="60" t="s">
        <v>9338</v>
      </c>
      <c r="H206" s="61" t="s">
        <v>9339</v>
      </c>
      <c r="I206" s="130" t="s">
        <v>8442</v>
      </c>
      <c r="J206" s="96" t="s">
        <v>9340</v>
      </c>
    </row>
    <row r="207" ht="26.25" customHeight="1">
      <c r="A207" s="12" t="s">
        <v>2267</v>
      </c>
      <c r="B207" s="17">
        <v>2026.0</v>
      </c>
      <c r="C207" s="20" t="s">
        <v>16</v>
      </c>
      <c r="D207" s="173">
        <v>18771.0</v>
      </c>
      <c r="E207" s="63" t="s">
        <v>9341</v>
      </c>
      <c r="F207" s="64" t="s">
        <v>9342</v>
      </c>
      <c r="G207" s="97" t="s">
        <v>9343</v>
      </c>
      <c r="H207" s="142" t="s">
        <v>9344</v>
      </c>
      <c r="I207" s="142" t="s">
        <v>8579</v>
      </c>
      <c r="J207" s="96" t="s">
        <v>9345</v>
      </c>
    </row>
    <row r="208" ht="26.25" customHeight="1">
      <c r="A208" s="12" t="s">
        <v>2273</v>
      </c>
      <c r="B208" s="17">
        <v>2026.0</v>
      </c>
      <c r="C208" s="20" t="s">
        <v>16</v>
      </c>
      <c r="D208" s="172">
        <v>18893.0</v>
      </c>
      <c r="E208" s="58" t="s">
        <v>9346</v>
      </c>
      <c r="F208" s="59" t="s">
        <v>9347</v>
      </c>
      <c r="G208" s="97" t="s">
        <v>9348</v>
      </c>
      <c r="H208" s="81" t="s">
        <v>9349</v>
      </c>
      <c r="I208" s="81" t="s">
        <v>8442</v>
      </c>
      <c r="J208" s="87" t="s">
        <v>9350</v>
      </c>
    </row>
    <row r="209" ht="26.25" customHeight="1">
      <c r="A209" s="163" t="s">
        <v>222</v>
      </c>
      <c r="C209" s="53"/>
      <c r="D209" s="53"/>
      <c r="E209" s="53">
        <f t="array" ref="E209">sum(1/countif(E196:E199,E196:E199))</f>
        <v>4</v>
      </c>
      <c r="F209" s="53"/>
      <c r="G209" s="53"/>
      <c r="H209" s="53">
        <f t="array" ref="H209">sum(1/countif(H196:H199,H196:H199))</f>
        <v>4</v>
      </c>
      <c r="I209" s="53">
        <f t="array" ref="I209">sum(1/countif(I145:I193,I145:I193))</f>
        <v>11</v>
      </c>
      <c r="J209" s="53"/>
    </row>
    <row r="210" ht="26.25" customHeight="1">
      <c r="A210" s="163" t="s">
        <v>223</v>
      </c>
      <c r="C210" s="53"/>
      <c r="D210" s="53"/>
      <c r="E210" s="53">
        <f t="array" ref="E210">sum(1/countif(E5:E209,E5:E209))</f>
        <v>189</v>
      </c>
      <c r="F210" s="53"/>
      <c r="G210" s="53"/>
      <c r="H210" s="53">
        <f t="array" ref="H210">sum(1/countif(H5:H209,H5:H209))</f>
        <v>200</v>
      </c>
      <c r="I210" s="53">
        <f t="array" ref="I210">sum(1/countif(I5:I193,I5:I193))</f>
        <v>20</v>
      </c>
      <c r="J210" s="53"/>
    </row>
  </sheetData>
  <mergeCells count="5">
    <mergeCell ref="A1:J1"/>
    <mergeCell ref="A2:J2"/>
    <mergeCell ref="A3:J3"/>
    <mergeCell ref="A209:B209"/>
    <mergeCell ref="A210:B210"/>
  </mergeCells>
  <drawing r:id="rId1"/>
  <tableParts count="2"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7.29"/>
  </cols>
  <sheetData>
    <row r="1" ht="27.75" customHeight="1">
      <c r="A1" s="174" t="s">
        <v>9351</v>
      </c>
      <c r="B1" s="174" t="s">
        <v>9352</v>
      </c>
    </row>
    <row r="2">
      <c r="A2" s="175" t="s">
        <v>9353</v>
      </c>
    </row>
    <row r="3">
      <c r="A3" s="176">
        <v>11.0</v>
      </c>
      <c r="B3" s="177" t="s">
        <v>9354</v>
      </c>
    </row>
    <row r="4">
      <c r="A4" s="176">
        <v>12.0</v>
      </c>
      <c r="B4" s="177" t="s">
        <v>26</v>
      </c>
    </row>
    <row r="5">
      <c r="A5" s="176">
        <v>13.0</v>
      </c>
      <c r="B5" s="177" t="s">
        <v>28</v>
      </c>
    </row>
    <row r="6">
      <c r="A6" s="176">
        <v>14.0</v>
      </c>
      <c r="B6" s="177" t="s">
        <v>9355</v>
      </c>
    </row>
    <row r="7">
      <c r="A7" s="176">
        <v>15.0</v>
      </c>
      <c r="B7" s="177" t="s">
        <v>9356</v>
      </c>
    </row>
    <row r="8">
      <c r="A8" s="176">
        <v>16.0</v>
      </c>
      <c r="B8" s="177" t="s">
        <v>27</v>
      </c>
    </row>
    <row r="9">
      <c r="A9" s="176">
        <v>17.0</v>
      </c>
      <c r="B9" s="177" t="s">
        <v>9357</v>
      </c>
    </row>
    <row r="10">
      <c r="A10" s="176">
        <v>18.0</v>
      </c>
      <c r="B10" s="177" t="s">
        <v>9358</v>
      </c>
    </row>
    <row r="11">
      <c r="A11" s="176">
        <v>19.0</v>
      </c>
      <c r="B11" s="177" t="s">
        <v>9359</v>
      </c>
    </row>
    <row r="12">
      <c r="A12" s="176">
        <v>21.0</v>
      </c>
      <c r="B12" s="177" t="s">
        <v>31</v>
      </c>
    </row>
    <row r="13">
      <c r="A13" s="175" t="s">
        <v>9360</v>
      </c>
    </row>
    <row r="14">
      <c r="A14" s="176">
        <v>31.0</v>
      </c>
      <c r="B14" s="177" t="s">
        <v>41</v>
      </c>
    </row>
    <row r="15">
      <c r="A15" s="176">
        <v>32.0</v>
      </c>
      <c r="B15" s="177" t="s">
        <v>42</v>
      </c>
    </row>
    <row r="16">
      <c r="A16" s="176">
        <v>33.0</v>
      </c>
      <c r="B16" s="177" t="s">
        <v>43</v>
      </c>
    </row>
    <row r="17">
      <c r="A17" s="176">
        <v>34.0</v>
      </c>
      <c r="B17" s="177" t="s">
        <v>44</v>
      </c>
    </row>
    <row r="18">
      <c r="A18" s="176">
        <v>35.0</v>
      </c>
      <c r="B18" s="177" t="s">
        <v>5858</v>
      </c>
    </row>
    <row r="19">
      <c r="A19" s="176">
        <v>36.0</v>
      </c>
      <c r="B19" s="177" t="s">
        <v>9361</v>
      </c>
    </row>
    <row r="20">
      <c r="A20" s="176">
        <v>51.0</v>
      </c>
      <c r="B20" s="177" t="s">
        <v>9362</v>
      </c>
    </row>
    <row r="21">
      <c r="A21" s="176">
        <v>52.0</v>
      </c>
      <c r="B21" s="177" t="s">
        <v>9363</v>
      </c>
    </row>
    <row r="22">
      <c r="A22" s="176">
        <v>53.0</v>
      </c>
      <c r="B22" s="177" t="s">
        <v>9364</v>
      </c>
    </row>
    <row r="23">
      <c r="A23" s="176">
        <v>61.0</v>
      </c>
      <c r="B23" s="177" t="s">
        <v>35</v>
      </c>
    </row>
    <row r="24">
      <c r="A24" s="176">
        <v>62.0</v>
      </c>
      <c r="B24" s="177" t="s">
        <v>38</v>
      </c>
    </row>
    <row r="25">
      <c r="A25" s="176">
        <v>63.0</v>
      </c>
      <c r="B25" s="177" t="s">
        <v>37</v>
      </c>
    </row>
    <row r="26">
      <c r="A26" s="176">
        <v>64.0</v>
      </c>
      <c r="B26" s="177" t="s">
        <v>36</v>
      </c>
    </row>
    <row r="27">
      <c r="A27" s="176">
        <v>65.0</v>
      </c>
      <c r="B27" s="177" t="s">
        <v>39</v>
      </c>
    </row>
    <row r="28">
      <c r="A28" s="176">
        <v>71.0</v>
      </c>
      <c r="B28" s="177" t="s">
        <v>52</v>
      </c>
    </row>
    <row r="29">
      <c r="A29" s="176">
        <v>72.0</v>
      </c>
      <c r="B29" s="177" t="s">
        <v>51</v>
      </c>
    </row>
    <row r="30">
      <c r="A30" s="176">
        <v>73.0</v>
      </c>
      <c r="B30" s="177" t="s">
        <v>54</v>
      </c>
    </row>
    <row r="31">
      <c r="A31" s="176">
        <v>74.0</v>
      </c>
      <c r="B31" s="177" t="s">
        <v>53</v>
      </c>
    </row>
    <row r="32">
      <c r="A32" s="176">
        <v>75.0</v>
      </c>
      <c r="B32" s="177" t="s">
        <v>9365</v>
      </c>
    </row>
    <row r="33">
      <c r="A33" s="176">
        <v>76.0</v>
      </c>
      <c r="B33" s="177" t="s">
        <v>50</v>
      </c>
    </row>
    <row r="34">
      <c r="A34" s="176">
        <v>81.0</v>
      </c>
      <c r="B34" s="177" t="s">
        <v>9366</v>
      </c>
    </row>
    <row r="35">
      <c r="A35" s="176">
        <v>82.0</v>
      </c>
      <c r="B35" s="177" t="s">
        <v>55</v>
      </c>
    </row>
    <row r="36">
      <c r="A36" s="176">
        <v>91.0</v>
      </c>
      <c r="B36" s="177" t="s">
        <v>58</v>
      </c>
    </row>
    <row r="37">
      <c r="A37" s="176">
        <v>92.0</v>
      </c>
      <c r="B37" s="177" t="s">
        <v>57</v>
      </c>
    </row>
    <row r="38">
      <c r="A38" s="176">
        <v>92.0</v>
      </c>
      <c r="B38" s="177" t="s">
        <v>62</v>
      </c>
    </row>
    <row r="39">
      <c r="A39" s="176">
        <v>93.0</v>
      </c>
      <c r="B39" s="177" t="s">
        <v>61</v>
      </c>
    </row>
    <row r="40">
      <c r="A40" s="176">
        <v>94.0</v>
      </c>
      <c r="B40" s="177" t="s">
        <v>59</v>
      </c>
    </row>
    <row r="41">
      <c r="A41" s="176">
        <v>95.0</v>
      </c>
      <c r="B41" s="177" t="s">
        <v>60</v>
      </c>
    </row>
  </sheetData>
  <mergeCells count="2">
    <mergeCell ref="A2:B2"/>
    <mergeCell ref="A13:B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2021-04-07T09:31:48Z</dcterms:created>
  <dc:creator>Hp</dc:creator>
</cp:coreProperties>
</file>