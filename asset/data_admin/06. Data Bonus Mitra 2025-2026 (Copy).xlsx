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Mitra" sheetId="1" r:id="rId4"/>
    <sheet state="visible" name="Mitra - Referral" sheetId="2" r:id="rId5"/>
    <sheet state="hidden" name="Komisi Mitra Corporate" sheetId="3" r:id="rId6"/>
    <sheet state="hidden" name="Salinan dari Daftar Mitra" sheetId="4" r:id="rId7"/>
    <sheet state="hidden" name="Sheet4" sheetId="5" r:id="rId8"/>
    <sheet state="hidden" name="Perencanaan Komisi Mitra Terbar" sheetId="6" r:id="rId9"/>
    <sheet state="hidden" name=" (TM) Wati" sheetId="7" r:id="rId10"/>
    <sheet state="hidden" name=" (TM) Lady" sheetId="8" r:id="rId11"/>
    <sheet state="hidden" name=" (CS) Selvi" sheetId="9" r:id="rId12"/>
    <sheet state="hidden" name="Yang mau di cairkan" sheetId="10" r:id="rId13"/>
    <sheet state="hidden" name="YANG MAU DI CAIRKAN PER JUNI (L" sheetId="11" r:id="rId14"/>
    <sheet state="hidden" name="Wati Done" sheetId="12" r:id="rId15"/>
    <sheet state="hidden" name="Yuni Done" sheetId="13" r:id="rId16"/>
  </sheets>
  <definedNames>
    <definedName hidden="1" localSheetId="4" name="_xlnm._FilterDatabase">Sheet4!$A$4:$BD$91</definedName>
    <definedName hidden="1" localSheetId="9" name="_xlnm._FilterDatabase">'Yang mau di cairkan'!$A$2:$AL$23</definedName>
  </definedNames>
  <calcPr/>
  <extLst>
    <ext uri="GoogleSheetsCustomDataVersion2">
      <go:sheetsCustomData xmlns:go="http://customooxmlschemas.google.com/" r:id="rId17" roundtripDataChecksum="HIs4cVYQE2Tdq1rdRVdFQ+2I1Q6hcLx5rH1hOltaaB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194">
      <text>
        <t xml:space="preserve">======
ID#AAABz_pGwPk
    (2026-02-10 04:47:07)
TIDAK TOP UP</t>
      </text>
    </comment>
    <comment authorId="0" ref="AR235">
      <text>
        <t xml:space="preserve">======
ID#AAABz_pGwPU
    (2026-02-10 04:47:07)
Tidak di cairkan karna pic nya sudah tidak ada lagi, info dari bapak by pic:lidya 
fu devi to lidya 23/07/25</t>
      </text>
    </comment>
    <comment authorId="0" ref="AN103">
      <text>
        <t xml:space="preserve">======
ID#AAABz_pGwPA
    (2026-02-10 04:47:07)
di cairkan tgl 23/12/24</t>
      </text>
    </comment>
    <comment authorId="0" ref="M108">
      <text>
        <t xml:space="preserve">======
ID#AAABz_pGwKA
    (2026-02-10 04:47:07)
Tidak ada bukti follow up/chat mitra minta cairkan bonus, karna mitra nya kalau gak dicairkan dari kita gak bakalan diminta</t>
      </text>
    </comment>
    <comment authorId="0" ref="AN99">
      <text>
        <t xml:space="preserve">======
ID#AAABz_pGwMk
    (2026-02-10 04:47:07)
di cairkan tgl 23/12/24</t>
      </text>
    </comment>
    <comment authorId="0" ref="AQ37">
      <text>
        <t xml:space="preserve">======
ID#AAABz_pGwPQ
    (2026-02-10 04:47:07)
Pencairan Top Up Saldo tgl 11/08/25</t>
      </text>
    </comment>
    <comment authorId="0" ref="Q203">
      <text>
        <t xml:space="preserve">======
ID#AAABz_pGwMU
    (2026-02-10 04:47:07)
Top up saldo</t>
      </text>
    </comment>
    <comment authorId="0" ref="AR37">
      <text>
        <t xml:space="preserve">======
ID#AAABz_pGwP8
    (2026-02-10 04:47:07)
99.996</t>
      </text>
    </comment>
    <comment authorId="0" ref="AX107">
      <text>
        <t xml:space="preserve">======
ID#AAABz_pGwJw
    (2026-02-10 04:47:07)
sisa bonus
karena nasabah berlangganan 1 tahun jadi tenor buat aja 12 bulan untuk pencairan mitranya dan bonusnya 150.000</t>
      </text>
    </comment>
    <comment authorId="0" ref="M100">
      <text>
        <t xml:space="preserve">======
ID#AAABz_pGwI0
    (2026-02-10 04:47:07)
Tidak ada bukti follow up/chat mitra minta cairkan bonus, karna mitra nya kalau gak dicairkan dari kita gak bakalan diminta</t>
      </text>
    </comment>
    <comment authorId="0" ref="P166">
      <text>
        <t xml:space="preserve">jatuh tempo 10/03/26
======</t>
      </text>
    </comment>
    <comment authorId="0" ref="BE206">
      <text>
        <t xml:space="preserve">======
ID#AAABz_pGwMM
    (2026-02-10 04:47:07)
harga bonus terbaru</t>
      </text>
    </comment>
    <comment authorId="0" ref="AI87">
      <text>
        <t xml:space="preserve">======
ID#AAABz_pGwJM
    (2026-02-10 04:47:07)
tahap 1</t>
      </text>
    </comment>
    <comment authorId="0" ref="BK210">
      <text>
        <t xml:space="preserve">Akan Dicairkan tanggal 04/06/26
======</t>
      </text>
    </comment>
    <comment authorId="0" ref="M92">
      <text>
        <t xml:space="preserve">======
ID#AAABz_pGwQc
    (2026-02-10 04:47:07)
Tidak ada bukti follow up/chat mitra minta cairkan bonus, karna mitra nya kalau gak dicairkan dari kita gak bakalan diminta</t>
      </text>
    </comment>
    <comment authorId="0" ref="Q224">
      <text>
        <t xml:space="preserve">======
ID#AAABz_pGwLE
    (2026-02-10 04:47:07)
top up saldo oleh nasabah</t>
      </text>
    </comment>
    <comment authorId="0" ref="BA4">
      <text>
        <t xml:space="preserve">======
ID#AAABz_pGwK4
    (2026-02-10 04:47:07)
pencairan top up saldo (oleh nasabah)
tanggal top up 15/07/25</t>
      </text>
    </comment>
    <comment authorId="0" ref="AO87">
      <text>
        <t xml:space="preserve">======
ID#AAABz_pGwLY
    (2026-02-10 04:47:07)
di cairkan di tahap 2 24/12/24</t>
      </text>
    </comment>
    <comment authorId="0" ref="AN54">
      <text>
        <t xml:space="preserve">======
ID#AAABz_pGwIU
    (2026-02-10 04:47:07)
di cairkan tgl 23/12/24</t>
      </text>
    </comment>
    <comment authorId="0" ref="AT25">
      <text>
        <t xml:space="preserve">======
ID#AAABz_pGwNQ
    (2026-02-10 04:47:07)
di cairkan tgl 17/12/24</t>
      </text>
    </comment>
    <comment authorId="0" ref="AN50">
      <text>
        <t xml:space="preserve">======
ID#AAABz_pGwPg
    (2026-02-10 04:47:07)
DI CAIRKAN TANGGAL 24/12/24</t>
      </text>
    </comment>
    <comment authorId="0" ref="AY116">
      <text>
        <t xml:space="preserve">======
ID#AAABz_pGwPo
    (2026-02-10 04:47:07)
update ke tahunan bisnis dan ini sisa bonus</t>
      </text>
    </comment>
    <comment authorId="0" ref="M109">
      <text>
        <t xml:space="preserve">======
ID#AAABz_pGwQA
    (2026-02-10 04:47:07)
Tidak ada bukti follow up/chat mitra minta cairkan bonus, karna mitra nya kalau gak dicairkan dari kita gak bakalan diminta</t>
      </text>
    </comment>
    <comment authorId="0" ref="AN104">
      <text>
        <t xml:space="preserve">======
ID#AAABz_pGwNo
    (2026-02-10 04:47:07)
di cairkan tgl 23/12/24</t>
      </text>
    </comment>
    <comment authorId="0" ref="AR236">
      <text>
        <t xml:space="preserve">======
ID#AAABz_pGwMw
    (2026-02-10 04:47:07)
Tidak di cairkan karna pic nya sudah tidak ada lagi, info dari bapak by pic:lidya</t>
      </text>
    </comment>
    <comment authorId="0" ref="AI67">
      <text>
        <t xml:space="preserve">======
ID#AAABz_pGwLk
    (2026-02-10 04:47:07)
tahap 2</t>
      </text>
    </comment>
    <comment authorId="0" ref="M105">
      <text>
        <t xml:space="preserve">======
ID#AAABz_pGwH8
    (2026-02-10 04:47:07)
Tidak ada bukti follow up/chat mitra minta cairkan bonus, karna mitra nya kalau gak dicairkan dari kita gak bakalan diminta</t>
      </text>
    </comment>
    <comment authorId="0" ref="M101">
      <text>
        <t xml:space="preserve">======
ID#AAABz_pGwKE
    (2026-02-10 04:47:07)
Tidak ada bukti follow up/chat mitra minta cairkan bonus, karna mitra nya kalau gak dicairkan dari kita gak bakalan diminta</t>
      </text>
    </comment>
    <comment authorId="0" ref="AR100">
      <text>
        <t xml:space="preserve">======
ID#AAABz_pGwIw
    (2026-02-10 04:47:07)
di cairkan tgl 23/12/24</t>
      </text>
    </comment>
    <comment authorId="0" ref="AJ216">
      <text>
        <t xml:space="preserve">======
ID#AAABz_pGwLA
    (2026-02-10 04:47:07)
Tidak Top Up</t>
      </text>
    </comment>
    <comment authorId="0" ref="AF51">
      <text>
        <t xml:space="preserve">======
ID#AAABz_pGwIs
    (2026-02-10 04:47:07)
TIDAK TOP UP, karena masih ada masa langganan dan masa trial</t>
      </text>
    </comment>
    <comment authorId="0" ref="P225">
      <text>
        <t xml:space="preserve">Unsubscribe 28/01/26
======</t>
      </text>
    </comment>
    <comment authorId="0" ref="Q225">
      <text>
        <t xml:space="preserve">======
ID#AAABz_pGwJQ
    (2026-02-10 04:47:07)
top up saldo oleh nasabah</t>
      </text>
    </comment>
    <comment authorId="0" ref="S225">
      <text>
        <t xml:space="preserve">Top up saldo
======</t>
      </text>
    </comment>
    <comment authorId="0" ref="AO55">
      <text>
        <t xml:space="preserve">======
ID#AAABz_pGwKQ
    (2026-02-10 04:47:07)
di cairkan tgl 23/12/24</t>
      </text>
    </comment>
    <comment authorId="0" ref="AI80">
      <text>
        <t xml:space="preserve">======
ID#AAABz_pGwIc
    (2026-02-10 04:47:07)
tahap 2</t>
      </text>
    </comment>
    <comment authorId="0" ref="BI166">
      <text>
        <t xml:space="preserve">Jatuh tempo 10 maret 2026
======</t>
      </text>
    </comment>
    <comment authorId="0" ref="BM170">
      <text>
        <t xml:space="preserve"> 02 Agustus 2026
======</t>
      </text>
    </comment>
    <comment authorId="0" ref="AE72">
      <text>
        <t xml:space="preserve">======
ID#AAABz_pGwNE
    (2026-02-10 04:47:07)
TIDAK TOP UP</t>
      </text>
    </comment>
    <comment authorId="0" ref="AB68">
      <text>
        <t xml:space="preserve">======
ID#AAABz_pGwOs
    (2026-02-10 04:47:07)
TIDAK TOP UP</t>
      </text>
    </comment>
    <comment authorId="0" ref="M85">
      <text>
        <t xml:space="preserve">======
ID#AAABz_pGwOY
    (2026-02-10 04:47:07)
Tidak ada bukti follow up/chat mitra minta cairkan bonus, karna mitra nya kalau gak dicairkan dari kita gak bakalan diminta</t>
      </text>
    </comment>
    <comment authorId="0" ref="AQ51">
      <text>
        <t xml:space="preserve">======
ID#AAABz_pGwNI
    (2026-02-10 04:47:07)
di cairkan tgl 23/12/24</t>
      </text>
    </comment>
    <comment authorId="0" ref="AI72">
      <text>
        <t xml:space="preserve">======
ID#AAABz_pGwI8
    (2026-02-10 04:47:07)
tahap 2</t>
      </text>
    </comment>
    <comment authorId="0" ref="AE35">
      <text>
        <t xml:space="preserve">======
ID#AAABz_pGwMg
    (2026-02-10 04:47:07)
TIDAK TOP UP</t>
      </text>
    </comment>
    <comment authorId="0" ref="H40">
      <text>
        <t xml:space="preserve">354 + 354
======</t>
      </text>
    </comment>
    <comment authorId="0" ref="M106">
      <text>
        <t xml:space="preserve">======
ID#AAABz_pGwJU
    (2026-02-10 04:47:07)
Tidak ada bukti follow up/chat mitra minta cairkan bonus, karna mitra nya kalau gak dicairkan dari kita gak bakalan diminta</t>
      </text>
    </comment>
    <comment authorId="0" ref="AM97">
      <text>
        <t xml:space="preserve">======
ID#AAABz_pGwKs
    (2026-02-10 04:47:07)
di cairkan tgl 23/12/24</t>
      </text>
    </comment>
    <comment authorId="0" ref="P40">
      <text>
        <t xml:space="preserve">Unsubscribe
======</t>
      </text>
    </comment>
    <comment authorId="0" ref="M98">
      <text>
        <t xml:space="preserve">======
ID#AAABz_pGwJE
    (2026-02-10 04:47:07)
Tidak ada bukti follow up/chat mitra minta cairkan bonus, karna mitra nya kalau gak dicairkan dari kita gak bakalan diminta</t>
      </text>
    </comment>
    <comment authorId="0" ref="BD204">
      <text>
        <t xml:space="preserve">======
ID#AAABz_pGwPY
    (2026-02-10 04:47:07)
info PIC pake nominal bonus lama</t>
      </text>
    </comment>
    <comment authorId="0" ref="AK56">
      <text>
        <t xml:space="preserve">======
ID#AAABz_pGwN4
    (2026-02-10 04:47:07)
di cairkan tgl 23/12/24</t>
      </text>
    </comment>
    <comment authorId="0" ref="P226">
      <text>
        <t xml:space="preserve">Jatuh tempo 24/02/26
======</t>
      </text>
    </comment>
    <comment authorId="0" ref="AI85">
      <text>
        <t xml:space="preserve">======
ID#AAABz_pGwK8
    (2026-02-10 04:47:07)
tahap 2</t>
      </text>
    </comment>
    <comment authorId="0" ref="AL151">
      <text>
        <t xml:space="preserve">======
ID#AAABz_pGwNU
    (2026-02-10 04:47:07)
TIDAK TOP UP</t>
      </text>
    </comment>
    <comment authorId="0" ref="P32">
      <text>
        <t xml:space="preserve">jatuh tempo maret 2026 
======</t>
      </text>
    </comment>
    <comment authorId="0" ref="S226">
      <text>
        <t xml:space="preserve">Top up saldo
======</t>
      </text>
    </comment>
    <comment authorId="0" ref="AJ48">
      <text>
        <t xml:space="preserve">======
ID#AAABz_pGwPc
    (2026-02-10 04:47:07)
TIDAK TOP UP</t>
      </text>
    </comment>
    <comment authorId="0" ref="AM81">
      <text>
        <t xml:space="preserve">======
ID#AAABz_pGwQg
    (2026-02-10 04:47:07)
tahap 2</t>
      </text>
    </comment>
    <comment authorId="0" ref="AM48">
      <text>
        <t xml:space="preserve">======
ID#AAABz_pGwNw
    (2026-02-10 04:47:07)
DI CAIRKAN TANGGAL 24/12/24</t>
      </text>
    </comment>
    <comment authorId="0" ref="AQ52">
      <text>
        <t xml:space="preserve">======
ID#AAABz_pGwNg
    (2026-02-10 04:47:07)
di cairkan tgl 23/12/24</t>
      </text>
    </comment>
    <comment authorId="0" ref="P152">
      <text>
        <t xml:space="preserve">Unsubcribe oktober 2025
======</t>
      </text>
    </comment>
    <comment authorId="0" ref="AI73">
      <text>
        <t xml:space="preserve">======
ID#AAABz_pGwIE
    (2026-02-10 04:47:07)
tahap 2</t>
      </text>
    </comment>
    <comment authorId="0" ref="AI69">
      <text>
        <t xml:space="preserve">======
ID#AAABz_pGwO4
    (2026-02-10 04:47:07)
tahap 2</t>
      </text>
    </comment>
    <comment authorId="0" ref="P49">
      <text>
        <t xml:space="preserve">Unsubscribe 2024
======</t>
      </text>
    </comment>
    <comment authorId="0" ref="BN35">
      <text>
        <t xml:space="preserve">Tidak Masuk File CMO
======</t>
      </text>
    </comment>
    <comment authorId="0" ref="F70">
      <text>
        <t xml:space="preserve">tidak di cairkan - uns
======</t>
      </text>
    </comment>
    <comment authorId="0" ref="AI65">
      <text>
        <t xml:space="preserve">======
ID#AAABz_pGwQ8
    (2026-02-10 04:47:07)
tahap 2</t>
      </text>
    </comment>
    <comment authorId="0" ref="M107">
      <text>
        <t xml:space="preserve">======
ID#AAABz_pGwQQ
    (2026-02-10 04:47:07)
Tidak ada bukti follow up/chat mitra minta cairkan bonus, karna mitra nya kalau gak dicairkan dari kita gak bakalan diminta</t>
      </text>
    </comment>
    <comment authorId="0" ref="AN102">
      <text>
        <t xml:space="preserve">======
ID#AAABz_pGwJY
    (2026-02-10 04:47:07)
di cairkan tgl 23/12/24</t>
      </text>
    </comment>
    <comment authorId="0" ref="Q206">
      <text>
        <t xml:space="preserve">======
ID#AAABz_pGwIQ
    (2026-02-10 04:47:07)
di cairkan ke karyawan (Riske Bellandina Malelak)</t>
      </text>
    </comment>
    <comment authorId="0" ref="AI57">
      <text>
        <t xml:space="preserve">======
ID#AAABz_pGwOg
    (2026-02-10 04:47:07)
Tahap 2</t>
      </text>
    </comment>
    <comment authorId="0" ref="AR98">
      <text>
        <t xml:space="preserve">======
ID#AAABz_pGwKk
    (2026-02-10 04:47:07)
di cairkan tgl 23/12/24</t>
      </text>
    </comment>
    <comment authorId="0" ref="AY40">
      <text>
        <t xml:space="preserve">Unsubscribe
======</t>
      </text>
    </comment>
    <comment authorId="0" ref="F91">
      <text>
        <t xml:space="preserve">tidak di cairkan - uns
======</t>
      </text>
    </comment>
    <comment authorId="0" ref="BD205">
      <text>
        <t xml:space="preserve">======
ID#AAABz_pGwLQ
    (2026-02-10 04:47:07)
harga bonus baru</t>
      </text>
    </comment>
    <comment authorId="0" ref="BK209">
      <text>
        <t xml:space="preserve">Akan Dicairkan tanggal 04/06/26
======</t>
      </text>
    </comment>
    <comment authorId="0" ref="M95">
      <text>
        <t xml:space="preserve">======
ID#AAABz_pGwIg
    (2026-02-10 04:47:07)
Tidak ada bukti follow up/chat mitra minta cairkan bonus, karna mitra nya kalau gak dicairkan dari kita gak bakalan diminta</t>
      </text>
    </comment>
    <comment authorId="0" ref="P128">
      <text>
        <t xml:space="preserve">Unsubscribe Juni 2025
======</t>
      </text>
    </comment>
    <comment authorId="0" ref="AI82">
      <text>
        <t xml:space="preserve">======
ID#AAABz_pGwOA
    (2026-02-10 04:47:07)
tahap 2</t>
      </text>
    </comment>
    <comment authorId="0" ref="L219">
      <text>
        <t xml:space="preserve">======
ID#AAABz_pGwL4
    (2026-02-10 04:47:07)
di alihkan ke pic wati. Resign</t>
      </text>
    </comment>
    <comment authorId="0" ref="Q223">
      <text>
        <t xml:space="preserve">======
ID#AAABz_pGwOk
    (2026-02-10 04:47:07)
top up saldo oleh nasabah</t>
      </text>
    </comment>
    <comment authorId="0" ref="AN53">
      <text>
        <t xml:space="preserve">======
ID#AAABz_pGwOI
    (2026-02-10 04:47:07)
di cairkan tgl 23/12/24</t>
      </text>
    </comment>
    <comment authorId="0" ref="S223">
      <text>
        <t xml:space="preserve">Top up saldo
======</t>
      </text>
    </comment>
    <comment authorId="0" ref="H207">
      <text>
        <t xml:space="preserve">Remaks : nasabah rreferal , dan rencana akan gunakan Aplikasi. 
- Lokasi usa
ha : Banten, Tanggerang
- Cabang usaha : 1 Outlet
- Kategori usaha (kios/ruko) : Kios
- Perlengkapan :  2 Mesin Cuci, 2 Mesin Pengering 
- Jumlah karyawan : 1 Orang
- Status Training :  Sudah ditraing 
- Info Tambahan :Sudah ditraining.
======</t>
      </text>
    </comment>
    <comment authorId="0" ref="H46">
      <text>
        <t xml:space="preserve">708
======</t>
      </text>
    </comment>
    <comment authorId="0" ref="AF37">
      <text>
        <t xml:space="preserve">======
ID#AAABz_pGwJ0
    (2026-02-10 04:47:07)
TIDAK TOP UP</t>
      </text>
    </comment>
    <comment authorId="0" ref="BN36">
      <text>
        <t xml:space="preserve">Tidak Masuk File CMO
======</t>
      </text>
    </comment>
  </commentList>
  <extLst>
    <ext uri="GoogleSheetsCustomDataVersion2">
      <go:sheetsCustomData xmlns:go="http://customooxmlschemas.google.com/" r:id="rId1" roundtripDataSignature="AMtx7mhlWQkiCNtCrWSEQwthrMRW+l5YS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62">
      <text>
        <t xml:space="preserve">======
ID#AAABz_pGwP0
    (2026-02-10 04:47:07)
TIDAK TOP UP</t>
      </text>
    </comment>
    <comment authorId="0" ref="P79">
      <text>
        <t xml:space="preserve">======
ID#AAABz_pGwJI
    (2026-02-10 04:47:07)
top up saldo oleh nasabah</t>
      </text>
    </comment>
    <comment authorId="0" ref="H38">
      <text>
        <t xml:space="preserve">======
ID#AAABz_pGwII
    (2026-02-10 04:47:07)
Usaha Laundry Diruko
*beli peralatan sepaket dengan Aplikasi
*sudah ada karyawannya 
*Fu berlangganan kepada  mitra untuk pembayarannya</t>
      </text>
    </comment>
    <comment authorId="0" ref="AY80">
      <text>
        <t xml:space="preserve">======
ID#AAABz_pGwQ0
    (2026-02-10 04:47:07)
Pencairan Top Up Saldo 11/08/25</t>
      </text>
    </comment>
    <comment authorId="0" ref="AI27">
      <text>
        <t xml:space="preserve">======
ID#AAABz_pGwQI
    (2026-02-10 04:47:07)
TIDAK TOP UP</t>
      </text>
    </comment>
    <comment authorId="0" ref="H30">
      <text>
        <t xml:space="preserve">======
ID#AAABz_pGwOw
    (2026-02-10 04:47:07)
Remaks : Nasabah dari mitra dan sudah ditraining. 
- Lokasi usaha : Deli Serdang, Medan 
- Cabang usaha : 1 Outlet
- Kategori usaha (kios/ruko) : Ruko
- Perlengkapan :  2 Mesin Cuci, 2 Mesin Pengering 
- Jumlah karyawan : 1 Orang
- Status Training :  Sudah ditraing 
- Info Tambahan :  pembelian kertas thermal 20 roll.</t>
      </text>
    </comment>
    <comment authorId="0" ref="AX70">
      <text>
        <t xml:space="preserve">======
ID#AAABz_pGwKM
    (2026-02-10 04:47:07)
pencairan 17/07/25</t>
      </text>
    </comment>
    <comment authorId="0" ref="H57">
      <text>
        <t xml:space="preserve">======
ID#AAABz_pGwQY
    (2026-02-10 04:47:07)
Remaks  
nasabahnya sudah dibantu input data layanan di Aolikasi,.
- Lokasi usaha : Bali, Denpasar
- Cabang usaha : 1 Outlet
- Kategori usaha (kios/ruko) : Kios
- Perlengkapan :  3 Mesin Cuci, 3 Mesin Pengering 
- Jumlah karyawan : 1 Orang
- Status Training : 
- Info Tambahan :  mash menggunakan masa trial duluu</t>
      </text>
    </comment>
    <comment authorId="0" ref="AO87">
      <text>
        <t xml:space="preserve">======
ID#AAABz_pGwMQ
    (2026-02-10 04:47:07)
Tidak di cairkan karna pic nya sudah tidak ada lagi, info dari bapak by pic:lidya 
fu devi to lidya 23/07/25</t>
      </text>
    </comment>
    <comment authorId="0" ref="H53">
      <text>
        <t xml:space="preserve">======
ID#AAABz_pGwNM
    (2026-02-10 04:47:07)
*nasabah Baru Buka  usaha
*Buka di semarang
*nasabah mitra 
masih gunakan trial</t>
      </text>
    </comment>
    <comment authorId="0" ref="H14">
      <text>
        <t xml:space="preserve">======
ID#AAABz_pGwNs
    (2026-02-10 04:47:07)
belum aktivasi</t>
      </text>
    </comment>
    <comment authorId="0" ref="AQ48">
      <text>
        <t xml:space="preserve">======
ID#AAABz_pGwJA
    (2026-02-10 04:47:07)
di cairkan tgl 23/12/24</t>
      </text>
    </comment>
    <comment authorId="0" ref="P80">
      <text>
        <t xml:space="preserve">======
ID#AAABz_pGwP4
    (2026-02-10 04:47:07)
top up saldo oleh nasabah</t>
      </text>
    </comment>
    <comment authorId="0" ref="H39">
      <text>
        <t xml:space="preserve">======
ID#AAABz_pGwKU
    (2026-02-10 04:47:07)
remaks diskusi.
- Lokasi usaha
- Cabang usaha
- Kategori usaha(ruko/kios)
- Perlengkapan
- Jumlah karyawan
- Info tambahan
remaks diskusi.</t>
      </text>
    </comment>
    <comment authorId="0" ref="AY81">
      <text>
        <t xml:space="preserve">======
ID#AAABz_pGwQk
    (2026-02-10 04:47:07)
Pencairan Top Up Saldo 11/08/25</t>
      </text>
    </comment>
    <comment authorId="0" ref="AX79">
      <text>
        <t xml:space="preserve">======
ID#AAABz_pGwJk
    (2026-02-10 04:47:07)
Pencairan Top Up Saldo 11/08/25</t>
      </text>
    </comment>
    <comment authorId="0" ref="H29">
      <text>
        <t xml:space="preserve">======
ID#AAABz_pGwLI
    (2026-02-10 04:47:07)
remaks diskusi.
Sudah brangganan  dan sudah digunakan di usaha laundrynya 
- Lokasi usaha: medan, sumatera utara 
- Cabang usaha: 1
- Kategori usaha(ruko/kios) : Kios
- Perlengkapan: 3 set mesin
-Jumlah karyawan: 2
- Info tambahan</t>
      </text>
    </comment>
    <comment authorId="0" ref="AX69">
      <text>
        <t xml:space="preserve">======
ID#AAABz_pGwJs
    (2026-02-10 04:47:07)
pencairan 17/07/25</t>
      </text>
    </comment>
    <comment authorId="0" ref="H89">
      <text>
        <t xml:space="preserve">======
ID#AAABz_pGwOE
    (2026-02-10 04:47:07)
nasabah peralihan dari kak septi ke kak yuni tanggal 05/11/24</t>
      </text>
    </comment>
    <comment authorId="0" ref="H56">
      <text>
        <t xml:space="preserve">======
ID#AAABz_pGwM4
    (2026-02-10 04:47:07)
Nasabah MItra 
-lokasi usaha: Bali, Denpasar
-cabang usaha: 1
-kategori usaha(kios/ruko) : kios 
-perlengkapan : 
-jumlah karyawan: 2 orang 
-info tambahan
Usaha Laundrynya di handel sama anaknya dan saudaranya. 
remaks diskusi.
Sudah berlangganan plikasi piposmartnya</t>
      </text>
    </comment>
    <comment authorId="0" ref="AO88">
      <text>
        <t xml:space="preserve">======
ID#AAABz_pGwQU
    (2026-02-10 04:47:07)
Tidak di cairkan karna pic nya sudah tidak ada lagi, info dari bapak by pic:lidya</t>
      </text>
    </comment>
    <comment authorId="0" ref="H52">
      <text>
        <t xml:space="preserve">======
ID#AAABz_pGwOo
    (2026-02-10 04:47:07)
Remaks  
nasabahnya sudah dibantu input data layanan di Aolikasi,.
- Lokasi usaha : Jakarta, Dki Jakarta 
- Cabang usaha : 1 Outlet
- Kategori usaha (kios/ruko) : Kios
- Perlengkapan :  3 Mesin Cuci, 3 Mesin Pengering 
- Jumlah karyawan : 1 Orang
- Status Training : 
- Info Tambahan :</t>
      </text>
    </comment>
    <comment authorId="0" ref="AJ47">
      <text>
        <t xml:space="preserve">======
ID#AAABz_pGwMA
    (2026-02-10 04:47:07)
di cairkan tgl 23/12/24</t>
      </text>
    </comment>
    <comment authorId="0" ref="AG74">
      <text>
        <t xml:space="preserve">======
ID#AAABz_pGwLM
    (2026-02-10 04:47:07)
Tidak Top Up</t>
      </text>
    </comment>
    <comment authorId="0" ref="AP49">
      <text>
        <t xml:space="preserve">======
ID#AAABz_pGwOQ
    (2026-02-10 04:47:07)
di cairkan tgl 23/12/24</t>
      </text>
    </comment>
    <comment authorId="0" ref="H46">
      <text>
        <t xml:space="preserve">======
ID#AAABz_pGwPw
    (2026-02-10 04:47:07)
LAUNDRY WARNA WARNI</t>
      </text>
    </comment>
    <comment authorId="0" ref="P81">
      <text>
        <t xml:space="preserve">======
ID#AAABz_pGwPE
    (2026-02-10 04:47:07)
top up saldo oleh nasabah</t>
      </text>
    </comment>
  </commentList>
  <extLst>
    <ext uri="GoogleSheetsCustomDataVersion2">
      <go:sheetsCustomData xmlns:go="http://customooxmlschemas.google.com/" r:id="rId1" roundtripDataSignature="AMtx7mj42KrPlfFXgyt70KlSO4/fJH8uv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26">
      <text>
        <t xml:space="preserve">======
ID#AAABz_pGwJc
    (2026-02-10 04:47:07)
di cairkan tgl 23/12/24</t>
      </text>
    </comment>
    <comment authorId="0" ref="J24">
      <text>
        <t xml:space="preserve">======
ID#AAABz_pGwIA
    (2026-02-10 04:47:07)
LAUNDRY WARNA WARNI</t>
      </text>
    </comment>
    <comment authorId="0" ref="AI13">
      <text>
        <t xml:space="preserve">======
ID#AAABz_pGwPM
    (2026-02-10 04:47:07)
TIDAK TOP UP</t>
      </text>
    </comment>
    <comment authorId="0" ref="AJ25">
      <text>
        <t xml:space="preserve">======
ID#AAABz_pGwMc
    (2026-02-10 04:47:07)
di cairkan tgl 23/12/24</t>
      </text>
    </comment>
    <comment authorId="0" ref="AE34">
      <text>
        <t xml:space="preserve">======
ID#AAABz_pGwMI
    (2026-02-10 04:47:07)
TIDAK TOP UP</t>
      </text>
    </comment>
    <comment authorId="0" ref="J28">
      <text>
        <t xml:space="preserve">======
ID#AAABz_pGwH4
    (2026-02-10 04:47:07)
Usaha Laundry Diruko
*beli peralatan sepaket dengan Aplikasi
*sudah ada karyawannya 
*Fu berlangganan kepada  mitra untuk pembayarannya</t>
      </text>
    </comment>
    <comment authorId="0" ref="AP27">
      <text>
        <t xml:space="preserve">======
ID#AAABz_pGwKg
    (2026-02-10 04:47:07)
di cairkan tgl 23/12/24</t>
      </text>
    </comment>
  </commentList>
  <extLst>
    <ext uri="GoogleSheetsCustomDataVersion2">
      <go:sheetsCustomData xmlns:go="http://customooxmlschemas.google.com/" r:id="rId1" roundtripDataSignature="AMtx7mhPTX3tmOdm3aZ9azo9N9Od4KUpP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4">
      <text>
        <t xml:space="preserve">======
ID#AAABz_pGwL0
    (2026-02-10 04:47:07)
Tidak Top Up</t>
      </text>
    </comment>
  </commentList>
  <extLst>
    <ext uri="GoogleSheetsCustomDataVersion2">
      <go:sheetsCustomData xmlns:go="http://customooxmlschemas.google.com/" r:id="rId1" roundtripDataSignature="AMtx7miH8wEyp3qjtwH2BmUs74yNYxc8EA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======
ID#AAABz_pGwK0
    (2026-02-10 04:47:07)
nasabah peralihan dari kak septi ke kak yuni tanggal 05/11/24</t>
      </text>
    </comment>
  </commentList>
  <extLst>
    <ext uri="GoogleSheetsCustomDataVersion2">
      <go:sheetsCustomData xmlns:go="http://customooxmlschemas.google.com/" r:id="rId1" roundtripDataSignature="AMtx7mgswYiUBAc+jb8Y/2iSouw2YyQAG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G17">
      <text>
        <t xml:space="preserve">======
ID#AAABz_pGwOM
    (2026-02-10 04:47:07)
TIDAK TOP UP</t>
      </text>
    </comment>
    <comment authorId="0" ref="X7">
      <text>
        <t xml:space="preserve">======
ID#AAABz_pGwKI
    (2026-02-10 04:47:07)
TIDAK TOP UP</t>
      </text>
    </comment>
    <comment authorId="0" ref="AD12">
      <text>
        <t xml:space="preserve">======
ID#AAABz_pGwMY
    (2026-02-10 04:47:07)
TIDAK TOP UP</t>
      </text>
    </comment>
    <comment authorId="0" ref="AG8">
      <text>
        <t xml:space="preserve">======
ID#AAABz_pGwQo
    (2026-02-10 04:47:07)
TIDAK TOP UP</t>
      </text>
    </comment>
  </commentList>
  <extLst>
    <ext uri="GoogleSheetsCustomDataVersion2">
      <go:sheetsCustomData xmlns:go="http://customooxmlschemas.google.com/" r:id="rId1" roundtripDataSignature="AMtx7mg89HVOFhLRatVsutbsbt7FVxetI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2">
      <text>
        <t xml:space="preserve">======
ID#AAABz_pGwO0
    (2026-02-10 04:47:07)
TIDAK TOP UP</t>
      </text>
    </comment>
    <comment authorId="0" ref="AB10">
      <text>
        <t xml:space="preserve">======
ID#AAABz_pGwQs
    (2026-02-10 04:47:07)
TIDAK TOP UP</t>
      </text>
    </comment>
    <comment authorId="0" ref="AC27">
      <text>
        <t xml:space="preserve">======
ID#AAABz_pGwNk
    (2026-02-10 04:47:07)
TIDAK TOP UP</t>
      </text>
    </comment>
    <comment authorId="0" ref="L36">
      <text>
        <t xml:space="preserve">======
ID#AAABz_pGwIY
    (2026-02-10 04:47:07)
belum aktivasi</t>
      </text>
    </comment>
    <comment authorId="0" ref="AF23">
      <text>
        <t xml:space="preserve">======
ID#AAABz_pGwIo
    (2026-02-10 04:47:07)
TIDAK TOP UP</t>
      </text>
    </comment>
    <comment authorId="0" ref="AE36">
      <text>
        <t xml:space="preserve">======
ID#AAABz_pGwKY
    (2026-02-10 04:47:07)
BELUM AKTIVASI</t>
      </text>
    </comment>
    <comment authorId="0" ref="X12">
      <text>
        <t xml:space="preserve">======
ID#AAABz_pGwLc
    (2026-02-10 04:47:07)
TIDAK TOP UP</t>
      </text>
    </comment>
    <comment authorId="0" ref="X9">
      <text>
        <t xml:space="preserve">======
ID#AAABz_pGwLw
    (2026-02-10 04:47:07)
TIDAK TOP UP</t>
      </text>
    </comment>
  </commentList>
  <extLst>
    <ext uri="GoogleSheetsCustomDataVersion2">
      <go:sheetsCustomData xmlns:go="http://customooxmlschemas.google.com/" r:id="rId1" roundtripDataSignature="AMtx7mhhlDxePq5dhWUrRwZcVumZNG/u2Q=="/>
    </ext>
  </extLst>
</comments>
</file>

<file path=xl/sharedStrings.xml><?xml version="1.0" encoding="utf-8"?>
<sst xmlns="http://schemas.openxmlformats.org/spreadsheetml/2006/main" count="7216" uniqueCount="1138">
  <si>
    <t>a</t>
  </si>
  <si>
    <t>No</t>
  </si>
  <si>
    <t>CMO</t>
  </si>
  <si>
    <t>MITRA</t>
  </si>
  <si>
    <t>Kategori Mitra</t>
  </si>
  <si>
    <t>Tanggal Kerjasama</t>
  </si>
  <si>
    <t>Kode Owner</t>
  </si>
  <si>
    <t xml:space="preserve">Nama </t>
  </si>
  <si>
    <t>Nama Brand / Outlet</t>
  </si>
  <si>
    <t>No Hp</t>
  </si>
  <si>
    <t>Email</t>
  </si>
  <si>
    <t xml:space="preserve">Kecamatan </t>
  </si>
  <si>
    <t>Kabupaten/Kota</t>
  </si>
  <si>
    <t>Provinsi</t>
  </si>
  <si>
    <t>Alamat</t>
  </si>
  <si>
    <t>Atas Nama</t>
  </si>
  <si>
    <t>No Rekening</t>
  </si>
  <si>
    <t>Nama Bank</t>
  </si>
  <si>
    <t>Jumlah Referral</t>
  </si>
  <si>
    <t xml:space="preserve">PIC </t>
  </si>
  <si>
    <t>PIC 2</t>
  </si>
  <si>
    <t>SHARE CMO</t>
  </si>
  <si>
    <t>FRANCHISE (Jual Brand Usaha)</t>
  </si>
  <si>
    <t>FRENCHISE</t>
  </si>
  <si>
    <t>leny</t>
  </si>
  <si>
    <t>Get Laundry RMJ</t>
  </si>
  <si>
    <t>087777139459</t>
  </si>
  <si>
    <t>lenidwiyarti321@gmail.com</t>
  </si>
  <si>
    <t>Kec. Serpong</t>
  </si>
  <si>
    <t>Kota Tangerang Selatan</t>
  </si>
  <si>
    <t>Banten</t>
  </si>
  <si>
    <t>ln. Ciater Rt 004/Rw 022, Kel. Rawa Buntu Kec. Serpong, Kota Tangerang Selatan, Banten</t>
  </si>
  <si>
    <t>Top Up Saldo</t>
  </si>
  <si>
    <t>Lidya</t>
  </si>
  <si>
    <t>Intan</t>
  </si>
  <si>
    <t>Ayu Widyasari primanda</t>
  </si>
  <si>
    <t>HAWP LAUNDRY</t>
  </si>
  <si>
    <t>082197946038</t>
  </si>
  <si>
    <t>ayuwidyasariprimanda000@gmail.com</t>
  </si>
  <si>
    <t>Kec. Sukmajaya</t>
  </si>
  <si>
    <t>Kota Depok</t>
  </si>
  <si>
    <t>Jawa Barat</t>
  </si>
  <si>
    <t>jln kemang swatama, gg H Tarin no 28, Kel/Kec Sukmajaya Depok</t>
  </si>
  <si>
    <t>REFERAL (Berlangganan)</t>
  </si>
  <si>
    <t>REFERRAL</t>
  </si>
  <si>
    <t>Sugiana</t>
  </si>
  <si>
    <t>Indah Express Laundry</t>
  </si>
  <si>
    <t>082147446756</t>
  </si>
  <si>
    <t>ndahtari7@gmail.com</t>
  </si>
  <si>
    <t>Denpasar Selatan</t>
  </si>
  <si>
    <t>Kota Denpasar</t>
  </si>
  <si>
    <t>Bali</t>
  </si>
  <si>
    <t>Danau tempe no.35 sanur kecamatan Denpasar Selatan</t>
  </si>
  <si>
    <t>Citra Halim</t>
  </si>
  <si>
    <t>Citra Laundry</t>
  </si>
  <si>
    <t xml:space="preserve">08174885266
</t>
  </si>
  <si>
    <t>citra.halim1@gmail.com</t>
  </si>
  <si>
    <t>Tanjung Duren Selatan</t>
  </si>
  <si>
    <t>Kota Jakarta Barat</t>
  </si>
  <si>
    <t>Dki Jakarta</t>
  </si>
  <si>
    <t>Jl. Tanjung Duren Timur Raya Gang Mandalika, Kota Jakarta Barat, Dki Jakarta</t>
  </si>
  <si>
    <t>farhan alfatan</t>
  </si>
  <si>
    <t>082125008245</t>
  </si>
  <si>
    <t>rabbittank02@gmail.com</t>
  </si>
  <si>
    <t>Kec. Banyusari</t>
  </si>
  <si>
    <t>Kab. Karawang</t>
  </si>
  <si>
    <t>kp.krajan1 ds.jayamukti kec.banyusari kab.karawang</t>
  </si>
  <si>
    <t>Budi Santo</t>
  </si>
  <si>
    <t>sahabat laundry</t>
  </si>
  <si>
    <t>082174637062</t>
  </si>
  <si>
    <t>sahabatlaundrybaru@gmail.com</t>
  </si>
  <si>
    <t>Cikampek</t>
  </si>
  <si>
    <t>jln pertokoan stasiun cikampek nmr 2, Kab. Karawang, Jawa Barat</t>
  </si>
  <si>
    <t>DIGNITY SINAGA</t>
  </si>
  <si>
    <t>DIGNITY LAUNDRY</t>
  </si>
  <si>
    <t>0811620080</t>
  </si>
  <si>
    <t>sachio3008@gmail.com</t>
  </si>
  <si>
    <t>Tangerang</t>
  </si>
  <si>
    <t>Kota Tangerang</t>
  </si>
  <si>
    <t>Tanggerang, Cikokol, Tangerang, Banten</t>
  </si>
  <si>
    <t>Rahmawaty Madjid</t>
  </si>
  <si>
    <t>Aroma Palopo / NETTO LAUNDRY</t>
  </si>
  <si>
    <t>08114220487</t>
  </si>
  <si>
    <t>aromapaloponmie@gmail.com</t>
  </si>
  <si>
    <t>Kadia</t>
  </si>
  <si>
    <t>Kota Kendari</t>
  </si>
  <si>
    <t>Sulawesi Tenggara</t>
  </si>
  <si>
    <t>Food Court The Park,Kadia,Kota Kendari,Sulawesi Tenggara</t>
  </si>
  <si>
    <t>APRILIA</t>
  </si>
  <si>
    <t>SHARENA LAUNDRY</t>
  </si>
  <si>
    <t>085210108123</t>
  </si>
  <si>
    <t>apinkcalen@gmail.com</t>
  </si>
  <si>
    <t>Kec. Cakung</t>
  </si>
  <si>
    <t>Kota Jakarta Timur</t>
  </si>
  <si>
    <t xml:space="preserve">JL H.R ISMAIL RT 08 RW 03 JATINEGARA CAKUNG JAKARTA TIMUR </t>
  </si>
  <si>
    <t>0940964237</t>
  </si>
  <si>
    <t>BCA</t>
  </si>
  <si>
    <t>Kasih Laundry Siantar</t>
  </si>
  <si>
    <t>Kasih Laundry</t>
  </si>
  <si>
    <t>0859106762310</t>
  </si>
  <si>
    <t>kasihlaundrysiantar@gmail.com</t>
  </si>
  <si>
    <t>Bukit Shofa</t>
  </si>
  <si>
    <t>Kota Pematang Siantar</t>
  </si>
  <si>
    <t>Sumatera Utara</t>
  </si>
  <si>
    <t xml:space="preserve">Jl.Sisingamangaraja, No.15, Bukit Sofa, Siantar Sitalasari, Pematang Siantar </t>
  </si>
  <si>
    <t>Kilo Laundry</t>
  </si>
  <si>
    <t>Kilo Laundry Singosari</t>
  </si>
  <si>
    <t>087866932707</t>
  </si>
  <si>
    <t>deanathaniaardita96@gmail.com</t>
  </si>
  <si>
    <t>Kec. Singosari</t>
  </si>
  <si>
    <t>Kab. Malang</t>
  </si>
  <si>
    <t xml:space="preserve">Jawa Timur </t>
  </si>
  <si>
    <t xml:space="preserve">Jl raya mondoroko, Mondoroko, Singosari, Kec. Singosari, Kabupaten Malang, Jawa Timur </t>
  </si>
  <si>
    <t>0881632747</t>
  </si>
  <si>
    <t>Orlando Manalu</t>
  </si>
  <si>
    <t>LAUNDRY KITA</t>
  </si>
  <si>
    <t>085163695628</t>
  </si>
  <si>
    <t>orlandomanalu0@gmail.com</t>
  </si>
  <si>
    <t>Kec. Siantar</t>
  </si>
  <si>
    <t>Kab. Simalungun</t>
  </si>
  <si>
    <t>Jl. Asahan,KM 3,5. Pematang Simalungun, Kec. Siantar, Kabupaten Simalungun, Sumatera Utara 21151(Komplek Graha Asahan Gold)</t>
  </si>
  <si>
    <t>Abi Hafidz</t>
  </si>
  <si>
    <t>AZZAHRO LAUNDRY ٣٨ CIKANDE</t>
  </si>
  <si>
    <t>085217955565</t>
  </si>
  <si>
    <t>noer.underbon9048@gmail.com</t>
  </si>
  <si>
    <t>Kec. Cikande</t>
  </si>
  <si>
    <t>Kab. Serang</t>
  </si>
  <si>
    <t>kp.Gegong burung Rt 02/02 Desa situterate Kec. Cikande Kabupaten SERANG BANTEN  kode pos 42186</t>
  </si>
  <si>
    <t>-</t>
  </si>
  <si>
    <t>Selly Andini</t>
  </si>
  <si>
    <t>Sultan Laundry. co</t>
  </si>
  <si>
    <t>082297051345</t>
  </si>
  <si>
    <t>Sellyandini15@yahoo.com</t>
  </si>
  <si>
    <t>Tanggerang</t>
  </si>
  <si>
    <t>Jln. Duta Raya, Perumahan Taman Cibodas, Blok H1 No.2, Tanggerang</t>
  </si>
  <si>
    <t>6250379160</t>
  </si>
  <si>
    <t>Mei</t>
  </si>
  <si>
    <t>Ahmad Kamal Dahlan</t>
  </si>
  <si>
    <t>Zona Laundry Mamuju</t>
  </si>
  <si>
    <t>085213159125</t>
  </si>
  <si>
    <t>kamaldoremi@gmail.com</t>
  </si>
  <si>
    <t>Kec. Simboro</t>
  </si>
  <si>
    <t>Kab. Mamuju</t>
  </si>
  <si>
    <t>Sulawesi Barat</t>
  </si>
  <si>
    <t>Jl. Martadinata Mamuju, Kab. Mamuju</t>
  </si>
  <si>
    <t>305401020779530</t>
  </si>
  <si>
    <t>BRI</t>
  </si>
  <si>
    <t>Atik Nurbayati</t>
  </si>
  <si>
    <t>Delisha Laundry</t>
  </si>
  <si>
    <t>081259819220</t>
  </si>
  <si>
    <t>atiknurbayati@gmail.com</t>
  </si>
  <si>
    <t>Kec.Sedati Gede</t>
  </si>
  <si>
    <t>Kab. Sidoarjo</t>
  </si>
  <si>
    <t xml:space="preserve">Jl.By Pass Bandara Juanda 35 Sedati Sidoarjo </t>
  </si>
  <si>
    <t>6670332641</t>
  </si>
  <si>
    <t xml:space="preserve">September </t>
  </si>
  <si>
    <t>Tengku ariani</t>
  </si>
  <si>
    <t>Mame Laundry</t>
  </si>
  <si>
    <t>081275566111</t>
  </si>
  <si>
    <t>tengkuariani20@gmail.com</t>
  </si>
  <si>
    <t>Kab. Deli Serdang</t>
  </si>
  <si>
    <t>jalan tani asli gang Samin sebelah kolam renang Wira kel.purwodadi  kec.sunggal kab.deli Serdang Sumatera Utara</t>
  </si>
  <si>
    <t>Top up Saldo Aplikasi</t>
  </si>
  <si>
    <t>AFILIASI (Perlengkapan  Ex. Mesin</t>
  </si>
  <si>
    <t>PERLENGKAPAN</t>
  </si>
  <si>
    <t>Harapan</t>
  </si>
  <si>
    <t>Expert laundry (Raja Setrika)</t>
  </si>
  <si>
    <t>081264984318</t>
  </si>
  <si>
    <t>daarun18@gmail.com</t>
  </si>
  <si>
    <t>Medan Kota</t>
  </si>
  <si>
    <t>Kota Medan</t>
  </si>
  <si>
    <t xml:space="preserve">Jl Pelajar Timur No.157B, kel.Teladan Timur, Kec.Medan kota, kota Medan, Sumatera Utara </t>
  </si>
  <si>
    <t>Nurul</t>
  </si>
  <si>
    <t>PT. Alfatih Tech Utama</t>
  </si>
  <si>
    <t>089662321780</t>
  </si>
  <si>
    <t>Jagakarsa</t>
  </si>
  <si>
    <t>Jakarta Selatan</t>
  </si>
  <si>
    <t>Dki Jakarta</t>
  </si>
  <si>
    <t>Jl. Komp. Desa Putera No.1, RT.7/RW.5, Srengseng Sawah, Kec. Jagakarsa, Kota Jakarta Selatan, DKI Jakarta</t>
  </si>
  <si>
    <t>4212659928</t>
  </si>
  <si>
    <t>MIKAIL ELECTRONIK</t>
  </si>
  <si>
    <t>081211542249</t>
  </si>
  <si>
    <t>Grogol Selatan</t>
  </si>
  <si>
    <t>Jl. Persatuan Amal Mulia No. 25b, RT.5/RW.13, Grogol Sel., Jakarta, Kota Jakarta Selatan</t>
  </si>
  <si>
    <t>708501008072539</t>
  </si>
  <si>
    <t>KG TEKNIK BATAM</t>
  </si>
  <si>
    <t>081364050429</t>
  </si>
  <si>
    <t>amiraizati01@gmail.com</t>
  </si>
  <si>
    <t>Batam Kota</t>
  </si>
  <si>
    <t>Kota Batam</t>
  </si>
  <si>
    <t>Kepulauan Riau</t>
  </si>
  <si>
    <t>Ruko Puri Legenda Blok C2 No 02-03 Batam Centre</t>
  </si>
  <si>
    <t>1090019010180</t>
  </si>
  <si>
    <t>MANDIRI</t>
  </si>
  <si>
    <t>Taufik</t>
  </si>
  <si>
    <t>CV Kinsa Niaga Sukses</t>
  </si>
  <si>
    <t>081213970585</t>
  </si>
  <si>
    <t>chisa.qb@gmail.com</t>
  </si>
  <si>
    <t>Kec. Cibarusah</t>
  </si>
  <si>
    <t>Kab. Bekasi</t>
  </si>
  <si>
    <t>Perumahan Cibarusah Indah Blok e23 No.4 Cibarusah Kota Kab. Bekasi Patokan sebelum masuk perumahan ada gapura dekat dengan mesjid perahu, Kec. Cibarusah, Jawa Barat 17340</t>
  </si>
  <si>
    <t>CV KINSA NIAGA SUKSES</t>
  </si>
  <si>
    <t xml:space="preserve">6880445471/6881294653 </t>
  </si>
  <si>
    <t xml:space="preserve">Ismail Akbar </t>
  </si>
  <si>
    <t xml:space="preserve">Akbar Laundry </t>
  </si>
  <si>
    <t>085251394079</t>
  </si>
  <si>
    <t>ismail2015648@gmail.com</t>
  </si>
  <si>
    <t>Sungai Bangkong</t>
  </si>
  <si>
    <t>Kota Pontianak</t>
  </si>
  <si>
    <t>Kalimantan Barat</t>
  </si>
  <si>
    <t>jln dr Sutomo GG karya 1 no 78 Akbar Laundry dan Service Pontianak Kalimantan barat
Jl. Dr. Sutomo, Gg. Karya 1 No. 78Kota Pontianak, Kalimantan Barat</t>
  </si>
  <si>
    <t>Heriwati, Givoni</t>
  </si>
  <si>
    <t>Givoni</t>
  </si>
  <si>
    <t>Ade Syahputra</t>
  </si>
  <si>
    <t>Key Loundry/AAdelia store</t>
  </si>
  <si>
    <t>085270356833</t>
  </si>
  <si>
    <t>papakey1708@gmail.com</t>
  </si>
  <si>
    <t>Sei Semayang</t>
  </si>
  <si>
    <t>jln mesjid dusun 1 aman damai,Sei Semayang,Kab. Deli Serdang,Sumatera Utara</t>
  </si>
  <si>
    <t xml:space="preserve">Pak NANANG </t>
  </si>
  <si>
    <t xml:space="preserve">Junior Laundry </t>
  </si>
  <si>
    <t>087786116755</t>
  </si>
  <si>
    <t>nanangjunior232@gmail.com</t>
  </si>
  <si>
    <t>Grogol</t>
  </si>
  <si>
    <t>Kab. Sukoharjo</t>
  </si>
  <si>
    <t>Jawa Tengah</t>
  </si>
  <si>
    <t>Jl. Parangkesit, RT 02 / RW 17, Ngruki, Cemani, Grogol, Sukoharjo, Jawa Tengah</t>
  </si>
  <si>
    <t xml:space="preserve">Pak Medi </t>
  </si>
  <si>
    <t>BMG Laundry</t>
  </si>
  <si>
    <t>Mulya Sari</t>
  </si>
  <si>
    <t>mulya jaya abadi</t>
  </si>
  <si>
    <t>0813833788860</t>
  </si>
  <si>
    <t>mulyasari992@gmail.com</t>
  </si>
  <si>
    <t>Cempaka Putih</t>
  </si>
  <si>
    <t>Kota Jakarta Pusat</t>
  </si>
  <si>
    <t>jl.cempaka putih tengah 1 no 10 a</t>
  </si>
  <si>
    <t xml:space="preserve"> Yendri Yusman</t>
  </si>
  <si>
    <t xml:space="preserve">Dhiva Laundry </t>
  </si>
  <si>
    <t>081238802987</t>
  </si>
  <si>
    <t>makmur0902@gmail.com</t>
  </si>
  <si>
    <t>Medan Maimun</t>
  </si>
  <si>
    <t>Jl. Brigjen katamso, Kel.Kampung Baru, Kec.Medan Maimun, Kota Medan, Sumatera Utara</t>
  </si>
  <si>
    <t xml:space="preserve">Mohacmad Hadi </t>
  </si>
  <si>
    <t xml:space="preserve">PUTRA  TEKNIK SEMARANG </t>
  </si>
  <si>
    <t>087718146514</t>
  </si>
  <si>
    <t>alifjunior210@gmail.com</t>
  </si>
  <si>
    <t>Semarang</t>
  </si>
  <si>
    <t>jl. Bukit Palem Kipas Blok 7, Semarang, Jawa Tengah</t>
  </si>
  <si>
    <t>2</t>
  </si>
  <si>
    <t>Adip</t>
  </si>
  <si>
    <t xml:space="preserve">ADIP LAUNDRY  SEMARANG </t>
  </si>
  <si>
    <t>081575502277</t>
  </si>
  <si>
    <t>Beta Nurry Damayanti</t>
  </si>
  <si>
    <t>Deter_gent Laundry</t>
  </si>
  <si>
    <t>081252347769</t>
  </si>
  <si>
    <t>@detergentlaundry_official</t>
  </si>
  <si>
    <t>Lowokwaru</t>
  </si>
  <si>
    <t>Kota Malang</t>
  </si>
  <si>
    <t>Jawa Timur</t>
  </si>
  <si>
    <t>Jln Simp.Pandan Arum No 2 RT 01 RW 02, Desa/Kel. Jatimulyo,</t>
  </si>
  <si>
    <t xml:space="preserve">joko Widodo daulay </t>
  </si>
  <si>
    <t>Adira laundry expres</t>
  </si>
  <si>
    <t>082181303164</t>
  </si>
  <si>
    <t>askaraputradaulay@gmail.com</t>
  </si>
  <si>
    <t>Kisaran Timur</t>
  </si>
  <si>
    <t>Kab. Asahan</t>
  </si>
  <si>
    <t>Jalan kakak Tua, kisaran. Kab. Asahan,Sumatera Utara</t>
  </si>
  <si>
    <t>BNI</t>
  </si>
  <si>
    <t>Adi Prayitno</t>
  </si>
  <si>
    <t>Inches Laundry Express</t>
  </si>
  <si>
    <t>082110007816</t>
  </si>
  <si>
    <t>adiprayitno754@gmail.com</t>
  </si>
  <si>
    <t>Sungai Jawi</t>
  </si>
  <si>
    <t xml:space="preserve">Jl. Tabrani Ahmad, Pontianak, kalimantan Barat </t>
  </si>
  <si>
    <t>Elisabeth</t>
  </si>
  <si>
    <t xml:space="preserve">Baladewa Laundry </t>
  </si>
  <si>
    <t>089639843456</t>
  </si>
  <si>
    <t>dhinidhini893@gmail.com</t>
  </si>
  <si>
    <t>Puseurjaya</t>
  </si>
  <si>
    <t>Jl. Menati 1 No.27 Puserjaya Kec. Telukjambe Timur Kab. Karawang</t>
  </si>
  <si>
    <t xml:space="preserve">Riendi Pratama </t>
  </si>
  <si>
    <t>Adrienu laundry</t>
  </si>
  <si>
    <t>081295989384</t>
  </si>
  <si>
    <t>riendi.pratama@gmail.com</t>
  </si>
  <si>
    <t>Padangsambian Klod</t>
  </si>
  <si>
    <t>Padangsambian,Kota Denpasar Kota Bali, Bali</t>
  </si>
  <si>
    <t>My Laundry</t>
  </si>
  <si>
    <t>Rezky Perdana</t>
  </si>
  <si>
    <t>08116360330</t>
  </si>
  <si>
    <t>superlte4g@gmail.com</t>
  </si>
  <si>
    <t>Tanjung Gusta</t>
  </si>
  <si>
    <t>JL LEMBAGA PEMASYARAKATAN NO 225</t>
  </si>
  <si>
    <t>Rico Yuli Prasetyo</t>
  </si>
  <si>
    <t xml:space="preserve">Raja Laundry </t>
  </si>
  <si>
    <t>O89501299837</t>
  </si>
  <si>
    <t xml:space="preserve">rico.pras09785@gmail.com </t>
  </si>
  <si>
    <t>Surabaya</t>
  </si>
  <si>
    <t>Bendul merisi GG 1 selatan no.59 surabaya</t>
  </si>
  <si>
    <t>9265</t>
  </si>
  <si>
    <t>Adi Muhammadiah</t>
  </si>
  <si>
    <t>CANDU LAUNDRY</t>
  </si>
  <si>
    <t>087796877639</t>
  </si>
  <si>
    <t>muhammadiah99@gmail.com</t>
  </si>
  <si>
    <t>Siantan</t>
  </si>
  <si>
    <t>Kab. Pontianak</t>
  </si>
  <si>
    <t>Jalan Raya Jungkat</t>
  </si>
  <si>
    <t>September 2025</t>
  </si>
  <si>
    <t>14972</t>
  </si>
  <si>
    <t xml:space="preserve">Trimardijati </t>
  </si>
  <si>
    <t>081236885494</t>
  </si>
  <si>
    <t>maya2272@gmail.com</t>
  </si>
  <si>
    <t>Nunbaun Sabu</t>
  </si>
  <si>
    <t>Kota Kupang</t>
  </si>
  <si>
    <t>Nusa Tenggara Timur</t>
  </si>
  <si>
    <t>Jalan Pahlawan No 22</t>
  </si>
  <si>
    <t>Oktober 2025</t>
  </si>
  <si>
    <t xml:space="preserve">Razeco Laundry </t>
  </si>
  <si>
    <t>085361656385</t>
  </si>
  <si>
    <t>emmanputera85@gmail.com</t>
  </si>
  <si>
    <t>Medan selayang</t>
  </si>
  <si>
    <t xml:space="preserve">Perumahan Wijaya kesuma residence no 20. Jl. bunga Wijaya kesuma, kel PB. selayang II kecamatan Medan selayang Kota Medan
</t>
  </si>
  <si>
    <t>Agustus 2024</t>
  </si>
  <si>
    <t>10682</t>
  </si>
  <si>
    <t>Pandapotan</t>
  </si>
  <si>
    <t>TUNTAS TENGGUMUNG</t>
  </si>
  <si>
    <t>082257529696</t>
  </si>
  <si>
    <t>tuntaslaundrytenggumung@gmail.com</t>
  </si>
  <si>
    <t>Wonokusumo</t>
  </si>
  <si>
    <t>Kota Surabaya</t>
  </si>
  <si>
    <t>Jl.Tenggumung Karya Lor No.53</t>
  </si>
  <si>
    <t xml:space="preserve">Agung </t>
  </si>
  <si>
    <t>KING LAUNDRY</t>
  </si>
  <si>
    <t>081260746002</t>
  </si>
  <si>
    <t>Guruh Adi Pratama</t>
  </si>
  <si>
    <t>Doux Laundry</t>
  </si>
  <si>
    <t>082114005032</t>
  </si>
  <si>
    <t>pratamaadiguruh@gmail.com</t>
  </si>
  <si>
    <t>Kebembem Raya No 35 Jagakarsa, Jakarta Selatan, DKI Jakarta</t>
  </si>
  <si>
    <t>Heriwati</t>
  </si>
  <si>
    <t>Novel</t>
  </si>
  <si>
    <t>Julita</t>
  </si>
  <si>
    <t>Kitee_Laundry</t>
  </si>
  <si>
    <t>0822 88381555</t>
  </si>
  <si>
    <t>julita.susanti123@gmail.com</t>
  </si>
  <si>
    <t>Ranai Darat</t>
  </si>
  <si>
    <t>Kab. Natuna</t>
  </si>
  <si>
    <t>JLN. HR SEOBRANTAS RT/RW 002/003 RANAI DARAT</t>
  </si>
  <si>
    <t>Lady</t>
  </si>
  <si>
    <t>Chareel Josua Vandana Maningkas</t>
  </si>
  <si>
    <t>Mercy Laundry</t>
  </si>
  <si>
    <t>087712092001</t>
  </si>
  <si>
    <t>cika.roline777@gmail.com</t>
  </si>
  <si>
    <t>Siopat Suhu</t>
  </si>
  <si>
    <t>Asrama Poltekad Kodiklatad, Kota Pematang Siantar, Sumatera Utara</t>
  </si>
  <si>
    <t>Nurmalatif</t>
  </si>
  <si>
    <t>JOGAN LAUNDRY</t>
  </si>
  <si>
    <t>082191901440</t>
  </si>
  <si>
    <t>noermalatief@gmail.com</t>
  </si>
  <si>
    <t>Medono</t>
  </si>
  <si>
    <t>Kota Pekalongan</t>
  </si>
  <si>
    <t>Perumahan Omah Alit Blok C No.10 Pekalongan, Jawa Tengah</t>
  </si>
  <si>
    <t>Ardiansyah</t>
  </si>
  <si>
    <t>Loundrystore Jambi</t>
  </si>
  <si>
    <t>081395114446</t>
  </si>
  <si>
    <t>Laundrystore.jls@gmail.com</t>
  </si>
  <si>
    <t>Kota Baru</t>
  </si>
  <si>
    <t>Jambi</t>
  </si>
  <si>
    <t>Jl.Ir.H.Juanda No.19 Kel. Simpang Tiga Sipin Kec. Kota Baru Kota Jambi</t>
  </si>
  <si>
    <t>Erika/ M. Iqbal Romzah</t>
  </si>
  <si>
    <t>Many Laundy</t>
  </si>
  <si>
    <t>081802656191</t>
  </si>
  <si>
    <t>iqbalwilianza@gmail.com</t>
  </si>
  <si>
    <t>Gg. Muara IA Tanjung barat jakarta selatan</t>
  </si>
  <si>
    <t>Tri Agustini</t>
  </si>
  <si>
    <t>Bisnis Laundry</t>
  </si>
  <si>
    <t>085266613334</t>
  </si>
  <si>
    <t>trisitompul1608@gmail.com</t>
  </si>
  <si>
    <t>Kec. Kota Baru</t>
  </si>
  <si>
    <t>Kota Jambi</t>
  </si>
  <si>
    <t xml:space="preserve">Jl. Pertdabas RT 26 Blok E07, Kenali Asam Atas, Kec. Kota Baru, Kota Jambi, Jambi
</t>
  </si>
  <si>
    <t>TRI AGUSTINI</t>
  </si>
  <si>
    <t>Muhammad Demas Akira</t>
  </si>
  <si>
    <t>Ali Laundry</t>
  </si>
  <si>
    <t>081809627576</t>
  </si>
  <si>
    <t xml:space="preserve">demasakiram@gmail.com </t>
  </si>
  <si>
    <t>Kec.Barabai</t>
  </si>
  <si>
    <t>Kab.Hulu Sungai Tengah</t>
  </si>
  <si>
    <t>Kalimantan Selatan</t>
  </si>
  <si>
    <t>Jl. Bintara,Kec.Barabai, Kab.Hulu Sungai Tengah, Kalimantan Selatan</t>
  </si>
  <si>
    <t>Kec. Kota Baru, Kota Jambi, Jambi</t>
  </si>
  <si>
    <t>TOTAL MITRA</t>
  </si>
  <si>
    <t>TOTAL REFERRAL</t>
  </si>
  <si>
    <t>List Mitra</t>
  </si>
  <si>
    <t>Nasabah Yang Di Referralkan</t>
  </si>
  <si>
    <t>Berlangganan 2022</t>
  </si>
  <si>
    <t>Bonus Berlangganan 2023</t>
  </si>
  <si>
    <t>Bonus Berlangganan 2024</t>
  </si>
  <si>
    <t>2025</t>
  </si>
  <si>
    <t>2026</t>
  </si>
  <si>
    <t>Akumulasi</t>
  </si>
  <si>
    <t>Nama Owner</t>
  </si>
  <si>
    <t>Nama Brand /Outlet</t>
  </si>
  <si>
    <t>Bukti Fu</t>
  </si>
  <si>
    <t>Kategory Mitra</t>
  </si>
  <si>
    <t>Paket Langganan</t>
  </si>
  <si>
    <t>PIC</t>
  </si>
  <si>
    <t>Link Bukti Follow Up</t>
  </si>
  <si>
    <t>Date Top Up</t>
  </si>
  <si>
    <t xml:space="preserve">Date of Renewal	</t>
  </si>
  <si>
    <t>Status</t>
  </si>
  <si>
    <t>Tanggal Pencairan 1</t>
  </si>
  <si>
    <t>Tanggal Pencairan 2</t>
  </si>
  <si>
    <t>Status Pencairan Komisi Mitra</t>
  </si>
  <si>
    <t>UNPAY</t>
  </si>
  <si>
    <t>Tahap 1</t>
  </si>
  <si>
    <t>Tahap 2</t>
  </si>
  <si>
    <t>PAY</t>
  </si>
  <si>
    <t>TOTAL</t>
  </si>
  <si>
    <t>Get Laundry Villa Pamulang</t>
  </si>
  <si>
    <t>Get Laundry</t>
  </si>
  <si>
    <t>Referral</t>
  </si>
  <si>
    <t>Bisnis 12 Bulan</t>
  </si>
  <si>
    <t xml:space="preserve">Sudah 1 Tahun </t>
  </si>
  <si>
    <t>Selesai Dicairkan</t>
  </si>
  <si>
    <t>FINISH</t>
  </si>
  <si>
    <t>15516</t>
  </si>
  <si>
    <t>obby/ mama laundry</t>
  </si>
  <si>
    <t>laundry/mama laundry</t>
  </si>
  <si>
    <t>https://drive.google.com/file/d/1Vb5EJJZ2sZI5jQHpWT0um2fSt4v_4OSt/view?usp=sharing</t>
  </si>
  <si>
    <t>13966</t>
  </si>
  <si>
    <t>Laundryin Sini</t>
  </si>
  <si>
    <t>Laundry In Sini</t>
  </si>
  <si>
    <t>Corporate Paket Bisnis</t>
  </si>
  <si>
    <t>Belum Dicairkan</t>
  </si>
  <si>
    <t>Share CMO</t>
  </si>
  <si>
    <t>Viva Yuniarti</t>
  </si>
  <si>
    <t>Dilvio Laundry</t>
  </si>
  <si>
    <t>Frenki Hardjono</t>
  </si>
  <si>
    <t>rejeki laundry</t>
  </si>
  <si>
    <t>Bisnis 6 Bulan</t>
  </si>
  <si>
    <t>US</t>
  </si>
  <si>
    <t>Windi</t>
  </si>
  <si>
    <t>altha laundry</t>
  </si>
  <si>
    <t>Basic 1 Bulan</t>
  </si>
  <si>
    <t>Laundry Geulis</t>
  </si>
  <si>
    <t>geulis laundry</t>
  </si>
  <si>
    <t>Basic 12 Bulan</t>
  </si>
  <si>
    <t>juragan laundry</t>
  </si>
  <si>
    <t>Bisnis 1 Bulan</t>
  </si>
  <si>
    <t>Sudah 1 Tahun</t>
  </si>
  <si>
    <t>Dicairkan Sebagian</t>
  </si>
  <si>
    <t>Yadi Mulyawarman</t>
  </si>
  <si>
    <t>Ceuk Mamah/Ceuk Mamah Doel</t>
  </si>
  <si>
    <t>Asep Sugianto</t>
  </si>
  <si>
    <t>Akang Laundry</t>
  </si>
  <si>
    <t>Tini Hendriyani</t>
  </si>
  <si>
    <t>juragan laundry pabuaran</t>
  </si>
  <si>
    <t>12245</t>
  </si>
  <si>
    <t>Neng gemoy</t>
  </si>
  <si>
    <t>Eneng gemoy</t>
  </si>
  <si>
    <t>Yogi Lumban Tobing</t>
  </si>
  <si>
    <t>BAR LAUNDRY</t>
  </si>
  <si>
    <t>Rama Purba</t>
  </si>
  <si>
    <t>RAMA LAUNDRY</t>
  </si>
  <si>
    <t>Mieke Simamora</t>
  </si>
  <si>
    <t>Gwen Laundry</t>
  </si>
  <si>
    <t>Dolok Manullang</t>
  </si>
  <si>
    <t>Dr Laundry</t>
  </si>
  <si>
    <t>irwan derano parulian sinaga</t>
  </si>
  <si>
    <t>monang londry</t>
  </si>
  <si>
    <t>Belum 1 Tahun</t>
  </si>
  <si>
    <t>Nanci Siregar</t>
  </si>
  <si>
    <t>MALONA LAUNDRY</t>
  </si>
  <si>
    <t>Pya Laundry</t>
  </si>
  <si>
    <t>PYA LAUNDRY</t>
  </si>
  <si>
    <t>30/03/02</t>
  </si>
  <si>
    <t>Sania kartika</t>
  </si>
  <si>
    <t>Fast Laundry</t>
  </si>
  <si>
    <t>Riska</t>
  </si>
  <si>
    <t>Fast Laundry (Riska)</t>
  </si>
  <si>
    <t>Lanri</t>
  </si>
  <si>
    <t>CUGOZKLIN</t>
  </si>
  <si>
    <t>13944</t>
  </si>
  <si>
    <t>14837</t>
  </si>
  <si>
    <t>Alban Vincent Wikardo</t>
  </si>
  <si>
    <t>Cucci Laundry Malang</t>
  </si>
  <si>
    <t>14299</t>
  </si>
  <si>
    <t>samuel saimima</t>
  </si>
  <si>
    <t>Wezz Laundry</t>
  </si>
  <si>
    <t>14529</t>
  </si>
  <si>
    <t>ulfa</t>
  </si>
  <si>
    <t xml:space="preserve"> bintang laundry</t>
  </si>
  <si>
    <t>15694</t>
  </si>
  <si>
    <t>Lou Laundry</t>
  </si>
  <si>
    <t>https://drive.google.com/file/d/1XAHJn_aO9g0JZeVdXb1-ySaHH_dSNBXp/view?usp=sharing</t>
  </si>
  <si>
    <t>10409</t>
  </si>
  <si>
    <t>15520</t>
  </si>
  <si>
    <t>Nuzul Rahmat</t>
  </si>
  <si>
    <t>Wonder Wash</t>
  </si>
  <si>
    <t>https://drive.google.com/file/d/1bWhlEd_sniZnaEC4ffaBa2NuUAYLlHTb/view?usp=sharing</t>
  </si>
  <si>
    <t>4323</t>
  </si>
  <si>
    <t xml:space="preserve">Atik Nurbayati </t>
  </si>
  <si>
    <t>15514</t>
  </si>
  <si>
    <t>Siti Umayah</t>
  </si>
  <si>
    <t>Super Laundry</t>
  </si>
  <si>
    <t>https://drive.google.com/file/d/1oeFvFHRb21ZPhzAP3hPIV9RYNHCB11au/view?usp=sharing</t>
  </si>
  <si>
    <t>8177</t>
  </si>
  <si>
    <t>Mame laundry</t>
  </si>
  <si>
    <t>16306</t>
  </si>
  <si>
    <t xml:space="preserve">Vicky loundry </t>
  </si>
  <si>
    <t>loundry</t>
  </si>
  <si>
    <t>Basic 6 Bulan</t>
  </si>
  <si>
    <t xml:space="preserve">Belum 1 Tahun </t>
  </si>
  <si>
    <t>Expert laundry</t>
  </si>
  <si>
    <t xml:space="preserve">Teman Laundry </t>
  </si>
  <si>
    <t>Arem Laundry</t>
  </si>
  <si>
    <t>Marta Situmorang</t>
  </si>
  <si>
    <t>Sahabat Laundry</t>
  </si>
  <si>
    <t>KHANZA LAUNDRY</t>
  </si>
  <si>
    <t>INDAH SARI BARUS</t>
  </si>
  <si>
    <t>SINAR LAUNDRY</t>
  </si>
  <si>
    <t>SAGA LAUNDRY</t>
  </si>
  <si>
    <t>SAGA LAUNDRY JAMBI</t>
  </si>
  <si>
    <t>Robin</t>
  </si>
  <si>
    <t>boss laundry</t>
  </si>
  <si>
    <t>Susi Yanti</t>
  </si>
  <si>
    <t>D' Laundry coin</t>
  </si>
  <si>
    <t>15915</t>
  </si>
  <si>
    <t>Anna Maria Btm</t>
  </si>
  <si>
    <t>MJS LAUNDRY COIN</t>
  </si>
  <si>
    <t>Bisnis 6 Bulan, Basic 6 Bulan</t>
  </si>
  <si>
    <t>16393</t>
  </si>
  <si>
    <t>Lina Sinaga</t>
  </si>
  <si>
    <t>Swalaundry</t>
  </si>
  <si>
    <t>17470</t>
  </si>
  <si>
    <t>Ika Khairani</t>
  </si>
  <si>
    <t>Ika Laundry Coin</t>
  </si>
  <si>
    <t>Pro 12 Bulan</t>
  </si>
  <si>
    <t>22/01/26</t>
  </si>
  <si>
    <t>NR LAUNDRY</t>
  </si>
  <si>
    <t>29/01/26</t>
  </si>
  <si>
    <t>30/01/26</t>
  </si>
  <si>
    <t>Ĵs Laundry</t>
  </si>
  <si>
    <t>jslaundry</t>
  </si>
  <si>
    <t>18/02/26</t>
  </si>
  <si>
    <t>Happy Laundry Coin</t>
  </si>
  <si>
    <t>Partnership</t>
  </si>
  <si>
    <t>20/02/26</t>
  </si>
  <si>
    <t>Supreme Wash Laundry</t>
  </si>
  <si>
    <t>SW Laundry</t>
  </si>
  <si>
    <t>25/02/26</t>
  </si>
  <si>
    <t>26/04/27</t>
  </si>
  <si>
    <t>Nurul 1</t>
  </si>
  <si>
    <t>Rita</t>
  </si>
  <si>
    <t>GOSOK TERUS</t>
  </si>
  <si>
    <t>12039</t>
  </si>
  <si>
    <t>Lousi Laundry</t>
  </si>
  <si>
    <t>lousi laundry</t>
  </si>
  <si>
    <t>12329</t>
  </si>
  <si>
    <t>Rumah Laundry</t>
  </si>
  <si>
    <t>Poltak</t>
  </si>
  <si>
    <t>Clean and Clear Laundry</t>
  </si>
  <si>
    <t>Kim Laundry</t>
  </si>
  <si>
    <t xml:space="preserve">NITA </t>
  </si>
  <si>
    <t>22 LAUNDRY</t>
  </si>
  <si>
    <t>NATAMA</t>
  </si>
  <si>
    <t>NATAMA LOUNDRY</t>
  </si>
  <si>
    <t>retno widya</t>
  </si>
  <si>
    <t>ada laundry</t>
  </si>
  <si>
    <t>Bubble Wash Laundry</t>
  </si>
  <si>
    <t>Bubble Wash</t>
  </si>
  <si>
    <t>novi yantih</t>
  </si>
  <si>
    <t>loundry168</t>
  </si>
  <si>
    <t>Yosi</t>
  </si>
  <si>
    <t>Yosi Laundry</t>
  </si>
  <si>
    <t>Jessica</t>
  </si>
  <si>
    <t>Super Power Wash Laundry</t>
  </si>
  <si>
    <t>Arfat Ardiansyah</t>
  </si>
  <si>
    <t>Aqila's Laundry</t>
  </si>
  <si>
    <t>Debora Yan</t>
  </si>
  <si>
    <t>DEBORA LAUNDRY</t>
  </si>
  <si>
    <t>Dolphin Laundry Mampang</t>
  </si>
  <si>
    <t xml:space="preserve">Dolphin Laundry </t>
  </si>
  <si>
    <t>Alvyan</t>
  </si>
  <si>
    <t>Alvyan laundry</t>
  </si>
  <si>
    <t>Muhammad Anas,19-5-2023</t>
  </si>
  <si>
    <t>C2Laundry</t>
  </si>
  <si>
    <t>Devita Sari</t>
  </si>
  <si>
    <t>fayraa loundry</t>
  </si>
  <si>
    <t>Sigit</t>
  </si>
  <si>
    <t>Only One Laundry Mart</t>
  </si>
  <si>
    <t>Waroeng Cuci</t>
  </si>
  <si>
    <t>Mutia Citra</t>
  </si>
  <si>
    <t>Ncuci yuuk!</t>
  </si>
  <si>
    <t>Sisca DJR</t>
  </si>
  <si>
    <t>Mamih Laundry</t>
  </si>
  <si>
    <t>ROYAL LAUNDRY</t>
  </si>
  <si>
    <t>test/Royal laundry</t>
  </si>
  <si>
    <t>siti rahmah</t>
  </si>
  <si>
    <t>fresh laundry/FRESH LAUNDRY</t>
  </si>
  <si>
    <t>Nova Anggraini</t>
  </si>
  <si>
    <t>Laundry Budeh</t>
  </si>
  <si>
    <t>Srie</t>
  </si>
  <si>
    <t>Nadifa Laundry/Seven Laundry</t>
  </si>
  <si>
    <t>Dwi retno</t>
  </si>
  <si>
    <t>New_ci</t>
  </si>
  <si>
    <t>Owner</t>
  </si>
  <si>
    <t>Lucky Laundry</t>
  </si>
  <si>
    <t>Ariani Arianii</t>
  </si>
  <si>
    <t>Madame Clean</t>
  </si>
  <si>
    <t xml:space="preserve">Lilac Wash </t>
  </si>
  <si>
    <t>Lilac wash</t>
  </si>
  <si>
    <t>Efa Fauziah</t>
  </si>
  <si>
    <t>Aksara Q-won Laundry</t>
  </si>
  <si>
    <t>Hilda Yuliani</t>
  </si>
  <si>
    <t>Beb! Laundry</t>
  </si>
  <si>
    <t>okta</t>
  </si>
  <si>
    <t>INCESSA LAUNDRY</t>
  </si>
  <si>
    <t>Adetya Yunitasya</t>
  </si>
  <si>
    <t>ZCOU LAUNDRY/CLOUDET LAUNDRY</t>
  </si>
  <si>
    <t xml:space="preserve">Reyza Tere </t>
  </si>
  <si>
    <t>rtlaundry/R &amp; T Laundry</t>
  </si>
  <si>
    <t>Bagus Setiawan</t>
  </si>
  <si>
    <t>malikha coin laundry/malikha coin laundry</t>
  </si>
  <si>
    <t>Rumah Laundry Jababeka</t>
  </si>
  <si>
    <t>Fiona Laundry</t>
  </si>
  <si>
    <t xml:space="preserve">Elvis </t>
  </si>
  <si>
    <t>Hime Laundry</t>
  </si>
  <si>
    <t>Ahmad Suryanto</t>
  </si>
  <si>
    <t>Bagus Laundry</t>
  </si>
  <si>
    <t>ryanna anggiyanto</t>
  </si>
  <si>
    <t>dewi laundry</t>
  </si>
  <si>
    <t>FINISHH</t>
  </si>
  <si>
    <t>Nena Margareta</t>
  </si>
  <si>
    <t>NaMa Laundry</t>
  </si>
  <si>
    <t>Wiwin Bunda Yuki</t>
  </si>
  <si>
    <t>Yuki Laundry</t>
  </si>
  <si>
    <t>NABIL</t>
  </si>
  <si>
    <t>N&amp;N Laundry</t>
  </si>
  <si>
    <t xml:space="preserve">APRILIA  </t>
  </si>
  <si>
    <t>Lulu Triardhian Helmy</t>
  </si>
  <si>
    <t>ELLaundry</t>
  </si>
  <si>
    <t>evalien</t>
  </si>
  <si>
    <t>Biru Laundry</t>
  </si>
  <si>
    <t>Kristin K</t>
  </si>
  <si>
    <t>Monkey Laundry</t>
  </si>
  <si>
    <t>Eko Budi Hartanto</t>
  </si>
  <si>
    <t>SATSET Laundry</t>
  </si>
  <si>
    <t>12119</t>
  </si>
  <si>
    <t>Maz Laundry</t>
  </si>
  <si>
    <t>Ari Sudaryani</t>
  </si>
  <si>
    <t>laundry ibu ari</t>
  </si>
  <si>
    <t>12292</t>
  </si>
  <si>
    <t xml:space="preserve">Faisal </t>
  </si>
  <si>
    <t>Fasthub Laundry</t>
  </si>
  <si>
    <t>12369</t>
  </si>
  <si>
    <t>Sophia</t>
  </si>
  <si>
    <t>SOFT LAUNDRY</t>
  </si>
  <si>
    <t>12517</t>
  </si>
  <si>
    <t xml:space="preserve">Juwita marsa </t>
  </si>
  <si>
    <t>J.clean laundry</t>
  </si>
  <si>
    <t>12415</t>
  </si>
  <si>
    <t>Laundry Uncles</t>
  </si>
  <si>
    <t>Uncles Laundry</t>
  </si>
  <si>
    <t>12706</t>
  </si>
  <si>
    <t xml:space="preserve">Famiti Nuya </t>
  </si>
  <si>
    <t xml:space="preserve">MAMA LAUNDRY </t>
  </si>
  <si>
    <t>12747</t>
  </si>
  <si>
    <t xml:space="preserve">Tri Juliyati </t>
  </si>
  <si>
    <t>GEDHE LAUNDRY</t>
  </si>
  <si>
    <t>12704</t>
  </si>
  <si>
    <t xml:space="preserve">karina agustien </t>
  </si>
  <si>
    <t xml:space="preserve">K &amp; A Laundry </t>
  </si>
  <si>
    <t>Bisnis 3 Bulan</t>
  </si>
  <si>
    <t>12802</t>
  </si>
  <si>
    <t>Aries</t>
  </si>
  <si>
    <t>sobat laundry</t>
  </si>
  <si>
    <t>12903</t>
  </si>
  <si>
    <t>Jefri Yusnandar</t>
  </si>
  <si>
    <t>TIRAYA SANFAR</t>
  </si>
  <si>
    <t xml:space="preserve">Damayanti </t>
  </si>
  <si>
    <t>Laundry Noni</t>
  </si>
  <si>
    <t>Nurrahman</t>
  </si>
  <si>
    <t>Nano Clean Indonesi/D-WASH Laundry</t>
  </si>
  <si>
    <r>
      <rPr>
        <rFont val="Calibri"/>
        <color theme="1"/>
        <sz val="9.0"/>
      </rPr>
      <t>13130</t>
    </r>
  </si>
  <si>
    <t>Azizah Rizky</t>
  </si>
  <si>
    <r>
      <rPr>
        <rFont val="Calibri"/>
        <color theme="1"/>
        <sz val="9.0"/>
      </rPr>
      <t>RIZKY LAUNDRY EXSPRESS</t>
    </r>
  </si>
  <si>
    <t>Leviana Aulia</t>
  </si>
  <si>
    <t>Sae Laundry Express</t>
  </si>
  <si>
    <t xml:space="preserve">Widia Septiana </t>
  </si>
  <si>
    <t>WIRA LAUNDRY/WIRA LAUNDRY</t>
  </si>
  <si>
    <t>tri martini</t>
  </si>
  <si>
    <t>Rina A</t>
  </si>
  <si>
    <t>Nena Laundry</t>
  </si>
  <si>
    <t>Amelia</t>
  </si>
  <si>
    <t xml:space="preserve">M nazwar taufik </t>
  </si>
  <si>
    <t>9'th Laundry</t>
  </si>
  <si>
    <t>Basic 3 Bulan</t>
  </si>
  <si>
    <t>13963</t>
  </si>
  <si>
    <t>yndra purnamasari</t>
  </si>
  <si>
    <t>GEAN LAUNDRY</t>
  </si>
  <si>
    <t>14098</t>
  </si>
  <si>
    <t>Rizky Cahya Amellin</t>
  </si>
  <si>
    <t>Klik Laundry</t>
  </si>
  <si>
    <t>14198</t>
  </si>
  <si>
    <t>Teddy Wahyudi</t>
  </si>
  <si>
    <t>STAR LAUNDRY</t>
  </si>
  <si>
    <t>nuranura</t>
  </si>
  <si>
    <t>Laundry/Ruang Laundry Cikopak</t>
  </si>
  <si>
    <t>Diah Ijah Mahmudah</t>
  </si>
  <si>
    <t>PD Laundry Express</t>
  </si>
  <si>
    <t>Nur Fadhillah Octavia</t>
  </si>
  <si>
    <t>Sera Laundry</t>
  </si>
  <si>
    <t>14538</t>
  </si>
  <si>
    <t>Teguh Pratama</t>
  </si>
  <si>
    <t>RTP LAUNDRY</t>
  </si>
  <si>
    <t>14588</t>
  </si>
  <si>
    <t>yenni lim</t>
  </si>
  <si>
    <t>Momo Laundry</t>
  </si>
  <si>
    <t>14514</t>
  </si>
  <si>
    <t>Eka Ratna Juwita</t>
  </si>
  <si>
    <t>Cucumbah Laundry</t>
  </si>
  <si>
    <t>14636</t>
  </si>
  <si>
    <t>Shalwa Laundry</t>
  </si>
  <si>
    <t>Shalwa Laundry &amp; Dry Cleaning</t>
  </si>
  <si>
    <t>15266</t>
  </si>
  <si>
    <t>Henny Rahmawati</t>
  </si>
  <si>
    <t>Barbie Laundry</t>
  </si>
  <si>
    <t>15375</t>
  </si>
  <si>
    <t>maria sihombing</t>
  </si>
  <si>
    <t>Andaria laundry</t>
  </si>
  <si>
    <t>15438</t>
  </si>
  <si>
    <t>Suka Clean Service</t>
  </si>
  <si>
    <t>Lukmanul Hakim</t>
  </si>
  <si>
    <t>cuciqu laundry</t>
  </si>
  <si>
    <t>15382</t>
  </si>
  <si>
    <t>Kintan Deska Sasono Putri</t>
  </si>
  <si>
    <t>17823</t>
  </si>
  <si>
    <t>Noto Adiputro</t>
  </si>
  <si>
    <t>Laundry Clean star</t>
  </si>
  <si>
    <t>16/02/26</t>
  </si>
  <si>
    <t>17724</t>
  </si>
  <si>
    <t xml:space="preserve">Ella        </t>
  </si>
  <si>
    <t>Fresh Laundry</t>
  </si>
  <si>
    <t>15/02/26</t>
  </si>
  <si>
    <t>17522</t>
  </si>
  <si>
    <t>Cendy Rachmat Umasangaji</t>
  </si>
  <si>
    <t>Clean &amp; Co Laundry Semarang</t>
  </si>
  <si>
    <t>18052</t>
  </si>
  <si>
    <t>IWAN MUCHAMMAD HIDAYATULLAH S, S.T.</t>
  </si>
  <si>
    <t>ONEDAY LAUNDRY</t>
  </si>
  <si>
    <t>18052 - ONEDAY LAUNDRY</t>
  </si>
  <si>
    <t>18666</t>
  </si>
  <si>
    <t>Mulia jaya solusindo</t>
  </si>
  <si>
    <t>FAST Laundry</t>
  </si>
  <si>
    <t>Pro 1 Bulan</t>
  </si>
  <si>
    <t>Ismail</t>
  </si>
  <si>
    <t>Akhmad Daud, SE</t>
  </si>
  <si>
    <t>Danty Loundry</t>
  </si>
  <si>
    <t>BAHARI ENJOY</t>
  </si>
  <si>
    <t>mercy laundry</t>
  </si>
  <si>
    <t xml:space="preserve">Sony Triyadi </t>
  </si>
  <si>
    <t>Amel Laundry</t>
  </si>
  <si>
    <t xml:space="preserve">Yellow laundry </t>
  </si>
  <si>
    <t>Erika Mustifasari</t>
  </si>
  <si>
    <t>Clean &amp; Co</t>
  </si>
  <si>
    <t>Icha Nolita</t>
  </si>
  <si>
    <t>De'Cucci Laundry</t>
  </si>
  <si>
    <t>13597</t>
  </si>
  <si>
    <t>Anikun Laundry</t>
  </si>
  <si>
    <t>Titan Management</t>
  </si>
  <si>
    <t>Titan Laundry</t>
  </si>
  <si>
    <t>14006 - Titan Laundry 14006 - Titan Laundry (Bukti TF)</t>
  </si>
  <si>
    <t>18098</t>
  </si>
  <si>
    <t>Muslimat</t>
  </si>
  <si>
    <t>Dilaundry</t>
  </si>
  <si>
    <t>18098 - Dilaundry 18098 - Dilaundry (Bukti TF)</t>
  </si>
  <si>
    <t>King Laundry Grup</t>
  </si>
  <si>
    <t>King Laundry Marelan</t>
  </si>
  <si>
    <t>King Laundry Marendal</t>
  </si>
  <si>
    <t>sofia laundry</t>
  </si>
  <si>
    <t xml:space="preserve">Chris Joni Silalahi </t>
  </si>
  <si>
    <t>766 Laundry Express</t>
  </si>
  <si>
    <t>14338</t>
  </si>
  <si>
    <t xml:space="preserve">jayasri </t>
  </si>
  <si>
    <t>Cendana laundry express</t>
  </si>
  <si>
    <t>14589</t>
  </si>
  <si>
    <t>Ria Lestari</t>
  </si>
  <si>
    <t>Raja Laundry</t>
  </si>
  <si>
    <t xml:space="preserve">Nelly Masril </t>
  </si>
  <si>
    <t>BUNDA LAUNDRY</t>
  </si>
  <si>
    <t>15028</t>
  </si>
  <si>
    <t>Sapta Harianto Sinaga</t>
  </si>
  <si>
    <t>Naga Laundry</t>
  </si>
  <si>
    <t>15422</t>
  </si>
  <si>
    <t xml:space="preserve">Yulistia </t>
  </si>
  <si>
    <t>Laundry PakEAN</t>
  </si>
  <si>
    <t>15738</t>
  </si>
  <si>
    <t>Adiputra Tambun</t>
  </si>
  <si>
    <t>Tamora Laundry Express</t>
  </si>
  <si>
    <t>Ade Syaputra</t>
  </si>
  <si>
    <t>16516</t>
  </si>
  <si>
    <t xml:space="preserve">padli sraagih </t>
  </si>
  <si>
    <t>Mari londry/Mari londry</t>
  </si>
  <si>
    <t>16749</t>
  </si>
  <si>
    <t xml:space="preserve">Raya Rumbo </t>
  </si>
  <si>
    <t>LaundryNow</t>
  </si>
  <si>
    <t>rizki fajar Kurniawan</t>
  </si>
  <si>
    <t>JR laundry syar'i</t>
  </si>
  <si>
    <t>13137</t>
  </si>
  <si>
    <t>Veronica Kusuma Dewi</t>
  </si>
  <si>
    <t>PRIVATE LOUNDRY</t>
  </si>
  <si>
    <t xml:space="preserve">Badruddin </t>
  </si>
  <si>
    <t>Teras Laundry</t>
  </si>
  <si>
    <t>Lukman Al Hakim</t>
  </si>
  <si>
    <t>Ankabouth Laundry Karpet Boyolali</t>
  </si>
  <si>
    <t>Nata syaike permatahati</t>
  </si>
  <si>
    <t>Laundry Korea</t>
  </si>
  <si>
    <t>16242</t>
  </si>
  <si>
    <t xml:space="preserve">Daniel Satria Mahardhika </t>
  </si>
  <si>
    <t>WASH.ID Laundry &amp; Shoes Care</t>
  </si>
  <si>
    <t>16242 - WASH.ID Laundry &amp; Shoes Care</t>
  </si>
  <si>
    <t>18962</t>
  </si>
  <si>
    <t>Paryono</t>
  </si>
  <si>
    <t>Kartika Laundry</t>
  </si>
  <si>
    <t>18962 - Kartika Laundry 18962 - Kartika Laundry</t>
  </si>
  <si>
    <t>19101</t>
  </si>
  <si>
    <t>Lazuardi</t>
  </si>
  <si>
    <t>Yucca/Yucca Laundry</t>
  </si>
  <si>
    <t>19101 - Yucca/Yucca Laundry</t>
  </si>
  <si>
    <t>FasaLaundry</t>
  </si>
  <si>
    <t>FasLaundry</t>
  </si>
  <si>
    <t>16645</t>
  </si>
  <si>
    <t xml:space="preserve">Michelle Gracia katuuk </t>
  </si>
  <si>
    <t>Skywash.co</t>
  </si>
  <si>
    <t>Bisnis 9 Bulan</t>
  </si>
  <si>
    <t>Andrew/ Muli</t>
  </si>
  <si>
    <t>inibarulaundrymuliajayaabadi.com</t>
  </si>
  <si>
    <t>Sri Minten</t>
  </si>
  <si>
    <t>Karunia Laundry</t>
  </si>
  <si>
    <t>Satriyo Budi Utomo</t>
  </si>
  <si>
    <t>King Laundry</t>
  </si>
  <si>
    <t>Happy Laundry</t>
  </si>
  <si>
    <t xml:space="preserve">Klik Laundry </t>
  </si>
  <si>
    <t xml:space="preserve">TOPTASTIC </t>
  </si>
  <si>
    <t xml:space="preserve">ponpes tahfidz </t>
  </si>
  <si>
    <t>MITRA LAUNDRY</t>
  </si>
  <si>
    <t>Yendri Yusman</t>
  </si>
  <si>
    <t xml:space="preserve">Enni Manurung </t>
  </si>
  <si>
    <t>ROLAS LAUNDRY EXPRESS</t>
  </si>
  <si>
    <t>14162</t>
  </si>
  <si>
    <t>Nur Hidayah</t>
  </si>
  <si>
    <t>Dina Laundry</t>
  </si>
  <si>
    <t xml:space="preserve">pak Agung </t>
  </si>
  <si>
    <t>Agni jaya laundry</t>
  </si>
  <si>
    <t>Teguh Rizal Hamdany</t>
  </si>
  <si>
    <t>Berkah Laundry</t>
  </si>
  <si>
    <t>https://drive.google.com/file/d/1BhEmlVwcUnd49mYu3dc9NsSBuaNtkdFc/view?usp=sharing</t>
  </si>
  <si>
    <t>Juwita Laundry</t>
  </si>
  <si>
    <t>14236</t>
  </si>
  <si>
    <t>Yusuf Basalamah</t>
  </si>
  <si>
    <t>mama laundry</t>
  </si>
  <si>
    <t>14513</t>
  </si>
  <si>
    <t xml:space="preserve">Yogi </t>
  </si>
  <si>
    <t>Wash and Joy</t>
  </si>
  <si>
    <t>Ade</t>
  </si>
  <si>
    <t>Anytime Laundry</t>
  </si>
  <si>
    <t>Beta</t>
  </si>
  <si>
    <t>Restu</t>
  </si>
  <si>
    <t>Deter_gent Laundry Bekasi</t>
  </si>
  <si>
    <t xml:space="preserve">Ananda </t>
  </si>
  <si>
    <t xml:space="preserve">Detergen Laundry </t>
  </si>
  <si>
    <t>14431</t>
  </si>
  <si>
    <t xml:space="preserve">Koperasi Sari Sedana Nusantara </t>
  </si>
  <si>
    <t>Check In Laundry</t>
  </si>
  <si>
    <t>14630</t>
  </si>
  <si>
    <t xml:space="preserve">Stephan </t>
  </si>
  <si>
    <t>one love laundry</t>
  </si>
  <si>
    <t>15636</t>
  </si>
  <si>
    <t>Detergent Laundry nusakambangan</t>
  </si>
  <si>
    <t>16961</t>
  </si>
  <si>
    <t xml:space="preserve">Rumah cuci Seruni </t>
  </si>
  <si>
    <t>Rumah cuci seruni</t>
  </si>
  <si>
    <t>Bisnis 18 Bulan</t>
  </si>
  <si>
    <t>BERKAH LAUNDRI KISARAN</t>
  </si>
  <si>
    <t>Adriana Laundry Express</t>
  </si>
  <si>
    <t xml:space="preserve">Evan </t>
  </si>
  <si>
    <t>EvanWashLaundryExpress</t>
  </si>
  <si>
    <t>Ira Andriana</t>
  </si>
  <si>
    <t xml:space="preserve">Aila Laundry </t>
  </si>
  <si>
    <t>Aylien Wihardja</t>
  </si>
  <si>
    <t>Matsunoki Laundry Shoes&amp;Apparel Care</t>
  </si>
  <si>
    <t>Yusliana Lubis</t>
  </si>
  <si>
    <t xml:space="preserve">UCU LONDRY/MayFa LAUNDRY       </t>
  </si>
  <si>
    <t>Riza Dalimunthe</t>
  </si>
  <si>
    <t>Semut Galak</t>
  </si>
  <si>
    <t>ITA LOUNDRY</t>
  </si>
  <si>
    <t>UCU LONDRY/SMART LAUNDRY</t>
  </si>
  <si>
    <t>13043</t>
  </si>
  <si>
    <t xml:space="preserve">Indri Triani Tjandrawati </t>
  </si>
  <si>
    <t>Jeffri indratmoko</t>
  </si>
  <si>
    <t>King Tuntas Laundry/Sawojajar King Tuntas Laundry</t>
  </si>
  <si>
    <t>https://drive.google.com/file/d/193R0XueI_wAFbnC692a1-ZgtWs6cLXpT/view?usp=sharing</t>
  </si>
  <si>
    <t>King Tuntas Laundry/Watugong king Tuntas Laundry</t>
  </si>
  <si>
    <t>14712</t>
  </si>
  <si>
    <t>rushkeyy</t>
  </si>
  <si>
    <t>MOOD LAUNDRY</t>
  </si>
  <si>
    <t>https://drive.google.com/file/d/1Oaqty5tOlNqcLvYD0hZpsD1E9TUIC4rs/view?usp=sharing</t>
  </si>
  <si>
    <t>16488</t>
  </si>
  <si>
    <t>Jason putra</t>
  </si>
  <si>
    <t xml:space="preserve">Mojawash  Laundry </t>
  </si>
  <si>
    <t>https://drive.google.com/file/d/1vy9bLIvMR-l6lHuqCcUJw8h-VPKJ3SEJ/view?usp=sharing</t>
  </si>
  <si>
    <t>Emman  Darma Putera</t>
  </si>
  <si>
    <t>16631</t>
  </si>
  <si>
    <t>Miga Laundry</t>
  </si>
  <si>
    <t>16875</t>
  </si>
  <si>
    <t>Monang Silalahi</t>
  </si>
  <si>
    <t>Siloam Laundry</t>
  </si>
  <si>
    <t>8836</t>
  </si>
  <si>
    <t>Efrianti Siregar</t>
  </si>
  <si>
    <t>MP Laundry</t>
  </si>
  <si>
    <t>17/01/26</t>
  </si>
  <si>
    <t>18173</t>
  </si>
  <si>
    <t>Zahra laundry</t>
  </si>
  <si>
    <t>Tri Agustini/Tri Sitompul</t>
  </si>
  <si>
    <t xml:space="preserve">Bisnis Laundry </t>
  </si>
  <si>
    <t>18655</t>
  </si>
  <si>
    <t>Oddyna loundry</t>
  </si>
  <si>
    <t>Laundry</t>
  </si>
  <si>
    <t>18655 - Laundry</t>
  </si>
  <si>
    <t>18807</t>
  </si>
  <si>
    <t>Meizadiarty</t>
  </si>
  <si>
    <t>KING LOUNDRY</t>
  </si>
  <si>
    <t>18807 - KING LOUNDRY</t>
  </si>
  <si>
    <t>M. Demas Akira</t>
  </si>
  <si>
    <t>18703</t>
  </si>
  <si>
    <t>m aries yulianto</t>
  </si>
  <si>
    <t>Oneday Laundry Service</t>
  </si>
  <si>
    <t>18703 - Oneday Laundry Service 18703 - Oneday Laundry Service (Bukti TF)</t>
  </si>
  <si>
    <t>18941</t>
  </si>
  <si>
    <t xml:space="preserve">Robiyah </t>
  </si>
  <si>
    <t>Rora Laundry</t>
  </si>
  <si>
    <t>18941 - Rora Laundry 18941 - Rora Laundry (Bukti TF)</t>
  </si>
  <si>
    <t xml:space="preserve">Erika </t>
  </si>
  <si>
    <t>MANY LAUNDRY</t>
  </si>
  <si>
    <t>Guruh adi pratama</t>
  </si>
  <si>
    <t>Doux Laundry/Doux Laundry 2</t>
  </si>
  <si>
    <t xml:space="preserve">Doux Laundry/Doux Laundry </t>
  </si>
  <si>
    <t>Nicholas</t>
  </si>
  <si>
    <t>Honey Bee Laundry</t>
  </si>
  <si>
    <t xml:space="preserve">RIUS </t>
  </si>
  <si>
    <t>DIAMOND LAUNDRY</t>
  </si>
  <si>
    <t>Erika</t>
  </si>
  <si>
    <t>16424</t>
  </si>
  <si>
    <t>Cuciin Laundry</t>
  </si>
  <si>
    <t>CUCIIN</t>
  </si>
  <si>
    <t>https://drive.google.com/file/d/1U0FE2RbjihBq_fidxi0wEGvr7Lh-sElR/view?usp=sharing</t>
  </si>
  <si>
    <t>Khusnul khuluq</t>
  </si>
  <si>
    <t>selly laundry pekalongan</t>
  </si>
  <si>
    <t>DoTuman laundry</t>
  </si>
  <si>
    <t>laundry</t>
  </si>
  <si>
    <t>Corporate Paket Basic</t>
  </si>
  <si>
    <t>Vera Francika</t>
  </si>
  <si>
    <t>Sukacita Loundry</t>
  </si>
  <si>
    <t>Alice Susanty</t>
  </si>
  <si>
    <t>B*EST Laundry</t>
  </si>
  <si>
    <t>Tika</t>
  </si>
  <si>
    <t>RUMAH LAUNDRY EXPRESS</t>
  </si>
  <si>
    <t>16141</t>
  </si>
  <si>
    <t>LAUNDRY AL</t>
  </si>
  <si>
    <t>LAUNDRY</t>
  </si>
  <si>
    <t>16105</t>
  </si>
  <si>
    <t>Esje Laundry</t>
  </si>
  <si>
    <t>ESJE LAUNDRY JAMBI</t>
  </si>
  <si>
    <t>16109</t>
  </si>
  <si>
    <t>Muhammad Ridwan</t>
  </si>
  <si>
    <t>Siap Laundry</t>
  </si>
  <si>
    <t xml:space="preserve">Heri Setiawan </t>
  </si>
  <si>
    <t>Laundry Sahabat 95</t>
  </si>
  <si>
    <t>15323</t>
  </si>
  <si>
    <t>Yuwita</t>
  </si>
  <si>
    <t>BW Elegant Laundry</t>
  </si>
  <si>
    <t>15676</t>
  </si>
  <si>
    <t>Noona Laundry</t>
  </si>
  <si>
    <t>16231</t>
  </si>
  <si>
    <t>Desni yanti</t>
  </si>
  <si>
    <t>Utama laundry</t>
  </si>
  <si>
    <t>16366</t>
  </si>
  <si>
    <t>alisya londry</t>
  </si>
  <si>
    <t>Alisya Londry</t>
  </si>
  <si>
    <t>13445</t>
  </si>
  <si>
    <t>Mutiara Laundry Gresik</t>
  </si>
  <si>
    <t>Mutiara Laundry Gresik/Mutiara Laundry GKB</t>
  </si>
  <si>
    <t>Mutiara Laundry Gresik/Laundry Karpet Gresik</t>
  </si>
  <si>
    <t>Ratu Laundry</t>
  </si>
  <si>
    <t>RATU LAUNDRY</t>
  </si>
  <si>
    <t>Corporate Paket UMKM</t>
  </si>
  <si>
    <t>Yohana Nasution</t>
  </si>
  <si>
    <t>Aisyah Laundry</t>
  </si>
  <si>
    <t>Salianti Jagi Diri</t>
  </si>
  <si>
    <t>Sally Laundry</t>
  </si>
  <si>
    <t>Corporate Paket Bundling Bisnis</t>
  </si>
  <si>
    <t>JUMLAH BONUS PER BULAN</t>
  </si>
  <si>
    <t>Komisi Mitra Corporate Aplikasi Piposmart Laundry</t>
  </si>
  <si>
    <t>Nama Paket</t>
  </si>
  <si>
    <t>Per Bulan</t>
  </si>
  <si>
    <t>Komisi / Outlet</t>
  </si>
  <si>
    <t>Bonus Pencapaian
(10 Orang)</t>
  </si>
  <si>
    <t>Total Pendapatan
(30 Orang)</t>
  </si>
  <si>
    <t>Paket Basic</t>
  </si>
  <si>
    <t>Paket Business</t>
  </si>
  <si>
    <t>Paket Bundling Business</t>
  </si>
  <si>
    <t>UMKM</t>
  </si>
  <si>
    <t>Entrepeneur</t>
  </si>
  <si>
    <t>Peluang Kerjasama Menjadi Mitra Piposmart :</t>
  </si>
  <si>
    <t>- Setiap mitra corporate Piposmart berhak memperoleh dua kategori pendapatan, yaitu komisi dan bonus pencapaian.</t>
  </si>
  <si>
    <t>1. Komisi: Diberikan untuk setiap akuisisi nasabah berdasarkan kategori plangganan yang dipilih oleh nasabah.</t>
  </si>
  <si>
    <t>2. Bonus Pencapaian: Diberikan untuk setiap kelipatan 10 nasabah yang berhasil berlangganan, dengan sistem akumulasi yang berlaku sesuai dengan kategori nasabah.</t>
  </si>
  <si>
    <t>- Besaran komisi yang diterima oleh mitra corporate akan disesuaikan dengan paket langganan yang telah ditetapkan oleh perusahaan.</t>
  </si>
  <si>
    <t>- Komisi akan dibayarkan setelah nasabah melakukan pembayaran paket berlangganan yang telah dipilih.</t>
  </si>
  <si>
    <t>dihitung berdasarkan 30 nasabah</t>
  </si>
  <si>
    <t>dihitung berdasarkan 10 nasabah</t>
  </si>
  <si>
    <t>Keterangan</t>
  </si>
  <si>
    <t>jln dr Sutomo GG karya 1 no 78 Akbar Laundry dan Service Pontianak Kalimantan barat</t>
  </si>
  <si>
    <t>jl.parangkesit , Ngruki 02/17 , cemani , Grogol , sukoharjo, Jawa Tengah</t>
  </si>
  <si>
    <t>082285354990</t>
  </si>
  <si>
    <t>mesincucilaundry.com</t>
  </si>
  <si>
    <t>6880445471</t>
  </si>
  <si>
    <t>AFILIASI (Perlengkapan  Ex. Mesin, Parfum, Dll)</t>
  </si>
  <si>
    <t>14785</t>
  </si>
  <si>
    <t>Yudo Yudho</t>
  </si>
  <si>
    <t>laudrybest</t>
  </si>
  <si>
    <t xml:space="preserve">BMG  Suplay </t>
  </si>
  <si>
    <t>Selvi</t>
  </si>
  <si>
    <t>AFILIASI (Perlengkapan  Ex. Mesin, Rak, Dll)"</t>
  </si>
  <si>
    <t xml:space="preserve">Komisi Mitra Referral </t>
  </si>
  <si>
    <t>Harga</t>
  </si>
  <si>
    <t>HPP</t>
  </si>
  <si>
    <t>Komisi/Bulan</t>
  </si>
  <si>
    <t>Margin Setelah Komisi Mitra &amp; Pic</t>
  </si>
  <si>
    <t>Target Pencapaian</t>
  </si>
  <si>
    <t>Bonus Tambahan/ Perncapaian</t>
  </si>
  <si>
    <t>Bonus Tambahan Pencapaian
(10 Outlet)</t>
  </si>
  <si>
    <t>Total Komis + Reward</t>
  </si>
  <si>
    <t>Margin Setelah Komisi</t>
  </si>
  <si>
    <t>Bonus Tambahan Pencapaian
(30 Outlet)</t>
  </si>
  <si>
    <t>Komisi Mitra Corporate</t>
  </si>
  <si>
    <t>Komisi Mitra Corporate Training</t>
  </si>
  <si>
    <t xml:space="preserve">Komisi Mitra Domisili </t>
  </si>
  <si>
    <t>UMKM Basic</t>
  </si>
  <si>
    <t>New Membership</t>
  </si>
  <si>
    <t>Tenor</t>
  </si>
  <si>
    <t>Bonus Berlangganan 2022</t>
  </si>
  <si>
    <t>Date of Renewal</t>
  </si>
  <si>
    <t>Tgl pertama top up</t>
  </si>
  <si>
    <t xml:space="preserve">Expired Date        </t>
  </si>
  <si>
    <t>jalan Binjai , Medan , Sumatera utara</t>
  </si>
  <si>
    <t>0857760727903</t>
  </si>
  <si>
    <t>Pak Yendri Yusman</t>
  </si>
  <si>
    <t>Sp.Namorih Desa Lama, Kec. Pancur Batu Kab.Deli Serdang, Medan, Sumatera utara</t>
  </si>
  <si>
    <t xml:space="preserve">Pak Nanang </t>
  </si>
  <si>
    <t xml:space="preserve">JR laundry </t>
  </si>
  <si>
    <t>085642027676</t>
  </si>
  <si>
    <t>jl.parangkesit , Ngruki 02/17 , cemani , Grogol , sukoharjo, Jakarta/Dki Jakarta</t>
  </si>
  <si>
    <t>Denpasar, Bali</t>
  </si>
  <si>
    <t xml:space="preserve">Jalan kakak Tua, kisaran. </t>
  </si>
  <si>
    <t xml:space="preserve">Bekasi </t>
  </si>
  <si>
    <t xml:space="preserve">Raja Launry </t>
  </si>
  <si>
    <t xml:space="preserve">Expired Date	</t>
  </si>
  <si>
    <t>JLN. HR SEOBRANTAS RT/RW 002/003 RANAI DARAT, Kab. Natuna, Kab. Natuna</t>
  </si>
  <si>
    <t>Jl. Anggrek 5 Blok PK No 12 Harapan Indah, Bekasi, Jakarta Barat</t>
  </si>
  <si>
    <t>08174885266</t>
  </si>
  <si>
    <t>JUMLAH BONUS MITRA PER BULAN</t>
  </si>
  <si>
    <t>Bonus Berlangganan 2025</t>
  </si>
  <si>
    <t>0812 59819220</t>
  </si>
  <si>
    <t>Jl.H.Syukur No.75 Sedati Sidoarjo, Jawa Timur</t>
  </si>
  <si>
    <t>Corporate Paket Bundling Bisnis (Jagoan)</t>
  </si>
  <si>
    <t>fresh laundry / FRESH LAUNDRY</t>
  </si>
  <si>
    <t>ZCOU LAUNDRY / CLOUDET LAUNDRY</t>
  </si>
  <si>
    <t>Basic</t>
  </si>
  <si>
    <t>Bisnis</t>
  </si>
  <si>
    <t>Close</t>
  </si>
  <si>
    <t>Kota Palopo, Sulawesi Selatan</t>
  </si>
  <si>
    <t>CLOSE</t>
  </si>
  <si>
    <t>AFILIASI (Perlengkapan 
Ex. Mesin, Rak, Dll)</t>
  </si>
  <si>
    <t>0821 38532352</t>
  </si>
  <si>
    <t>Jl pelajar timur no 157B, Teladan Timur, Kota Medan, SUMUT</t>
  </si>
  <si>
    <t>11946</t>
  </si>
  <si>
    <t>Minda Sardilah</t>
  </si>
  <si>
    <t>Nona Laundry</t>
  </si>
  <si>
    <t xml:space="preserve">Kode Owner </t>
  </si>
  <si>
    <t xml:space="preserve">Jan </t>
  </si>
  <si>
    <t>AFILIASI (Perlengkapan Ex. Mesin, Parfum, Dll)</t>
  </si>
  <si>
    <t>pertahun</t>
  </si>
  <si>
    <t xml:space="preserve">PAY </t>
  </si>
  <si>
    <t>Key Loundry / AAdelia store</t>
  </si>
  <si>
    <t>perbulan</t>
  </si>
  <si>
    <t>FRANCHISE       (Jual Brand Usaha)</t>
  </si>
  <si>
    <t>Unpay</t>
  </si>
  <si>
    <t xml:space="preserve">Pandapotan Tampubolon </t>
  </si>
  <si>
    <t>REFERAL  (Berlangganan)</t>
  </si>
  <si>
    <t xml:space="preserve">Nur Kholifatus shofia </t>
  </si>
  <si>
    <t>Jl. Kolonel usaha No 20 Ngegong Kel. Gedog Kota Blitar, Jawa Timur</t>
  </si>
  <si>
    <t>Dlaundry in aja</t>
  </si>
  <si>
    <t>085730160545</t>
  </si>
  <si>
    <t>mitra laundry</t>
  </si>
  <si>
    <t xml:space="preserve"> Rp 150.000 </t>
  </si>
  <si>
    <t>Nia</t>
  </si>
  <si>
    <t>Jl jagakarsa No.1b, Lenteng Agung Jakarta Selatan</t>
  </si>
  <si>
    <t>April Laundry</t>
  </si>
  <si>
    <t>0821 16298618</t>
  </si>
  <si>
    <t>sri</t>
  </si>
  <si>
    <t>Perbulan</t>
  </si>
  <si>
    <t>.</t>
  </si>
  <si>
    <t>JL LEMBAGA PEMASYARAKATAN NO 225, TANJUNG GUSTA, SUNGGAL, DELI SERDANG, SUMATERA UTARA</t>
  </si>
  <si>
    <t>MayFa LAUNDRY/UCU LONDRY</t>
  </si>
  <si>
    <t>Unscribde</t>
  </si>
  <si>
    <t>SMART LAUNDRY/UCU LONDRY</t>
  </si>
  <si>
    <t xml:space="preserve">Pak Agus Hutapea </t>
  </si>
  <si>
    <t xml:space="preserve">Mitra Laundry </t>
  </si>
  <si>
    <t xml:space="preserve"> 082180075416</t>
  </si>
  <si>
    <t xml:space="preserve">Theny </t>
  </si>
  <si>
    <t>Theny Mesin Laundry</t>
  </si>
  <si>
    <t>081398866495</t>
  </si>
  <si>
    <t>Admin</t>
  </si>
  <si>
    <t>Paket Usaha Laundry</t>
  </si>
  <si>
    <t>081336866769</t>
  </si>
  <si>
    <t>Toko Makmur Jaya</t>
  </si>
  <si>
    <t>081233802987</t>
  </si>
  <si>
    <t>Yudi</t>
  </si>
  <si>
    <t>RSC Toko Laundry</t>
  </si>
  <si>
    <t>082114871872</t>
  </si>
  <si>
    <t>Banten , TANGGERANG</t>
  </si>
  <si>
    <t>Pertahun</t>
  </si>
  <si>
    <t>LAUNDRY WARNA WARNI</t>
  </si>
  <si>
    <t>NO</t>
  </si>
  <si>
    <t>Bonus Berlangganan</t>
  </si>
  <si>
    <t>Guruh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</si>
</sst>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mm yyyy"/>
    <numFmt numFmtId="165" formatCode="d mmmm yyyy"/>
    <numFmt numFmtId="166" formatCode="dd&quot;/&quot;mm&quot;/&quot;yy"/>
    <numFmt numFmtId="167" formatCode="#,##0;(#,##0)"/>
    <numFmt numFmtId="168" formatCode="dd/MM/yyyy"/>
    <numFmt numFmtId="169" formatCode="d&quot; &quot;mmm&quot; &quot;yyyy"/>
    <numFmt numFmtId="170" formatCode="dd/mm/yy"/>
    <numFmt numFmtId="171" formatCode="_-[$Rp-421]* #,##0_-;_-[$Rp-421]* \-#,##0_-;_-[$Rp-421]* &quot;-&quot;??_-;_-@"/>
    <numFmt numFmtId="172" formatCode="[$Rp-421]#,##0"/>
  </numFmts>
  <fonts count="61">
    <font>
      <sz val="10.0"/>
      <color rgb="FF000000"/>
      <name val="Arial"/>
      <scheme val="minor"/>
    </font>
    <font>
      <b/>
      <sz val="9.0"/>
      <color rgb="FFFFFFFF"/>
      <name val="Calibri"/>
    </font>
    <font>
      <sz val="9.0"/>
      <color rgb="FFFFFFFF"/>
      <name val="Calibri"/>
    </font>
    <font>
      <b/>
      <sz val="9.0"/>
      <color theme="0"/>
      <name val="Calibri"/>
    </font>
    <font>
      <b/>
      <color rgb="FFFFFFFF"/>
      <name val="Calibri"/>
    </font>
    <font>
      <sz val="9.0"/>
      <color theme="1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9.0"/>
      <color theme="1"/>
      <name val="Calibri"/>
    </font>
    <font>
      <sz val="9.0"/>
      <color rgb="FF050505"/>
      <name val="Calibri"/>
    </font>
    <font>
      <u/>
      <sz val="9.0"/>
      <color rgb="FF000000"/>
      <name val="Calibri"/>
    </font>
    <font>
      <sz val="9.0"/>
      <color theme="1"/>
      <name val="Arial"/>
    </font>
    <font>
      <color theme="1"/>
      <name val="Calibri"/>
    </font>
    <font>
      <sz val="9.0"/>
      <color theme="0"/>
      <name val="Calibri"/>
    </font>
    <font>
      <b/>
      <sz val="9.0"/>
      <color rgb="FFFF0000"/>
      <name val="Calibri"/>
    </font>
    <font>
      <b/>
      <u/>
      <sz val="9.0"/>
      <color rgb="FF0000FF"/>
      <name val="Calibri"/>
    </font>
    <font>
      <color theme="1"/>
      <name val="Arial"/>
    </font>
    <font>
      <b/>
      <sz val="9.0"/>
      <color theme="1"/>
      <name val="Arial"/>
    </font>
    <font>
      <b/>
      <sz val="9.0"/>
      <color rgb="FF404040"/>
      <name val="Calibri"/>
    </font>
    <font>
      <sz val="9.0"/>
      <color rgb="FF1155CC"/>
      <name val="Calibri"/>
    </font>
    <font>
      <b/>
      <color theme="1"/>
      <name val="Arial"/>
    </font>
    <font>
      <color rgb="FFFF0000"/>
      <name val="Arial"/>
    </font>
    <font>
      <u/>
      <sz val="9.0"/>
      <color theme="1"/>
      <name val="Calibri"/>
    </font>
    <font>
      <u/>
      <sz val="9.0"/>
      <color rgb="FF1155CC"/>
      <name val="Calibri"/>
    </font>
    <font>
      <u/>
      <sz val="9.0"/>
      <color theme="1"/>
      <name val="Calibri"/>
    </font>
    <font>
      <b/>
      <sz val="8.0"/>
      <color rgb="FFFF0000"/>
      <name val="Calibri"/>
    </font>
    <font>
      <u/>
      <sz val="9.0"/>
      <color rgb="FF000000"/>
      <name val="Calibri"/>
    </font>
    <font>
      <b/>
      <u/>
      <sz val="9.0"/>
      <color rgb="FF0000FF"/>
      <name val="Calibri"/>
    </font>
    <font>
      <u/>
      <sz val="9.0"/>
      <color rgb="FF1F1F1F"/>
      <name val="Calibri"/>
    </font>
    <font>
      <u/>
      <sz val="9.0"/>
      <color rgb="FF000000"/>
      <name val="Calibri"/>
    </font>
    <font>
      <b/>
      <u/>
      <sz val="9.0"/>
      <color rgb="FF0000FF"/>
      <name val="Calibri"/>
    </font>
    <font>
      <u/>
      <sz val="9.0"/>
      <color rgb="FF1155CC"/>
      <name val="Calibri"/>
    </font>
    <font>
      <b/>
      <sz val="25.0"/>
      <color rgb="FF000000"/>
      <name val="Calibri"/>
    </font>
    <font>
      <b/>
      <sz val="13.0"/>
      <color rgb="FFFFFFFF"/>
      <name val="Calibri"/>
    </font>
    <font>
      <sz val="13.0"/>
      <color rgb="FF000000"/>
      <name val="Calibri"/>
    </font>
    <font>
      <b/>
      <sz val="16.0"/>
      <color rgb="FF000000"/>
      <name val="Calibri"/>
    </font>
    <font>
      <b/>
      <i/>
      <sz val="9.0"/>
      <color rgb="FFFFFFFF"/>
      <name val="Calibri"/>
    </font>
    <font>
      <u/>
      <sz val="9.0"/>
      <color rgb="FF000000"/>
      <name val="Calibri"/>
    </font>
    <font>
      <color rgb="FF000000"/>
      <name val="Arial"/>
    </font>
    <font>
      <u/>
      <sz val="9.0"/>
      <color rgb="FF1155CC"/>
      <name val="Calibri"/>
    </font>
    <font>
      <b/>
      <sz val="8.0"/>
      <color rgb="FF000000"/>
      <name val="Calibri"/>
    </font>
    <font>
      <u/>
      <sz val="9.0"/>
      <color rgb="FF1155CC"/>
      <name val="Calibri"/>
    </font>
    <font>
      <b/>
      <sz val="19.0"/>
      <color rgb="FF000000"/>
      <name val="Calibri"/>
    </font>
    <font>
      <sz val="19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u/>
      <sz val="9.0"/>
      <color rgb="FF1155CC"/>
      <name val="Calibri"/>
    </font>
    <font>
      <u/>
      <sz val="9.0"/>
      <color rgb="FF1155CC"/>
      <name val="Calibri"/>
    </font>
    <font>
      <b/>
      <sz val="11.0"/>
      <color theme="0"/>
      <name val="Calibri"/>
    </font>
    <font/>
    <font>
      <sz val="10.0"/>
      <color theme="1"/>
      <name val="Calibri"/>
    </font>
    <font>
      <b/>
      <color theme="1"/>
      <name val="Calibri"/>
    </font>
    <font>
      <sz val="10.0"/>
      <color rgb="FF404040"/>
      <name val="Calibri"/>
    </font>
    <font>
      <sz val="10.0"/>
      <color rgb="FF000000"/>
      <name val="Calibri"/>
    </font>
    <font>
      <sz val="9.0"/>
      <color rgb="FF000000"/>
      <name val="Arial"/>
    </font>
    <font>
      <sz val="8.0"/>
      <color rgb="FF000000"/>
      <name val="Calibri"/>
    </font>
    <font>
      <b/>
      <sz val="9.0"/>
      <color rgb="FF000000"/>
      <name val="Arial"/>
    </font>
    <font>
      <u/>
      <sz val="9.0"/>
      <color rgb="FF1155CC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41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medium">
        <color rgb="FF000000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000000"/>
      </right>
    </border>
    <border>
      <left style="thin">
        <color rgb="FFB7B7B7"/>
      </lef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3" numFmtId="49" xfId="0" applyAlignment="1" applyFont="1" applyNumberFormat="1">
      <alignment horizontal="center" vertical="center"/>
    </xf>
    <xf borderId="0" fillId="2" fontId="3" numFmtId="49" xfId="0" applyAlignment="1" applyFont="1" applyNumberFormat="1">
      <alignment horizontal="left" shrinkToFit="0" vertical="center" wrapText="1"/>
    </xf>
    <xf borderId="0" fillId="2" fontId="3" numFmtId="49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3" fontId="6" numFmtId="0" xfId="0" applyAlignment="1" applyFill="1" applyFont="1">
      <alignment horizontal="center"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quotePrefix="1" borderId="0" fillId="0" fontId="5" numFmtId="49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left" vertical="center"/>
    </xf>
    <xf borderId="1" fillId="0" fontId="5" numFmtId="49" xfId="0" applyAlignment="1" applyBorder="1" applyFont="1" applyNumberFormat="1">
      <alignment horizontal="center" vertical="center"/>
    </xf>
    <xf borderId="1" fillId="0" fontId="5" numFmtId="49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49" xfId="0" applyAlignment="1" applyFont="1" applyNumberFormat="1">
      <alignment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0"/>
    </xf>
    <xf borderId="1" fillId="0" fontId="5" numFmtId="49" xfId="0" applyAlignment="1" applyBorder="1" applyFont="1" applyNumberFormat="1">
      <alignment horizontal="left" vertical="center"/>
    </xf>
    <xf borderId="0" fillId="0" fontId="5" numFmtId="49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5" numFmtId="4" xfId="0" applyAlignment="1" applyFont="1" applyNumberFormat="1">
      <alignment vertical="center"/>
    </xf>
    <xf borderId="0" fillId="0" fontId="5" numFmtId="4" xfId="0" applyAlignment="1" applyFont="1" applyNumberFormat="1">
      <alignment shrinkToFit="0" vertical="center" wrapText="1"/>
    </xf>
    <xf quotePrefix="1" borderId="1" fillId="0" fontId="5" numFmtId="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left" vertical="center"/>
    </xf>
    <xf borderId="2" fillId="4" fontId="5" numFmtId="0" xfId="0" applyAlignment="1" applyBorder="1" applyFill="1" applyFont="1">
      <alignment horizontal="center" vertical="center"/>
    </xf>
    <xf borderId="2" fillId="4" fontId="5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left" vertical="center"/>
    </xf>
    <xf borderId="2" fillId="4" fontId="8" numFmtId="0" xfId="0" applyAlignment="1" applyBorder="1" applyFon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left" shrinkToFit="0" vertical="center" wrapText="1"/>
    </xf>
    <xf borderId="0" fillId="3" fontId="7" numFmtId="0" xfId="0" applyAlignment="1" applyFont="1">
      <alignment horizontal="left" shrinkToFit="0" vertical="center" wrapText="1"/>
    </xf>
    <xf borderId="1" fillId="0" fontId="5" numFmtId="4" xfId="0" applyAlignment="1" applyBorder="1" applyFont="1" applyNumberFormat="1">
      <alignment vertical="center"/>
    </xf>
    <xf borderId="1" fillId="0" fontId="5" numFmtId="4" xfId="0" applyAlignment="1" applyBorder="1" applyFont="1" applyNumberFormat="1">
      <alignment horizontal="left" vertical="center"/>
    </xf>
    <xf quotePrefix="1" borderId="1" fillId="0" fontId="5" numFmtId="0" xfId="0" applyAlignment="1" applyBorder="1" applyFont="1">
      <alignment horizontal="center" vertical="center"/>
    </xf>
    <xf borderId="1" fillId="0" fontId="5" numFmtId="4" xfId="0" applyAlignment="1" applyBorder="1" applyFont="1" applyNumberFormat="1">
      <alignment horizontal="left" shrinkToFit="0" vertical="center" wrapText="1"/>
    </xf>
    <xf quotePrefix="1" borderId="0" fillId="0" fontId="5" numFmtId="0" xfId="0" applyAlignment="1" applyFont="1">
      <alignment horizontal="center" vertical="center"/>
    </xf>
    <xf borderId="3" fillId="0" fontId="5" numFmtId="49" xfId="0" applyAlignment="1" applyBorder="1" applyFont="1" applyNumberFormat="1">
      <alignment horizontal="left" shrinkToFit="0" vertical="center" wrapText="1"/>
    </xf>
    <xf borderId="3" fillId="0" fontId="5" numFmtId="49" xfId="0" applyAlignment="1" applyBorder="1" applyFont="1" applyNumberFormat="1">
      <alignment shrinkToFit="0" vertical="center" wrapText="1"/>
    </xf>
    <xf borderId="0" fillId="0" fontId="5" numFmtId="4" xfId="0" applyAlignment="1" applyFont="1" applyNumberFormat="1">
      <alignment horizontal="left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/>
    </xf>
    <xf borderId="3" fillId="0" fontId="5" numFmtId="0" xfId="0" applyAlignment="1" applyBorder="1" applyFont="1">
      <alignment shrinkToFit="0" vertical="center" wrapText="1"/>
    </xf>
    <xf borderId="0" fillId="3" fontId="5" numFmtId="49" xfId="0" applyAlignment="1" applyFont="1" applyNumberFormat="1">
      <alignment horizontal="center" vertical="center"/>
    </xf>
    <xf borderId="1" fillId="3" fontId="5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49" xfId="0" applyAlignment="1" applyFont="1" applyNumberFormat="1">
      <alignment horizontal="left" shrinkToFit="0" vertical="center" wrapText="1"/>
    </xf>
    <xf borderId="0" fillId="0" fontId="5" numFmtId="49" xfId="0" applyAlignment="1" applyFont="1" applyNumberFormat="1">
      <alignment vertical="center"/>
    </xf>
    <xf borderId="0" fillId="3" fontId="7" numFmtId="49" xfId="0" applyAlignment="1" applyFont="1" applyNumberForma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7" numFmtId="49" xfId="0" applyAlignment="1" applyFont="1" applyNumberFormat="1">
      <alignment horizontal="center" vertical="center"/>
    </xf>
    <xf borderId="0" fillId="3" fontId="5" numFmtId="4" xfId="0" applyAlignment="1" applyFont="1" applyNumberForma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vertical="center"/>
    </xf>
    <xf borderId="5" fillId="0" fontId="5" numFmtId="0" xfId="0" applyAlignment="1" applyBorder="1" applyFont="1">
      <alignment horizontal="left" shrinkToFit="0" vertical="center" wrapText="1"/>
    </xf>
    <xf quotePrefix="1" borderId="6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vertical="center"/>
    </xf>
    <xf quotePrefix="1" borderId="8" fillId="0" fontId="5" numFmtId="49" xfId="0" applyAlignment="1" applyBorder="1" applyFont="1" applyNumberFormat="1">
      <alignment horizontal="center" vertical="center"/>
    </xf>
    <xf borderId="8" fillId="0" fontId="5" numFmtId="49" xfId="0" applyAlignment="1" applyBorder="1" applyFont="1" applyNumberFormat="1">
      <alignment shrinkToFit="0" vertical="center" wrapText="1"/>
    </xf>
    <xf borderId="5" fillId="3" fontId="9" numFmtId="0" xfId="0" applyAlignment="1" applyBorder="1" applyFont="1">
      <alignment vertical="center"/>
    </xf>
    <xf borderId="5" fillId="3" fontId="9" numFmtId="0" xfId="0" applyAlignment="1" applyBorder="1" applyFont="1">
      <alignment horizontal="left" vertical="center"/>
    </xf>
    <xf borderId="5" fillId="3" fontId="5" numFmtId="49" xfId="0" applyAlignment="1" applyBorder="1" applyFont="1" applyNumberFormat="1">
      <alignment horizontal="center" vertical="center"/>
    </xf>
    <xf borderId="5" fillId="0" fontId="5" numFmtId="49" xfId="0" applyAlignment="1" applyBorder="1" applyFont="1" applyNumberFormat="1">
      <alignment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horizontal="left" vertical="center"/>
    </xf>
    <xf borderId="9" fillId="0" fontId="5" numFmtId="49" xfId="0" applyAlignment="1" applyBorder="1" applyFont="1" applyNumberFormat="1">
      <alignment horizontal="center" vertical="center"/>
    </xf>
    <xf borderId="9" fillId="0" fontId="5" numFmtId="49" xfId="0" applyAlignment="1" applyBorder="1" applyFont="1" applyNumberFormat="1">
      <alignment horizontal="left" vertical="center"/>
    </xf>
    <xf borderId="9" fillId="0" fontId="5" numFmtId="49" xfId="0" applyAlignment="1" applyBorder="1" applyFont="1" applyNumberFormat="1">
      <alignment shrinkToFit="0" vertical="center" wrapText="1"/>
    </xf>
    <xf borderId="0" fillId="5" fontId="6" numFmtId="0" xfId="0" applyAlignment="1" applyFill="1" applyFont="1">
      <alignment horizontal="center" vertical="center"/>
    </xf>
    <xf borderId="0" fillId="5" fontId="8" numFmtId="0" xfId="0" applyAlignment="1" applyFont="1">
      <alignment horizontal="center" shrinkToFit="0" vertical="center" wrapText="1"/>
    </xf>
    <xf borderId="0" fillId="5" fontId="8" numFmtId="49" xfId="0" applyAlignment="1" applyFont="1" applyNumberFormat="1">
      <alignment horizontal="left" shrinkToFit="0" vertical="center" wrapText="1"/>
    </xf>
    <xf borderId="0" fillId="5" fontId="8" numFmtId="49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2" fontId="6" numFmtId="166" xfId="0" applyAlignment="1" applyFont="1" applyNumberFormat="1">
      <alignment horizontal="center" shrinkToFit="0" vertical="center" wrapText="1"/>
    </xf>
    <xf borderId="0" fillId="2" fontId="3" numFmtId="166" xfId="0" applyAlignment="1" applyFont="1" applyNumberFormat="1">
      <alignment horizontal="center" shrinkToFit="0" vertical="center" wrapText="1"/>
    </xf>
    <xf borderId="0" fillId="2" fontId="3" numFmtId="167" xfId="0" applyAlignment="1" applyFont="1" applyNumberFormat="1">
      <alignment horizontal="center" shrinkToFit="0" vertical="center" wrapText="1"/>
    </xf>
    <xf borderId="0" fillId="2" fontId="1" numFmtId="167" xfId="0" applyAlignment="1" applyFont="1" applyNumberFormat="1">
      <alignment horizontal="center" shrinkToFit="0" vertical="center" wrapText="1"/>
    </xf>
    <xf borderId="10" fillId="2" fontId="1" numFmtId="167" xfId="0" applyAlignment="1" applyBorder="1" applyFont="1" applyNumberFormat="1">
      <alignment horizontal="center" shrinkToFit="0" vertical="center" wrapText="1"/>
    </xf>
    <xf borderId="10" fillId="2" fontId="1" numFmtId="49" xfId="0" applyAlignment="1" applyBorder="1" applyFont="1" applyNumberFormat="1">
      <alignment horizontal="center" shrinkToFit="0" vertical="center" wrapText="1"/>
    </xf>
    <xf borderId="0" fillId="2" fontId="1" numFmtId="166" xfId="0" applyAlignment="1" applyFont="1" applyNumberForma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0" fillId="0" fontId="6" numFmtId="166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6" fontId="8" numFmtId="166" xfId="0" applyAlignment="1" applyFill="1" applyFont="1" applyNumberFormat="1">
      <alignment horizontal="center" vertical="center"/>
    </xf>
    <xf borderId="0" fillId="7" fontId="8" numFmtId="166" xfId="0" applyAlignment="1" applyFill="1" applyFont="1" applyNumberForma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0" fillId="0" fontId="14" numFmtId="167" xfId="0" applyAlignment="1" applyFont="1" applyNumberFormat="1">
      <alignment horizontal="center" vertical="center"/>
    </xf>
    <xf borderId="10" fillId="0" fontId="8" numFmtId="167" xfId="0" applyAlignment="1" applyBorder="1" applyFont="1" applyNumberFormat="1">
      <alignment horizontal="center" vertical="center"/>
    </xf>
    <xf borderId="0" fillId="8" fontId="5" numFmtId="3" xfId="0" applyAlignment="1" applyFill="1" applyFont="1" applyNumberFormat="1">
      <alignment horizontal="center" vertical="center"/>
    </xf>
    <xf borderId="0" fillId="6" fontId="8" numFmtId="167" xfId="0" applyAlignment="1" applyFont="1" applyNumberFormat="1">
      <alignment horizontal="center" vertical="center"/>
    </xf>
    <xf borderId="0" fillId="9" fontId="8" numFmtId="167" xfId="0" applyAlignment="1" applyFill="1" applyFont="1" applyNumberFormat="1">
      <alignment horizontal="center" vertical="center"/>
    </xf>
    <xf borderId="0" fillId="10" fontId="6" numFmtId="3" xfId="0" applyAlignment="1" applyFill="1" applyFont="1" applyNumberForma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10" fillId="0" fontId="14" numFmtId="167" xfId="0" applyAlignment="1" applyBorder="1" applyFont="1" applyNumberFormat="1">
      <alignment horizontal="center" vertical="center"/>
    </xf>
    <xf borderId="11" fillId="0" fontId="5" numFmtId="49" xfId="0" applyAlignment="1" applyBorder="1" applyFont="1" applyNumberFormat="1">
      <alignment horizontal="center" vertical="center"/>
    </xf>
    <xf borderId="0" fillId="8" fontId="8" numFmtId="3" xfId="0" applyAlignment="1" applyFont="1" applyNumberFormat="1">
      <alignment horizontal="center" vertical="center"/>
    </xf>
    <xf borderId="11" fillId="0" fontId="5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14" numFmtId="3" xfId="0" applyAlignment="1" applyFont="1" applyNumberFormat="1">
      <alignment horizontal="center" vertical="center"/>
    </xf>
    <xf borderId="0" fillId="6" fontId="14" numFmtId="166" xfId="0" applyAlignment="1" applyFont="1" applyNumberFormat="1">
      <alignment horizontal="center" vertical="center"/>
    </xf>
    <xf borderId="0" fillId="7" fontId="14" numFmtId="166" xfId="0" applyAlignment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11" fillId="0" fontId="5" numFmtId="49" xfId="0" applyAlignment="1" applyBorder="1" applyFont="1" applyNumberFormat="1">
      <alignment horizontal="center" shrinkToFit="0" vertical="center" wrapText="1"/>
    </xf>
    <xf borderId="0" fillId="0" fontId="5" numFmtId="168" xfId="0" applyAlignment="1" applyFont="1" applyNumberFormat="1">
      <alignment shrinkToFit="0" vertical="center" wrapText="1"/>
    </xf>
    <xf borderId="0" fillId="0" fontId="8" numFmtId="168" xfId="0" applyAlignment="1" applyFont="1" applyNumberFormat="1">
      <alignment horizontal="center" shrinkToFit="0" vertical="center" wrapText="1"/>
    </xf>
    <xf borderId="10" fillId="0" fontId="6" numFmtId="3" xfId="0" applyAlignment="1" applyBorder="1" applyFont="1" applyNumberForma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10" fillId="0" fontId="14" numFmtId="3" xfId="0" applyAlignment="1" applyBorder="1" applyFont="1" applyNumberForma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0" fillId="0" fontId="8" numFmtId="167" xfId="0" applyAlignment="1" applyFont="1" applyNumberFormat="1">
      <alignment vertical="center"/>
    </xf>
    <xf borderId="10" fillId="0" fontId="6" numFmtId="167" xfId="0" applyAlignment="1" applyBorder="1" applyFont="1" applyNumberFormat="1">
      <alignment horizontal="center" vertical="center"/>
    </xf>
    <xf borderId="0" fillId="0" fontId="5" numFmtId="49" xfId="0" applyAlignment="1" applyFont="1" applyNumberFormat="1">
      <alignment shrinkToFit="0" vertical="center" wrapText="0"/>
    </xf>
    <xf borderId="4" fillId="0" fontId="5" numFmtId="49" xfId="0" applyAlignment="1" applyBorder="1" applyFont="1" applyNumberFormat="1">
      <alignment horizontal="center" vertical="center"/>
    </xf>
    <xf borderId="4" fillId="0" fontId="5" numFmtId="49" xfId="0" applyAlignment="1" applyBorder="1" applyFont="1" applyNumberFormat="1">
      <alignment vertical="center"/>
    </xf>
    <xf borderId="4" fillId="0" fontId="5" numFmtId="4" xfId="0" applyAlignment="1" applyBorder="1" applyFont="1" applyNumberFormat="1">
      <alignment vertical="center"/>
    </xf>
    <xf borderId="0" fillId="0" fontId="8" numFmtId="3" xfId="0" applyAlignment="1" applyFont="1" applyNumberFormat="1">
      <alignment horizontal="center" vertical="center"/>
    </xf>
    <xf borderId="0" fillId="11" fontId="8" numFmtId="3" xfId="0" applyAlignment="1" applyFill="1" applyFont="1" applyNumberFormat="1">
      <alignment horizontal="center" vertical="center"/>
    </xf>
    <xf borderId="0" fillId="0" fontId="8" numFmtId="3" xfId="0" applyAlignment="1" applyFont="1" applyNumberFormat="1">
      <alignment vertical="center"/>
    </xf>
    <xf borderId="10" fillId="0" fontId="8" numFmtId="3" xfId="0" applyAlignment="1" applyBorder="1" applyFont="1" applyNumberFormat="1">
      <alignment horizontal="center" vertical="center"/>
    </xf>
    <xf borderId="0" fillId="3" fontId="9" numFmtId="0" xfId="0" applyAlignment="1" applyFont="1">
      <alignment vertical="center"/>
    </xf>
    <xf borderId="0" fillId="6" fontId="5" numFmtId="0" xfId="0" applyAlignment="1" applyFont="1">
      <alignment shrinkToFit="0" vertical="center" wrapText="1"/>
    </xf>
    <xf borderId="1" fillId="0" fontId="5" numFmtId="49" xfId="0" applyAlignment="1" applyBorder="1" applyFont="1" applyNumberFormat="1">
      <alignment vertical="center"/>
    </xf>
    <xf borderId="1" fillId="6" fontId="5" numFmtId="0" xfId="0" applyAlignment="1" applyBorder="1" applyFont="1">
      <alignment vertical="center"/>
    </xf>
    <xf borderId="1" fillId="6" fontId="5" numFmtId="49" xfId="0" applyAlignment="1" applyBorder="1" applyFont="1" applyNumberFormat="1">
      <alignment shrinkToFit="0" vertical="center" wrapText="1"/>
    </xf>
    <xf borderId="1" fillId="6" fontId="18" numFmtId="4" xfId="0" applyAlignment="1" applyBorder="1" applyFont="1" applyNumberFormat="1">
      <alignment vertical="center"/>
    </xf>
    <xf borderId="0" fillId="0" fontId="18" numFmtId="4" xfId="0" applyAlignment="1" applyFont="1" applyNumberFormat="1">
      <alignment vertical="center"/>
    </xf>
    <xf borderId="0" fillId="0" fontId="5" numFmtId="168" xfId="0" applyAlignment="1" applyFont="1" applyNumberFormat="1">
      <alignment vertical="center"/>
    </xf>
    <xf borderId="0" fillId="0" fontId="14" numFmtId="3" xfId="0" applyAlignment="1" applyFont="1" applyNumberFormat="1">
      <alignment vertical="center"/>
    </xf>
    <xf borderId="0" fillId="0" fontId="19" numFmtId="0" xfId="0" applyAlignment="1" applyFont="1">
      <alignment horizontal="left" vertical="center"/>
    </xf>
    <xf borderId="10" fillId="0" fontId="8" numFmtId="167" xfId="0" applyAlignment="1" applyBorder="1" applyFont="1" applyNumberFormat="1">
      <alignment vertical="center"/>
    </xf>
    <xf borderId="0" fillId="0" fontId="14" numFmtId="0" xfId="0" applyAlignment="1" applyFont="1">
      <alignment horizontal="center" vertical="center"/>
    </xf>
    <xf borderId="10" fillId="0" fontId="8" numFmtId="0" xfId="0" applyAlignment="1" applyBorder="1" applyFont="1">
      <alignment vertical="center"/>
    </xf>
    <xf borderId="0" fillId="0" fontId="8" numFmtId="49" xfId="0" applyAlignment="1" applyFont="1" applyNumberFormat="1">
      <alignment horizontal="center" shrinkToFit="0" vertical="center" wrapText="1"/>
    </xf>
    <xf borderId="0" fillId="0" fontId="20" numFmtId="0" xfId="0" applyAlignment="1" applyFont="1">
      <alignment vertical="center"/>
    </xf>
    <xf borderId="11" fillId="11" fontId="5" numFmtId="0" xfId="0" applyAlignment="1" applyBorder="1" applyFont="1">
      <alignment horizontal="center" vertical="center"/>
    </xf>
    <xf borderId="0" fillId="11" fontId="5" numFmtId="4" xfId="0" applyAlignment="1" applyFont="1" applyNumberFormat="1">
      <alignment vertical="center"/>
    </xf>
    <xf borderId="0" fillId="11" fontId="5" numFmtId="0" xfId="0" applyAlignment="1" applyFont="1">
      <alignment vertical="center"/>
    </xf>
    <xf borderId="0" fillId="0" fontId="8" numFmtId="166" xfId="0" applyAlignment="1" applyFont="1" applyNumberFormat="1">
      <alignment horizontal="center" vertical="center"/>
    </xf>
    <xf borderId="0" fillId="0" fontId="14" numFmtId="167" xfId="0" applyAlignment="1" applyFont="1" applyNumberFormat="1">
      <alignment vertical="center"/>
    </xf>
    <xf borderId="0" fillId="0" fontId="5" numFmtId="0" xfId="0" applyAlignment="1" applyFont="1">
      <alignment shrinkToFit="0" vertical="center" wrapText="0"/>
    </xf>
    <xf borderId="0" fillId="6" fontId="5" numFmtId="4" xfId="0" applyAlignment="1" applyFont="1" applyNumberFormat="1">
      <alignment vertical="center"/>
    </xf>
    <xf borderId="11" fillId="0" fontId="7" numFmtId="49" xfId="0" applyAlignment="1" applyBorder="1" applyFont="1" applyNumberFormat="1">
      <alignment horizontal="center" vertical="center"/>
    </xf>
    <xf borderId="11" fillId="3" fontId="5" numFmtId="49" xfId="0" applyAlignment="1" applyBorder="1" applyFont="1" applyNumberFormat="1">
      <alignment horizontal="center" vertical="center"/>
    </xf>
    <xf borderId="0" fillId="3" fontId="5" numFmtId="49" xfId="0" applyAlignment="1" applyFont="1" applyNumberFormat="1">
      <alignment vertical="center"/>
    </xf>
    <xf borderId="0" fillId="6" fontId="5" numFmtId="49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6" fontId="5" numFmtId="166" xfId="0" applyAlignment="1" applyFont="1" applyNumberFormat="1">
      <alignment vertical="center"/>
    </xf>
    <xf borderId="0" fillId="6" fontId="6" numFmtId="3" xfId="0" applyAlignment="1" applyFont="1" applyNumberFormat="1">
      <alignment horizontal="center" vertical="center"/>
    </xf>
    <xf borderId="0" fillId="0" fontId="21" numFmtId="0" xfId="0" applyFont="1"/>
    <xf borderId="0" fillId="6" fontId="8" numFmtId="3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2" fillId="0" fontId="5" numFmtId="49" xfId="0" applyAlignment="1" applyBorder="1" applyFont="1" applyNumberFormat="1">
      <alignment vertical="center"/>
    </xf>
    <xf borderId="13" fillId="0" fontId="5" numFmtId="49" xfId="0" applyAlignment="1" applyBorder="1" applyFont="1" applyNumberFormat="1">
      <alignment vertical="center"/>
    </xf>
    <xf borderId="0" fillId="0" fontId="22" numFmtId="49" xfId="0" applyAlignment="1" applyFont="1" applyNumberFormat="1">
      <alignment vertical="center"/>
    </xf>
    <xf borderId="0" fillId="12" fontId="5" numFmtId="0" xfId="0" applyAlignment="1" applyFill="1" applyFont="1">
      <alignment horizontal="center" vertical="center"/>
    </xf>
    <xf borderId="0" fillId="12" fontId="6" numFmtId="0" xfId="0" applyAlignment="1" applyFont="1">
      <alignment horizontal="center" shrinkToFit="0" vertical="center" wrapText="1"/>
    </xf>
    <xf borderId="0" fillId="12" fontId="16" numFmtId="0" xfId="0" applyAlignment="1" applyFont="1">
      <alignment vertical="center"/>
    </xf>
    <xf borderId="0" fillId="12" fontId="5" numFmtId="0" xfId="0" applyAlignment="1" applyFont="1">
      <alignment vertical="center"/>
    </xf>
    <xf borderId="0" fillId="12" fontId="23" numFmtId="0" xfId="0" applyAlignment="1" applyFont="1">
      <alignment vertical="center"/>
    </xf>
    <xf borderId="11" fillId="12" fontId="5" numFmtId="49" xfId="0" applyAlignment="1" applyBorder="1" applyFont="1" applyNumberFormat="1">
      <alignment horizontal="center" vertical="center"/>
    </xf>
    <xf borderId="0" fillId="12" fontId="5" numFmtId="49" xfId="0" applyAlignment="1" applyFont="1" applyNumberFormat="1">
      <alignment vertical="center"/>
    </xf>
    <xf borderId="0" fillId="12" fontId="8" numFmtId="49" xfId="0" applyAlignment="1" applyFont="1" applyNumberFormat="1">
      <alignment horizontal="center" shrinkToFit="0" vertical="center" wrapText="1"/>
    </xf>
    <xf borderId="0" fillId="12" fontId="8" numFmtId="0" xfId="0" applyAlignment="1" applyFont="1">
      <alignment horizontal="center" vertical="center"/>
    </xf>
    <xf borderId="0" fillId="12" fontId="6" numFmtId="166" xfId="0" applyAlignment="1" applyFont="1" applyNumberFormat="1">
      <alignment horizontal="center" vertical="center"/>
    </xf>
    <xf borderId="0" fillId="12" fontId="8" numFmtId="166" xfId="0" applyAlignment="1" applyFont="1" applyNumberFormat="1">
      <alignment horizontal="center" vertical="center"/>
    </xf>
    <xf borderId="0" fillId="12" fontId="8" numFmtId="167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11" fontId="8" numFmtId="167" xfId="0" applyAlignment="1" applyFont="1" applyNumberFormat="1">
      <alignment horizontal="center" vertical="center"/>
    </xf>
    <xf borderId="0" fillId="0" fontId="5" numFmtId="169" xfId="0" applyAlignment="1" applyFont="1" applyNumberFormat="1">
      <alignment vertical="center"/>
    </xf>
    <xf borderId="14" fillId="0" fontId="6" numFmtId="167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vertical="center"/>
    </xf>
    <xf borderId="1" fillId="0" fontId="5" numFmtId="49" xfId="0" applyAlignment="1" applyBorder="1" applyFont="1" applyNumberFormat="1">
      <alignment horizontal="center" shrinkToFit="0" vertical="center" wrapText="0"/>
    </xf>
    <xf borderId="1" fillId="0" fontId="5" numFmtId="49" xfId="0" applyAlignment="1" applyBorder="1" applyFont="1" applyNumberFormat="1">
      <alignment horizontal="left" shrinkToFit="0" vertical="center" wrapText="0"/>
    </xf>
    <xf borderId="0" fillId="0" fontId="24" numFmtId="0" xfId="0" applyAlignment="1" applyFont="1">
      <alignment vertical="center"/>
    </xf>
    <xf borderId="0" fillId="11" fontId="14" numFmtId="167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shrinkToFit="0" vertical="center" wrapText="0"/>
    </xf>
    <xf borderId="0" fillId="0" fontId="5" numFmtId="49" xfId="0" applyAlignment="1" applyFont="1" applyNumberFormat="1">
      <alignment horizontal="left" shrinkToFit="0" vertical="center" wrapText="0"/>
    </xf>
    <xf borderId="0" fillId="0" fontId="25" numFmtId="167" xfId="0" applyAlignment="1" applyFont="1" applyNumberFormat="1">
      <alignment horizontal="center" vertical="center"/>
    </xf>
    <xf borderId="0" fillId="3" fontId="26" numFmtId="0" xfId="0" applyAlignment="1" applyFont="1">
      <alignment horizontal="left" shrinkToFit="0" vertical="center" wrapText="1"/>
    </xf>
    <xf borderId="0" fillId="0" fontId="16" numFmtId="167" xfId="0" applyAlignment="1" applyFont="1" applyNumberFormat="1">
      <alignment vertical="center"/>
    </xf>
    <xf borderId="10" fillId="0" fontId="2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10" fillId="0" fontId="16" numFmtId="0" xfId="0" applyAlignment="1" applyBorder="1" applyFont="1">
      <alignment vertical="center"/>
    </xf>
    <xf borderId="1" fillId="0" fontId="5" numFmtId="49" xfId="0" applyAlignment="1" applyBorder="1" applyFont="1" applyNumberFormat="1">
      <alignment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0" xfId="0" applyAlignment="1" applyFont="1">
      <alignment vertical="center"/>
    </xf>
    <xf borderId="0" fillId="3" fontId="5" numFmtId="4" xfId="0" applyAlignment="1" applyFont="1" applyNumberFormat="1">
      <alignment shrinkToFit="0" vertical="center" wrapText="1"/>
    </xf>
    <xf borderId="0" fillId="0" fontId="27" numFmtId="0" xfId="0" applyAlignment="1" applyFont="1">
      <alignment horizontal="center" vertical="center"/>
    </xf>
    <xf borderId="8" fillId="0" fontId="5" numFmtId="0" xfId="0" applyAlignment="1" applyBorder="1" applyFont="1">
      <alignment vertical="center"/>
    </xf>
    <xf borderId="0" fillId="0" fontId="7" numFmtId="49" xfId="0" applyAlignment="1" applyFont="1" applyNumberFormat="1">
      <alignment vertical="center"/>
    </xf>
    <xf borderId="1" fillId="0" fontId="7" numFmtId="49" xfId="0" applyAlignment="1" applyBorder="1" applyFont="1" applyNumberFormat="1">
      <alignment vertical="center"/>
    </xf>
    <xf borderId="0" fillId="0" fontId="28" numFmtId="49" xfId="0" applyAlignment="1" applyFont="1" applyNumberFormat="1">
      <alignment vertical="center"/>
    </xf>
    <xf borderId="0" fillId="0" fontId="29" numFmtId="49" xfId="0" applyAlignment="1" applyFont="1" applyNumberFormat="1">
      <alignment vertical="center"/>
    </xf>
    <xf borderId="0" fillId="6" fontId="8" numFmtId="0" xfId="0" applyAlignment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0" fillId="3" fontId="5" numFmtId="4" xfId="0" applyAlignment="1" applyFont="1" applyNumberFormat="1">
      <alignment vertical="center"/>
    </xf>
    <xf borderId="0" fillId="11" fontId="6" numFmtId="167" xfId="0" applyAlignment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7" fontId="16" numFmtId="166" xfId="0" applyAlignment="1" applyFont="1" applyNumberFormat="1">
      <alignment vertical="center"/>
    </xf>
    <xf borderId="10" fillId="0" fontId="16" numFmtId="167" xfId="0" applyAlignment="1" applyBorder="1" applyFont="1" applyNumberFormat="1">
      <alignment vertical="center"/>
    </xf>
    <xf borderId="0" fillId="6" fontId="8" numFmtId="167" xfId="0" applyAlignment="1" applyFont="1" applyNumberFormat="1">
      <alignment vertical="center"/>
    </xf>
    <xf borderId="0" fillId="6" fontId="16" numFmtId="167" xfId="0" applyAlignment="1" applyFont="1" applyNumberFormat="1">
      <alignment vertical="center"/>
    </xf>
    <xf borderId="0" fillId="6" fontId="6" numFmtId="167" xfId="0" applyAlignment="1" applyFont="1" applyNumberFormat="1">
      <alignment horizontal="center" vertical="center"/>
    </xf>
    <xf borderId="10" fillId="12" fontId="8" numFmtId="167" xfId="0" applyAlignment="1" applyBorder="1" applyFont="1" applyNumberFormat="1">
      <alignment horizontal="center" vertical="center"/>
    </xf>
    <xf borderId="0" fillId="12" fontId="8" numFmtId="3" xfId="0" applyAlignment="1" applyFont="1" applyNumberFormat="1">
      <alignment horizontal="center" vertical="center"/>
    </xf>
    <xf borderId="10" fillId="0" fontId="8" numFmtId="0" xfId="0" applyAlignment="1" applyBorder="1" applyFont="1">
      <alignment horizontal="center" vertical="center"/>
    </xf>
    <xf borderId="0" fillId="12" fontId="5" numFmtId="49" xfId="0" applyAlignment="1" applyFont="1" applyNumberFormat="1">
      <alignment shrinkToFit="0" vertical="center" wrapText="1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left" shrinkToFit="0" vertical="center" wrapText="1"/>
    </xf>
    <xf borderId="0" fillId="5" fontId="31" numFmtId="0" xfId="0" applyAlignment="1" applyFont="1">
      <alignment horizontal="left" shrinkToFit="0" vertical="center" wrapText="1"/>
    </xf>
    <xf borderId="11" fillId="5" fontId="5" numFmtId="49" xfId="0" applyAlignment="1" applyBorder="1" applyFont="1" applyNumberFormat="1">
      <alignment horizontal="center" vertical="center"/>
    </xf>
    <xf borderId="0" fillId="5" fontId="5" numFmtId="0" xfId="0" applyAlignment="1" applyFont="1">
      <alignment horizontal="center" vertical="center"/>
    </xf>
    <xf borderId="0" fillId="5" fontId="6" numFmtId="166" xfId="0" applyAlignment="1" applyFont="1" applyNumberFormat="1">
      <alignment horizontal="center" vertical="center"/>
    </xf>
    <xf borderId="0" fillId="5" fontId="6" numFmtId="167" xfId="0" applyAlignment="1" applyFont="1" applyNumberFormat="1">
      <alignment horizontal="center" vertical="center"/>
    </xf>
    <xf borderId="0" fillId="5" fontId="8" numFmtId="166" xfId="0" applyAlignment="1" applyFont="1" applyNumberFormat="1">
      <alignment horizontal="center" vertical="center"/>
    </xf>
    <xf borderId="0" fillId="5" fontId="8" numFmtId="167" xfId="0" applyAlignment="1" applyFont="1" applyNumberFormat="1">
      <alignment horizontal="center" vertical="center"/>
    </xf>
    <xf borderId="10" fillId="5" fontId="8" numFmtId="167" xfId="0" applyAlignment="1" applyBorder="1" applyFont="1" applyNumberFormat="1">
      <alignment horizontal="center" vertical="center"/>
    </xf>
    <xf borderId="0" fillId="0" fontId="32" numFmtId="0" xfId="0" applyAlignment="1" applyFont="1">
      <alignment horizontal="left" vertical="center"/>
    </xf>
    <xf borderId="0" fillId="0" fontId="12" numFmtId="0" xfId="0" applyAlignment="1" applyFont="1">
      <alignment vertical="center"/>
    </xf>
    <xf borderId="15" fillId="2" fontId="33" numFmtId="0" xfId="0" applyAlignment="1" applyBorder="1" applyFont="1">
      <alignment horizontal="center" vertical="center"/>
    </xf>
    <xf borderId="15" fillId="0" fontId="34" numFmtId="0" xfId="0" applyAlignment="1" applyBorder="1" applyFont="1">
      <alignment horizontal="left" vertical="center"/>
    </xf>
    <xf borderId="15" fillId="0" fontId="34" numFmtId="3" xfId="0" applyAlignment="1" applyBorder="1" applyFont="1" applyNumberFormat="1">
      <alignment horizontal="center" vertical="center"/>
    </xf>
    <xf borderId="0" fillId="0" fontId="35" numFmtId="0" xfId="0" applyAlignment="1" applyFont="1">
      <alignment horizontal="left" vertical="center"/>
    </xf>
    <xf borderId="0" fillId="0" fontId="34" numFmtId="0" xfId="0" applyAlignment="1" applyFont="1">
      <alignment horizontal="left" vertical="center"/>
    </xf>
    <xf borderId="0" fillId="0" fontId="36" numFmtId="0" xfId="0" applyAlignment="1" applyFont="1">
      <alignment horizontal="center" vertical="center"/>
    </xf>
    <xf borderId="1" fillId="3" fontId="5" numFmtId="4" xfId="0" applyAlignment="1" applyBorder="1" applyFont="1" applyNumberFormat="1">
      <alignment horizontal="center" shrinkToFit="0" vertical="center" wrapText="1"/>
    </xf>
    <xf quotePrefix="1" borderId="0" fillId="3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1" fillId="3" fontId="7" numFmtId="49" xfId="0" applyAlignment="1" applyBorder="1" applyFont="1" applyNumberFormat="1">
      <alignment horizontal="center" vertical="center"/>
    </xf>
    <xf quotePrefix="1" borderId="1" fillId="0" fontId="5" numFmtId="49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quotePrefix="1" borderId="6" fillId="0" fontId="5" numFmtId="4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shrinkToFit="0" vertical="center" wrapText="1"/>
    </xf>
    <xf borderId="8" fillId="0" fontId="37" numFmtId="0" xfId="0" applyAlignment="1" applyBorder="1" applyFont="1">
      <alignment horizontal="left" vertical="center"/>
    </xf>
    <xf borderId="5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left" vertical="center"/>
    </xf>
    <xf quotePrefix="1" borderId="5" fillId="0" fontId="5" numFmtId="49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vertical="center"/>
    </xf>
    <xf borderId="9" fillId="3" fontId="9" numFmtId="0" xfId="0" applyAlignment="1" applyBorder="1" applyFont="1">
      <alignment horizontal="left" vertical="center"/>
    </xf>
    <xf borderId="9" fillId="3" fontId="5" numFmtId="49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left" shrinkToFit="0" vertical="center" wrapText="1"/>
    </xf>
    <xf borderId="9" fillId="0" fontId="5" numFmtId="49" xfId="0" applyAlignment="1" applyBorder="1" applyFont="1" applyNumberFormat="1">
      <alignment horizontal="left" shrinkToFit="0" vertical="center" wrapText="1"/>
    </xf>
    <xf borderId="0" fillId="0" fontId="38" numFmtId="0" xfId="0" applyFont="1"/>
    <xf borderId="0" fillId="0" fontId="16" numFmtId="0" xfId="0" applyFont="1"/>
    <xf borderId="0" fillId="0" fontId="39" numFmtId="0" xfId="0" applyAlignment="1" applyFont="1">
      <alignment vertical="center"/>
    </xf>
    <xf borderId="0" fillId="0" fontId="8" numFmtId="49" xfId="0" applyAlignment="1" applyFont="1" applyNumberFormat="1">
      <alignment horizontal="center" vertical="center"/>
    </xf>
    <xf borderId="0" fillId="3" fontId="7" numFmtId="0" xfId="0" applyAlignment="1" applyFont="1">
      <alignment horizontal="center" vertical="center"/>
    </xf>
    <xf borderId="0" fillId="8" fontId="5" numFmtId="0" xfId="0" applyAlignment="1" applyFont="1">
      <alignment horizontal="center" vertical="center"/>
    </xf>
    <xf borderId="0" fillId="0" fontId="40" numFmtId="167" xfId="0" applyAlignment="1" applyFont="1" applyNumberFormat="1">
      <alignment horizontal="center" vertical="center"/>
    </xf>
    <xf borderId="0" fillId="3" fontId="41" numFmtId="0" xfId="0" applyAlignment="1" applyFont="1">
      <alignment horizontal="left" shrinkToFit="0" vertical="center" wrapText="1"/>
    </xf>
    <xf borderId="0" fillId="13" fontId="5" numFmtId="0" xfId="0" applyAlignment="1" applyFill="1" applyFont="1">
      <alignment vertical="center"/>
    </xf>
    <xf borderId="0" fillId="0" fontId="42" numFmtId="0" xfId="0" applyAlignment="1" applyFont="1">
      <alignment horizontal="left" shrinkToFit="0" vertical="center" wrapText="1"/>
    </xf>
    <xf borderId="0" fillId="0" fontId="43" numFmtId="0" xfId="0" applyAlignment="1" applyFont="1">
      <alignment shrinkToFit="0" vertical="center" wrapText="1"/>
    </xf>
    <xf borderId="0" fillId="2" fontId="44" numFmtId="0" xfId="0" applyAlignment="1" applyFont="1">
      <alignment horizontal="center" shrinkToFit="0" vertical="center" wrapText="1"/>
    </xf>
    <xf borderId="14" fillId="2" fontId="44" numFmtId="0" xfId="0" applyAlignment="1" applyBorder="1" applyFont="1">
      <alignment horizontal="center" shrinkToFit="0" vertical="center" wrapText="1"/>
    </xf>
    <xf borderId="0" fillId="0" fontId="45" numFmtId="0" xfId="0" applyAlignment="1" applyFont="1">
      <alignment shrinkToFit="0" vertical="center" wrapText="1"/>
    </xf>
    <xf borderId="0" fillId="2" fontId="44" numFmtId="9" xfId="0" applyAlignment="1" applyFont="1" applyNumberFormat="1">
      <alignment horizontal="center" shrinkToFit="0" vertical="center" wrapText="1"/>
    </xf>
    <xf borderId="0" fillId="0" fontId="46" numFmtId="0" xfId="0" applyAlignment="1" applyFont="1">
      <alignment horizontal="left" shrinkToFit="0" vertical="center" wrapText="1"/>
    </xf>
    <xf borderId="0" fillId="0" fontId="46" numFmtId="3" xfId="0" applyAlignment="1" applyFont="1" applyNumberFormat="1">
      <alignment horizontal="center" shrinkToFit="0" vertical="center" wrapText="1"/>
    </xf>
    <xf borderId="0" fillId="0" fontId="47" numFmtId="3" xfId="0" applyAlignment="1" applyFont="1" applyNumberFormat="1">
      <alignment horizontal="center" shrinkToFit="0" vertical="center" wrapText="1"/>
    </xf>
    <xf borderId="14" fillId="0" fontId="46" numFmtId="3" xfId="0" applyAlignment="1" applyBorder="1" applyFont="1" applyNumberFormat="1">
      <alignment horizontal="center" shrinkToFit="0" vertical="center" wrapText="1"/>
    </xf>
    <xf borderId="0" fillId="0" fontId="45" numFmtId="3" xfId="0" applyAlignment="1" applyFont="1" applyNumberFormat="1">
      <alignment shrinkToFit="0" vertical="center" wrapText="1"/>
    </xf>
    <xf borderId="0" fillId="0" fontId="43" numFmtId="3" xfId="0" applyAlignment="1" applyFont="1" applyNumberFormat="1">
      <alignment shrinkToFit="0" vertical="center" wrapText="1"/>
    </xf>
    <xf borderId="0" fillId="0" fontId="46" numFmtId="0" xfId="0" applyAlignment="1" applyFont="1">
      <alignment horizontal="center" shrinkToFit="0" vertical="center" wrapText="1"/>
    </xf>
    <xf borderId="0" fillId="0" fontId="48" numFmtId="0" xfId="0" applyAlignment="1" applyFont="1">
      <alignment shrinkToFit="0" vertical="center" wrapText="0"/>
    </xf>
    <xf borderId="0" fillId="0" fontId="45" numFmtId="0" xfId="0" applyAlignment="1" applyFont="1">
      <alignment shrinkToFit="0" vertical="center" wrapText="0"/>
    </xf>
    <xf borderId="0" fillId="0" fontId="14" numFmtId="166" xfId="0" applyAlignment="1" applyFont="1" applyNumberFormat="1">
      <alignment horizontal="center" vertical="center"/>
    </xf>
    <xf borderId="1" fillId="0" fontId="7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14" numFmtId="166" xfId="0" applyAlignment="1" applyBorder="1" applyFont="1" applyNumberFormat="1">
      <alignment horizontal="center" vertical="center"/>
    </xf>
    <xf borderId="1" fillId="0" fontId="14" numFmtId="167" xfId="0" applyAlignment="1" applyBorder="1" applyFont="1" applyNumberFormat="1">
      <alignment horizontal="center" vertical="center"/>
    </xf>
    <xf borderId="16" fillId="0" fontId="5" numFmtId="0" xfId="0" applyAlignment="1" applyBorder="1" applyFont="1">
      <alignment horizontal="center" vertical="center"/>
    </xf>
    <xf borderId="0" fillId="0" fontId="16" numFmtId="166" xfId="0" applyAlignment="1" applyFont="1" applyNumberFormat="1">
      <alignment vertical="center"/>
    </xf>
    <xf borderId="0" fillId="0" fontId="12" numFmtId="49" xfId="0" applyAlignment="1" applyFont="1" applyNumberFormat="1">
      <alignment shrinkToFit="0" vertical="center" wrapText="1"/>
    </xf>
    <xf borderId="0" fillId="5" fontId="5" numFmtId="49" xfId="0" applyAlignment="1" applyFont="1" applyNumberFormat="1">
      <alignment horizontal="center" vertical="center"/>
    </xf>
    <xf borderId="0" fillId="5" fontId="5" numFmtId="49" xfId="0" applyAlignment="1" applyFont="1" applyNumberFormat="1">
      <alignment horizontal="left" shrinkToFit="0" vertical="center" wrapText="1"/>
    </xf>
    <xf borderId="0" fillId="5" fontId="5" numFmtId="0" xfId="0" applyAlignment="1" applyFont="1">
      <alignment horizontal="left" vertical="center"/>
    </xf>
    <xf borderId="17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shrinkToFit="0" vertical="center" wrapText="1"/>
    </xf>
    <xf borderId="17" fillId="2" fontId="3" numFmtId="49" xfId="0" applyAlignment="1" applyBorder="1" applyFont="1" applyNumberForma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shrinkToFit="0" vertical="center" wrapText="1"/>
    </xf>
    <xf borderId="17" fillId="2" fontId="1" numFmtId="166" xfId="0" applyAlignment="1" applyBorder="1" applyFont="1" applyNumberFormat="1">
      <alignment horizontal="center" shrinkToFit="0" vertical="center" wrapText="1"/>
    </xf>
    <xf borderId="17" fillId="2" fontId="3" numFmtId="167" xfId="0" applyAlignment="1" applyBorder="1" applyFont="1" applyNumberFormat="1">
      <alignment horizontal="center" shrinkToFit="0" vertical="center" wrapText="1"/>
    </xf>
    <xf borderId="1" fillId="0" fontId="5" numFmtId="166" xfId="0" applyAlignment="1" applyBorder="1" applyFont="1" applyNumberFormat="1">
      <alignment vertical="center"/>
    </xf>
    <xf borderId="0" fillId="0" fontId="7" numFmtId="0" xfId="0" applyAlignment="1" applyFont="1">
      <alignment shrinkToFit="0" vertical="center" wrapText="1"/>
    </xf>
    <xf borderId="5" fillId="0" fontId="5" numFmtId="0" xfId="0" applyAlignment="1" applyBorder="1" applyFont="1">
      <alignment horizontal="center" vertical="center"/>
    </xf>
    <xf borderId="0" fillId="14" fontId="5" numFmtId="0" xfId="0" applyAlignment="1" applyFill="1" applyFont="1">
      <alignment horizontal="center" vertical="center"/>
    </xf>
    <xf borderId="0" fillId="14" fontId="6" numFmtId="167" xfId="0" applyAlignment="1" applyFont="1" applyNumberFormat="1">
      <alignment horizontal="center" vertical="center"/>
    </xf>
    <xf borderId="17" fillId="2" fontId="1" numFmtId="49" xfId="0" applyAlignment="1" applyBorder="1" applyFont="1" applyNumberFormat="1">
      <alignment horizontal="center" shrinkToFit="0" vertical="center" wrapText="1"/>
    </xf>
    <xf borderId="1" fillId="0" fontId="5" numFmtId="49" xfId="0" applyAlignment="1" applyBorder="1" applyFont="1" applyNumberFormat="1">
      <alignment horizontal="center" shrinkToFit="0" vertical="center" wrapText="1"/>
    </xf>
    <xf borderId="1" fillId="0" fontId="5" numFmtId="168" xfId="0" applyAlignment="1" applyBorder="1" applyFont="1" applyNumberFormat="1">
      <alignment shrinkToFit="0" vertical="center" wrapText="1"/>
    </xf>
    <xf borderId="5" fillId="0" fontId="8" numFmtId="0" xfId="0" applyAlignment="1" applyBorder="1" applyFont="1">
      <alignment horizontal="center" vertical="center"/>
    </xf>
    <xf quotePrefix="1" borderId="1" fillId="3" fontId="5" numFmtId="49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0" fillId="0" fontId="8" numFmtId="170" xfId="0" applyAlignment="1" applyFont="1" applyNumberFormat="1">
      <alignment horizontal="center" vertical="center"/>
    </xf>
    <xf borderId="0" fillId="5" fontId="49" numFmtId="0" xfId="0" applyAlignment="1" applyFont="1">
      <alignment horizontal="left" vertical="center"/>
    </xf>
    <xf borderId="0" fillId="5" fontId="5" numFmtId="49" xfId="0" applyAlignment="1" applyFont="1" applyNumberFormat="1">
      <alignment vertical="center"/>
    </xf>
    <xf borderId="0" fillId="0" fontId="50" numFmtId="0" xfId="0" applyAlignment="1" applyFont="1">
      <alignment horizontal="left" vertical="center"/>
    </xf>
    <xf borderId="0" fillId="2" fontId="1" numFmtId="49" xfId="0" applyAlignment="1" applyFont="1" applyNumberFormat="1">
      <alignment horizontal="center" vertical="center"/>
    </xf>
    <xf borderId="0" fillId="3" fontId="6" numFmtId="0" xfId="0" applyAlignment="1" applyFont="1">
      <alignment horizontal="center" vertical="center"/>
    </xf>
    <xf borderId="0" fillId="15" fontId="8" numFmtId="167" xfId="0" applyAlignment="1" applyFill="1" applyFont="1" applyNumberFormat="1">
      <alignment horizontal="center" vertical="center"/>
    </xf>
    <xf borderId="0" fillId="15" fontId="14" numFmtId="167" xfId="0" applyAlignment="1" applyFont="1" applyNumberFormat="1">
      <alignment horizontal="center" vertical="center"/>
    </xf>
    <xf borderId="0" fillId="3" fontId="6" numFmtId="3" xfId="0" applyAlignment="1" applyFont="1" applyNumberFormat="1">
      <alignment horizontal="center" vertical="center"/>
    </xf>
    <xf borderId="0" fillId="3" fontId="5" numFmtId="49" xfId="0" applyAlignment="1" applyFont="1" applyNumberFormat="1">
      <alignment shrinkToFit="0" vertical="center" wrapText="1"/>
    </xf>
    <xf borderId="0" fillId="3" fontId="8" numFmtId="0" xfId="0" applyAlignment="1" applyFont="1">
      <alignment horizontal="center" vertical="center"/>
    </xf>
    <xf borderId="6" fillId="0" fontId="5" numFmtId="49" xfId="0" applyAlignment="1" applyBorder="1" applyFont="1" applyNumberFormat="1">
      <alignment horizontal="center" vertical="center"/>
    </xf>
    <xf borderId="6" fillId="0" fontId="5" numFmtId="49" xfId="0" applyAlignment="1" applyBorder="1" applyFont="1" applyNumberFormat="1">
      <alignment shrinkToFit="0" vertical="center" wrapText="1"/>
    </xf>
    <xf borderId="6" fillId="0" fontId="5" numFmtId="168" xfId="0" applyAlignment="1" applyBorder="1" applyFont="1" applyNumberFormat="1">
      <alignment vertical="center"/>
    </xf>
    <xf borderId="0" fillId="0" fontId="16" numFmtId="0" xfId="0" applyAlignment="1" applyFont="1">
      <alignment horizontal="center" vertical="center"/>
    </xf>
    <xf borderId="0" fillId="3" fontId="5" numFmtId="0" xfId="0" applyAlignment="1" applyFont="1">
      <alignment shrinkToFit="0" vertical="center" wrapText="0"/>
    </xf>
    <xf borderId="18" fillId="0" fontId="5" numFmtId="49" xfId="0" applyAlignment="1" applyBorder="1" applyFont="1" applyNumberFormat="1">
      <alignment horizontal="center" vertical="center"/>
    </xf>
    <xf borderId="18" fillId="3" fontId="5" numFmtId="49" xfId="0" applyAlignment="1" applyBorder="1" applyFont="1" applyNumberFormat="1">
      <alignment vertical="center"/>
    </xf>
    <xf borderId="18" fillId="3" fontId="5" numFmtId="0" xfId="0" applyAlignment="1" applyBorder="1" applyFont="1">
      <alignment vertical="center"/>
    </xf>
    <xf borderId="6" fillId="3" fontId="5" numFmtId="49" xfId="0" applyAlignment="1" applyBorder="1" applyFont="1" applyNumberFormat="1">
      <alignment vertical="center"/>
    </xf>
    <xf borderId="0" fillId="3" fontId="16" numFmtId="0" xfId="0" applyAlignment="1" applyFont="1">
      <alignment horizontal="center" vertical="center"/>
    </xf>
    <xf borderId="19" fillId="0" fontId="5" numFmtId="49" xfId="0" applyAlignment="1" applyBorder="1" applyFont="1" applyNumberFormat="1">
      <alignment shrinkToFit="0" vertical="center" wrapText="1"/>
    </xf>
    <xf borderId="20" fillId="0" fontId="5" numFmtId="49" xfId="0" applyAlignment="1" applyBorder="1" applyFont="1" applyNumberFormat="1">
      <alignment horizontal="center" vertical="center"/>
    </xf>
    <xf borderId="20" fillId="0" fontId="5" numFmtId="49" xfId="0" applyAlignment="1" applyBorder="1" applyFont="1" applyNumberFormat="1">
      <alignment shrinkToFit="0" vertical="center" wrapText="1"/>
    </xf>
    <xf borderId="20" fillId="0" fontId="5" numFmtId="49" xfId="0" applyAlignment="1" applyBorder="1" applyFont="1" applyNumberFormat="1">
      <alignment vertical="center"/>
    </xf>
    <xf borderId="0" fillId="5" fontId="5" numFmtId="49" xfId="0" applyAlignment="1" applyFont="1" applyNumberFormat="1">
      <alignment horizontal="left" vertical="center"/>
    </xf>
    <xf borderId="21" fillId="2" fontId="51" numFmtId="0" xfId="0" applyAlignment="1" applyBorder="1" applyFont="1">
      <alignment horizontal="center" vertical="center"/>
    </xf>
    <xf borderId="21" fillId="2" fontId="44" numFmtId="0" xfId="0" applyAlignment="1" applyBorder="1" applyFont="1">
      <alignment horizontal="center" vertical="center"/>
    </xf>
    <xf borderId="22" fillId="2" fontId="51" numFmtId="0" xfId="0" applyAlignment="1" applyBorder="1" applyFont="1">
      <alignment horizontal="center" vertical="center"/>
    </xf>
    <xf borderId="23" fillId="0" fontId="52" numFmtId="0" xfId="0" applyBorder="1" applyFont="1"/>
    <xf borderId="24" fillId="0" fontId="52" numFmtId="0" xfId="0" applyBorder="1" applyFont="1"/>
    <xf borderId="25" fillId="2" fontId="51" numFmtId="0" xfId="0" applyAlignment="1" applyBorder="1" applyFont="1">
      <alignment horizontal="center" vertical="center"/>
    </xf>
    <xf borderId="22" fillId="2" fontId="44" numFmtId="0" xfId="0" applyAlignment="1" applyBorder="1" applyFont="1">
      <alignment horizontal="center" shrinkToFit="0" vertical="center" wrapText="1"/>
    </xf>
    <xf borderId="25" fillId="2" fontId="44" numFmtId="0" xfId="0" applyAlignment="1" applyBorder="1" applyFont="1">
      <alignment horizontal="center" shrinkToFit="0" vertical="center" wrapText="1"/>
    </xf>
    <xf borderId="23" fillId="2" fontId="51" numFmtId="0" xfId="0" applyAlignment="1" applyBorder="1" applyFont="1">
      <alignment horizontal="center" shrinkToFit="0" vertical="center" wrapText="1"/>
    </xf>
    <xf borderId="24" fillId="2" fontId="51" numFmtId="0" xfId="0" applyAlignment="1" applyBorder="1" applyFont="1">
      <alignment horizontal="center" shrinkToFit="0" vertical="center" wrapText="1"/>
    </xf>
    <xf borderId="26" fillId="0" fontId="52" numFmtId="0" xfId="0" applyBorder="1" applyFont="1"/>
    <xf borderId="25" fillId="2" fontId="51" numFmtId="0" xfId="0" applyAlignment="1" applyBorder="1" applyFont="1">
      <alignment horizontal="center" shrinkToFit="0" vertical="center" wrapText="1"/>
    </xf>
    <xf borderId="27" fillId="0" fontId="12" numFmtId="0" xfId="0" applyAlignment="1" applyBorder="1" applyFont="1">
      <alignment horizontal="center" vertical="center"/>
    </xf>
    <xf borderId="28" fillId="0" fontId="48" numFmtId="0" xfId="0" applyAlignment="1" applyBorder="1" applyFont="1">
      <alignment horizontal="center" shrinkToFit="0" vertical="center" wrapText="1"/>
    </xf>
    <xf borderId="27" fillId="0" fontId="45" numFmtId="0" xfId="0" applyAlignment="1" applyBorder="1" applyFont="1">
      <alignment horizontal="left" vertical="center"/>
    </xf>
    <xf borderId="27" fillId="0" fontId="53" numFmtId="0" xfId="0" applyAlignment="1" applyBorder="1" applyFont="1">
      <alignment horizontal="left" shrinkToFit="0" vertical="center" wrapText="1"/>
    </xf>
    <xf borderId="27" fillId="0" fontId="12" numFmtId="0" xfId="0" applyAlignment="1" applyBorder="1" applyFont="1">
      <alignment horizontal="left" vertical="center"/>
    </xf>
    <xf borderId="14" fillId="0" fontId="12" numFmtId="49" xfId="0" applyAlignment="1" applyBorder="1" applyFont="1" applyNumberFormat="1">
      <alignment horizontal="center" vertical="center"/>
    </xf>
    <xf borderId="29" fillId="0" fontId="5" numFmtId="0" xfId="0" applyAlignment="1" applyBorder="1" applyFont="1">
      <alignment horizontal="center" vertical="center"/>
    </xf>
    <xf borderId="30" fillId="0" fontId="5" numFmtId="4" xfId="0" applyAlignment="1" applyBorder="1" applyFont="1" applyNumberFormat="1">
      <alignment vertical="center"/>
    </xf>
    <xf borderId="31" fillId="3" fontId="7" numFmtId="0" xfId="0" applyAlignment="1" applyBorder="1" applyFont="1">
      <alignment horizontal="left" vertical="center"/>
    </xf>
    <xf borderId="27" fillId="0" fontId="12" numFmtId="0" xfId="0" applyAlignment="1" applyBorder="1" applyFont="1">
      <alignment vertical="center"/>
    </xf>
    <xf borderId="32" fillId="0" fontId="12" numFmtId="0" xfId="0" applyAlignment="1" applyBorder="1" applyFont="1">
      <alignment vertical="center"/>
    </xf>
    <xf borderId="15" fillId="0" fontId="12" numFmtId="171" xfId="0" applyAlignment="1" applyBorder="1" applyFont="1" applyNumberFormat="1">
      <alignment horizontal="center" vertical="center"/>
    </xf>
    <xf borderId="15" fillId="0" fontId="12" numFmtId="172" xfId="0" applyAlignment="1" applyBorder="1" applyFont="1" applyNumberFormat="1">
      <alignment horizontal="center" vertical="center"/>
    </xf>
    <xf borderId="33" fillId="0" fontId="12" numFmtId="172" xfId="0" applyAlignment="1" applyBorder="1" applyFont="1" applyNumberFormat="1">
      <alignment horizontal="center" vertical="center"/>
    </xf>
    <xf borderId="33" fillId="0" fontId="12" numFmtId="171" xfId="0" applyAlignment="1" applyBorder="1" applyFont="1" applyNumberFormat="1">
      <alignment horizontal="center" vertical="center"/>
    </xf>
    <xf borderId="27" fillId="0" fontId="12" numFmtId="171" xfId="0" applyAlignment="1" applyBorder="1" applyFont="1" applyNumberFormat="1">
      <alignment horizontal="center" vertical="center"/>
    </xf>
    <xf borderId="27" fillId="0" fontId="54" numFmtId="171" xfId="0" applyAlignment="1" applyBorder="1" applyFont="1" applyNumberFormat="1">
      <alignment vertical="center"/>
    </xf>
    <xf borderId="27" fillId="0" fontId="52" numFmtId="0" xfId="0" applyBorder="1" applyFont="1"/>
    <xf borderId="14" fillId="0" fontId="52" numFmtId="0" xfId="0" applyBorder="1" applyFont="1"/>
    <xf borderId="27" fillId="0" fontId="53" numFmtId="0" xfId="0" applyAlignment="1" applyBorder="1" applyFont="1">
      <alignment horizontal="center" vertical="center"/>
    </xf>
    <xf borderId="30" fillId="0" fontId="5" numFmtId="49" xfId="0" applyAlignment="1" applyBorder="1" applyFont="1" applyNumberFormat="1">
      <alignment vertical="center"/>
    </xf>
    <xf borderId="30" fillId="0" fontId="55" numFmtId="0" xfId="0" applyAlignment="1" applyBorder="1" applyFont="1">
      <alignment horizontal="left" vertical="center"/>
    </xf>
    <xf borderId="34" fillId="0" fontId="12" numFmtId="0" xfId="0" applyAlignment="1" applyBorder="1" applyFont="1">
      <alignment vertical="center"/>
    </xf>
    <xf borderId="33" fillId="0" fontId="52" numFmtId="0" xfId="0" applyBorder="1" applyFont="1"/>
    <xf borderId="35" fillId="0" fontId="52" numFmtId="0" xfId="0" applyBorder="1" applyFont="1"/>
    <xf borderId="34" fillId="0" fontId="12" numFmtId="172" xfId="0" applyAlignment="1" applyBorder="1" applyFont="1" applyNumberFormat="1">
      <alignment horizontal="center" vertical="center"/>
    </xf>
    <xf borderId="33" fillId="0" fontId="12" numFmtId="0" xfId="0" applyAlignment="1" applyBorder="1" applyFont="1">
      <alignment horizontal="center" vertical="center"/>
    </xf>
    <xf borderId="15" fillId="16" fontId="45" numFmtId="0" xfId="0" applyAlignment="1" applyBorder="1" applyFill="1" applyFont="1">
      <alignment horizontal="left" vertical="center"/>
    </xf>
    <xf borderId="15" fillId="16" fontId="53" numFmtId="0" xfId="0" applyAlignment="1" applyBorder="1" applyFont="1">
      <alignment horizontal="left" shrinkToFit="0" vertical="center" wrapText="1"/>
    </xf>
    <xf borderId="15" fillId="16" fontId="12" numFmtId="0" xfId="0" applyAlignment="1" applyBorder="1" applyFont="1">
      <alignment horizontal="left" vertical="center"/>
    </xf>
    <xf borderId="15" fillId="16" fontId="12" numFmtId="49" xfId="0" applyAlignment="1" applyBorder="1" applyFont="1" applyNumberFormat="1">
      <alignment horizontal="center" vertical="center"/>
    </xf>
    <xf borderId="28" fillId="16" fontId="5" numFmtId="49" xfId="0" applyAlignment="1" applyBorder="1" applyFont="1" applyNumberFormat="1">
      <alignment vertical="center"/>
    </xf>
    <xf borderId="28" fillId="16" fontId="5" numFmtId="0" xfId="0" applyAlignment="1" applyBorder="1" applyFont="1">
      <alignment vertical="center"/>
    </xf>
    <xf borderId="28" fillId="16" fontId="12" numFmtId="0" xfId="0" applyAlignment="1" applyBorder="1" applyFont="1">
      <alignment vertical="center"/>
    </xf>
    <xf borderId="15" fillId="16" fontId="12" numFmtId="172" xfId="0" applyAlignment="1" applyBorder="1" applyFont="1" applyNumberFormat="1">
      <alignment horizontal="center" vertical="center"/>
    </xf>
    <xf borderId="15" fillId="17" fontId="12" numFmtId="172" xfId="0" applyAlignment="1" applyBorder="1" applyFill="1" applyFont="1" applyNumberFormat="1">
      <alignment horizontal="center" vertical="center"/>
    </xf>
    <xf borderId="15" fillId="17" fontId="12" numFmtId="171" xfId="0" applyAlignment="1" applyBorder="1" applyFont="1" applyNumberFormat="1">
      <alignment horizontal="center" vertical="center"/>
    </xf>
    <xf borderId="33" fillId="17" fontId="12" numFmtId="171" xfId="0" applyAlignment="1" applyBorder="1" applyFont="1" applyNumberFormat="1">
      <alignment vertical="center"/>
    </xf>
    <xf borderId="28" fillId="0" fontId="12" numFmtId="0" xfId="0" applyAlignment="1" applyBorder="1" applyFont="1">
      <alignment horizontal="center" vertical="center"/>
    </xf>
    <xf borderId="28" fillId="0" fontId="45" numFmtId="0" xfId="0" applyAlignment="1" applyBorder="1" applyFont="1">
      <alignment horizontal="left" vertical="center"/>
    </xf>
    <xf borderId="28" fillId="0" fontId="12" numFmtId="0" xfId="0" applyAlignment="1" applyBorder="1" applyFont="1">
      <alignment horizontal="left" vertical="center"/>
    </xf>
    <xf borderId="36" fillId="0" fontId="12" numFmtId="49" xfId="0" applyAlignment="1" applyBorder="1" applyFont="1" applyNumberFormat="1">
      <alignment horizontal="center" vertical="center"/>
    </xf>
    <xf borderId="27" fillId="0" fontId="5" numFmtId="0" xfId="0" applyAlignment="1" applyBorder="1" applyFont="1">
      <alignment horizontal="center" vertical="center"/>
    </xf>
    <xf borderId="10" fillId="0" fontId="5" numFmtId="4" xfId="0" applyAlignment="1" applyBorder="1" applyFont="1" applyNumberFormat="1">
      <alignment vertical="center"/>
    </xf>
    <xf borderId="10" fillId="0" fontId="12" numFmtId="0" xfId="0" applyAlignment="1" applyBorder="1" applyFont="1">
      <alignment vertical="center"/>
    </xf>
    <xf borderId="15" fillId="0" fontId="12" numFmtId="0" xfId="0" applyAlignment="1" applyBorder="1" applyFont="1">
      <alignment vertical="center"/>
    </xf>
    <xf borderId="15" fillId="0" fontId="12" numFmtId="172" xfId="0" applyAlignment="1" applyBorder="1" applyFont="1" applyNumberFormat="1">
      <alignment vertical="center"/>
    </xf>
    <xf borderId="15" fillId="0" fontId="12" numFmtId="171" xfId="0" applyAlignment="1" applyBorder="1" applyFont="1" applyNumberFormat="1">
      <alignment vertical="center"/>
    </xf>
    <xf borderId="28" fillId="0" fontId="12" numFmtId="171" xfId="0" applyAlignment="1" applyBorder="1" applyFont="1" applyNumberFormat="1">
      <alignment vertical="center"/>
    </xf>
    <xf borderId="14" fillId="3" fontId="56" numFmtId="0" xfId="0" applyAlignment="1" applyBorder="1" applyFont="1">
      <alignment horizontal="left" vertical="center"/>
    </xf>
    <xf borderId="15" fillId="17" fontId="12" numFmtId="0" xfId="0" applyAlignment="1" applyBorder="1" applyFont="1">
      <alignment horizontal="center" vertical="center"/>
    </xf>
    <xf borderId="33" fillId="17" fontId="48" numFmtId="0" xfId="0" applyAlignment="1" applyBorder="1" applyFont="1">
      <alignment horizontal="center" shrinkToFit="0" vertical="center" wrapText="1"/>
    </xf>
    <xf borderId="15" fillId="17" fontId="45" numFmtId="0" xfId="0" applyAlignment="1" applyBorder="1" applyFont="1">
      <alignment horizontal="left" vertical="center"/>
    </xf>
    <xf borderId="15" fillId="17" fontId="12" numFmtId="0" xfId="0" applyAlignment="1" applyBorder="1" applyFont="1">
      <alignment horizontal="left" vertical="center"/>
    </xf>
    <xf borderId="37" fillId="17" fontId="12" numFmtId="49" xfId="0" applyAlignment="1" applyBorder="1" applyFont="1" applyNumberFormat="1">
      <alignment horizontal="center" vertical="center"/>
    </xf>
    <xf borderId="36" fillId="17" fontId="53" numFmtId="0" xfId="0" applyAlignment="1" applyBorder="1" applyFont="1">
      <alignment horizontal="left" shrinkToFit="0" wrapText="0"/>
    </xf>
    <xf borderId="15" fillId="17" fontId="53" numFmtId="0" xfId="0" applyAlignment="1" applyBorder="1" applyFont="1">
      <alignment horizontal="left" shrinkToFit="0" wrapText="0"/>
    </xf>
    <xf borderId="15" fillId="17" fontId="12" numFmtId="0" xfId="0" applyAlignment="1" applyBorder="1" applyFont="1">
      <alignment vertical="center"/>
    </xf>
    <xf borderId="15" fillId="17" fontId="12" numFmtId="171" xfId="0" applyAlignment="1" applyBorder="1" applyFont="1" applyNumberFormat="1">
      <alignment vertical="center"/>
    </xf>
    <xf borderId="27" fillId="0" fontId="48" numFmtId="0" xfId="0" applyAlignment="1" applyBorder="1" applyFont="1">
      <alignment horizontal="center" shrinkToFit="0" vertical="center" wrapText="1"/>
    </xf>
    <xf borderId="27" fillId="3" fontId="56" numFmtId="0" xfId="0" applyAlignment="1" applyBorder="1" applyFont="1">
      <alignment horizontal="left" vertical="center"/>
    </xf>
    <xf borderId="38" fillId="0" fontId="12" numFmtId="0" xfId="0" applyAlignment="1" applyBorder="1" applyFont="1">
      <alignment vertical="center"/>
    </xf>
    <xf borderId="33" fillId="3" fontId="56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center" vertical="center"/>
    </xf>
    <xf borderId="15" fillId="0" fontId="45" numFmtId="0" xfId="0" applyAlignment="1" applyBorder="1" applyFont="1">
      <alignment horizontal="left" vertical="center"/>
    </xf>
    <xf borderId="14" fillId="0" fontId="12" numFmtId="0" xfId="0" applyAlignment="1" applyBorder="1" applyFont="1">
      <alignment vertical="center"/>
    </xf>
    <xf borderId="37" fillId="0" fontId="5" numFmtId="0" xfId="0" applyAlignment="1" applyBorder="1" applyFont="1">
      <alignment vertical="center"/>
    </xf>
    <xf borderId="15" fillId="0" fontId="5" numFmtId="0" xfId="0" applyBorder="1" applyFont="1"/>
    <xf borderId="15" fillId="3" fontId="56" numFmtId="0" xfId="0" applyAlignment="1" applyBorder="1" applyFont="1">
      <alignment horizontal="left"/>
    </xf>
    <xf borderId="15" fillId="3" fontId="56" numFmtId="49" xfId="0" applyAlignment="1" applyBorder="1" applyFont="1" applyNumberFormat="1">
      <alignment horizontal="left"/>
    </xf>
    <xf borderId="15" fillId="18" fontId="12" numFmtId="0" xfId="0" applyAlignment="1" applyBorder="1" applyFill="1" applyFont="1">
      <alignment vertical="center"/>
    </xf>
    <xf borderId="15" fillId="18" fontId="12" numFmtId="0" xfId="0" applyAlignment="1" applyBorder="1" applyFont="1">
      <alignment horizontal="center" vertical="center"/>
    </xf>
    <xf borderId="15" fillId="18" fontId="12" numFmtId="0" xfId="0" applyAlignment="1" applyBorder="1" applyFont="1">
      <alignment horizontal="left" vertical="center"/>
    </xf>
    <xf borderId="33" fillId="18" fontId="12" numFmtId="0" xfId="0" applyAlignment="1" applyBorder="1" applyFont="1">
      <alignment horizontal="left" vertical="center"/>
    </xf>
    <xf borderId="33" fillId="18" fontId="12" numFmtId="0" xfId="0" applyAlignment="1" applyBorder="1" applyFont="1">
      <alignment horizontal="center" vertical="center"/>
    </xf>
    <xf borderId="33" fillId="18" fontId="12" numFmtId="0" xfId="0" applyAlignment="1" applyBorder="1" applyFont="1">
      <alignment vertical="center"/>
    </xf>
    <xf borderId="15" fillId="18" fontId="12" numFmtId="167" xfId="0" applyAlignment="1" applyBorder="1" applyFont="1" applyNumberFormat="1">
      <alignment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shrinkToFit="0" vertical="center" wrapText="1"/>
    </xf>
    <xf borderId="15" fillId="0" fontId="12" numFmtId="0" xfId="0" applyAlignment="1" applyBorder="1" applyFont="1">
      <alignment horizontal="left" vertical="center"/>
    </xf>
    <xf borderId="15" fillId="0" fontId="12" numFmtId="49" xfId="0" applyAlignment="1" applyBorder="1" applyFont="1" applyNumberFormat="1">
      <alignment horizontal="center" vertical="center"/>
    </xf>
    <xf borderId="15" fillId="0" fontId="12" numFmtId="167" xfId="0" applyAlignment="1" applyBorder="1" applyFont="1" applyNumberFormat="1">
      <alignment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horizontal="center" vertical="center"/>
    </xf>
    <xf borderId="15" fillId="3" fontId="56" numFmtId="0" xfId="0" applyAlignment="1" applyBorder="1" applyFont="1">
      <alignment horizontal="left" vertical="center"/>
    </xf>
    <xf borderId="15" fillId="0" fontId="12" numFmtId="171" xfId="0" applyAlignment="1" applyBorder="1" applyFont="1" applyNumberFormat="1">
      <alignment horizontal="right" vertical="center"/>
    </xf>
    <xf borderId="15" fillId="0" fontId="11" numFmtId="167" xfId="0" applyAlignment="1" applyBorder="1" applyFont="1" applyNumberFormat="1">
      <alignment vertical="center"/>
    </xf>
    <xf borderId="15" fillId="0" fontId="5" numFmtId="49" xfId="0" applyAlignment="1" applyBorder="1" applyFont="1" applyNumberFormat="1">
      <alignment horizontal="center" vertical="center"/>
    </xf>
    <xf borderId="0" fillId="3" fontId="5" numFmtId="0" xfId="0" applyFont="1"/>
    <xf borderId="28" fillId="0" fontId="12" numFmtId="0" xfId="0" applyAlignment="1" applyBorder="1" applyFont="1">
      <alignment horizontal="left" shrinkToFit="0" vertical="center" wrapText="1"/>
    </xf>
    <xf borderId="28" fillId="0" fontId="12" numFmtId="49" xfId="0" applyAlignment="1" applyBorder="1" applyFont="1" applyNumberFormat="1">
      <alignment horizontal="center" vertical="center"/>
    </xf>
    <xf borderId="0" fillId="3" fontId="7" numFmtId="0" xfId="0" applyAlignment="1" applyFont="1">
      <alignment horizontal="left"/>
    </xf>
    <xf borderId="15" fillId="14" fontId="11" numFmtId="0" xfId="0" applyAlignment="1" applyBorder="1" applyFont="1">
      <alignment horizontal="center" vertical="center"/>
    </xf>
    <xf borderId="15" fillId="14" fontId="11" numFmtId="3" xfId="0" applyAlignment="1" applyBorder="1" applyFont="1" applyNumberFormat="1">
      <alignment horizontal="center" vertical="center"/>
    </xf>
    <xf borderId="15" fillId="14" fontId="57" numFmtId="167" xfId="0" applyAlignment="1" applyBorder="1" applyFont="1" applyNumberFormat="1">
      <alignment vertical="center"/>
    </xf>
    <xf borderId="15" fillId="3" fontId="11" numFmtId="167" xfId="0" applyAlignment="1" applyBorder="1" applyFont="1" applyNumberFormat="1">
      <alignment vertical="center"/>
    </xf>
    <xf borderId="15" fillId="3" fontId="57" numFmtId="167" xfId="0" applyAlignment="1" applyBorder="1" applyFont="1" applyNumberFormat="1">
      <alignment vertical="center"/>
    </xf>
    <xf borderId="28" fillId="0" fontId="12" numFmtId="167" xfId="0" applyAlignment="1" applyBorder="1" applyFont="1" applyNumberFormat="1">
      <alignment vertical="center"/>
    </xf>
    <xf borderId="15" fillId="14" fontId="11" numFmtId="167" xfId="0" applyAlignment="1" applyBorder="1" applyFont="1" applyNumberFormat="1">
      <alignment vertical="center"/>
    </xf>
    <xf borderId="15" fillId="0" fontId="11" numFmtId="0" xfId="0" applyAlignment="1" applyBorder="1" applyFont="1">
      <alignment vertical="center"/>
    </xf>
    <xf borderId="15" fillId="3" fontId="58" numFmtId="0" xfId="0" applyAlignment="1" applyBorder="1" applyFont="1">
      <alignment vertical="center"/>
    </xf>
    <xf borderId="15" fillId="3" fontId="59" numFmtId="0" xfId="0" applyAlignment="1" applyBorder="1" applyFont="1">
      <alignment horizontal="center" vertical="center"/>
    </xf>
    <xf borderId="15" fillId="14" fontId="59" numFmtId="0" xfId="0" applyAlignment="1" applyBorder="1" applyFont="1">
      <alignment horizontal="center" vertical="center"/>
    </xf>
    <xf borderId="15" fillId="0" fontId="17" numFmtId="0" xfId="0" applyAlignment="1" applyBorder="1" applyFont="1">
      <alignment vertical="center"/>
    </xf>
    <xf borderId="15" fillId="19" fontId="12" numFmtId="0" xfId="0" applyAlignment="1" applyBorder="1" applyFill="1" applyFont="1">
      <alignment horizontal="center" vertical="center"/>
    </xf>
    <xf borderId="15" fillId="19" fontId="48" numFmtId="0" xfId="0" applyAlignment="1" applyBorder="1" applyFont="1">
      <alignment horizontal="center" vertical="center"/>
    </xf>
    <xf borderId="15" fillId="19" fontId="12" numFmtId="0" xfId="0" applyAlignment="1" applyBorder="1" applyFont="1">
      <alignment horizontal="left" vertical="center"/>
    </xf>
    <xf borderId="15" fillId="19" fontId="12" numFmtId="49" xfId="0" applyAlignment="1" applyBorder="1" applyFont="1" applyNumberFormat="1">
      <alignment horizontal="center" vertical="center"/>
    </xf>
    <xf borderId="15" fillId="19" fontId="12" numFmtId="0" xfId="0" applyAlignment="1" applyBorder="1" applyFont="1">
      <alignment vertical="center"/>
    </xf>
    <xf borderId="15" fillId="19" fontId="12" numFmtId="167" xfId="0" applyAlignment="1" applyBorder="1" applyFont="1" applyNumberFormat="1">
      <alignment vertical="center"/>
    </xf>
    <xf borderId="15" fillId="0" fontId="12" numFmtId="0" xfId="0" applyAlignment="1" applyBorder="1" applyFont="1">
      <alignment horizontal="left" shrinkToFit="0" vertical="center" wrapText="1"/>
    </xf>
    <xf borderId="39" fillId="3" fontId="45" numFmtId="0" xfId="0" applyAlignment="1" applyBorder="1" applyFont="1">
      <alignment horizontal="center" vertical="center"/>
    </xf>
    <xf borderId="39" fillId="0" fontId="5" numFmtId="0" xfId="0" applyAlignment="1" applyBorder="1" applyFont="1">
      <alignment shrinkToFit="0" vertical="center" wrapText="1"/>
    </xf>
    <xf borderId="39" fillId="3" fontId="60" numFmtId="0" xfId="0" applyAlignment="1" applyBorder="1" applyFont="1">
      <alignment shrinkToFit="0" vertical="center" wrapText="1"/>
    </xf>
    <xf borderId="39" fillId="0" fontId="5" numFmtId="49" xfId="0" applyAlignment="1" applyBorder="1" applyFont="1" applyNumberFormat="1">
      <alignment vertical="center"/>
    </xf>
    <xf borderId="34" fillId="0" fontId="5" numFmtId="0" xfId="0" applyAlignment="1" applyBorder="1" applyFont="1">
      <alignment vertical="center"/>
    </xf>
    <xf borderId="34" fillId="0" fontId="16" numFmtId="0" xfId="0" applyAlignment="1" applyBorder="1" applyFont="1">
      <alignment vertical="center"/>
    </xf>
    <xf borderId="34" fillId="0" fontId="16" numFmtId="167" xfId="0" applyAlignment="1" applyBorder="1" applyFont="1" applyNumberFormat="1">
      <alignment vertical="center"/>
    </xf>
    <xf borderId="34" fillId="0" fontId="5" numFmtId="172" xfId="0" applyAlignment="1" applyBorder="1" applyFont="1" applyNumberFormat="1">
      <alignment horizontal="center" vertical="center"/>
    </xf>
    <xf borderId="10" fillId="0" fontId="52" numFmtId="0" xfId="0" applyBorder="1" applyFont="1"/>
    <xf borderId="32" fillId="0" fontId="5" numFmtId="0" xfId="0" applyAlignment="1" applyBorder="1" applyFont="1">
      <alignment vertical="center"/>
    </xf>
    <xf borderId="32" fillId="0" fontId="16" numFmtId="0" xfId="0" applyAlignment="1" applyBorder="1" applyFont="1">
      <alignment vertical="center"/>
    </xf>
    <xf borderId="32" fillId="0" fontId="16" numFmtId="167" xfId="0" applyAlignment="1" applyBorder="1" applyFont="1" applyNumberFormat="1">
      <alignment vertical="center"/>
    </xf>
    <xf borderId="32" fillId="0" fontId="5" numFmtId="172" xfId="0" applyAlignment="1" applyBorder="1" applyFont="1" applyNumberFormat="1">
      <alignment horizontal="center" vertical="center"/>
    </xf>
    <xf borderId="32" fillId="0" fontId="16" numFmtId="172" xfId="0" applyAlignment="1" applyBorder="1" applyFont="1" applyNumberFormat="1">
      <alignment vertical="center"/>
    </xf>
    <xf borderId="32" fillId="0" fontId="52" numFmtId="0" xfId="0" applyBorder="1" applyFont="1"/>
    <xf borderId="22" fillId="2" fontId="51" numFmtId="0" xfId="0" applyAlignment="1" applyBorder="1" applyFont="1">
      <alignment horizontal="center" shrinkToFit="0" vertical="center" wrapText="1"/>
    </xf>
    <xf borderId="28" fillId="0" fontId="53" numFmtId="0" xfId="0" applyAlignment="1" applyBorder="1" applyFont="1">
      <alignment horizontal="left" shrinkToFit="0" vertical="center" wrapText="1"/>
    </xf>
    <xf borderId="15" fillId="0" fontId="56" numFmtId="0" xfId="0" applyAlignment="1" applyBorder="1" applyFont="1">
      <alignment horizontal="left" vertical="center"/>
    </xf>
    <xf borderId="35" fillId="0" fontId="12" numFmtId="0" xfId="0" applyAlignment="1" applyBorder="1" applyFont="1">
      <alignment vertical="center"/>
    </xf>
    <xf borderId="15" fillId="0" fontId="57" numFmtId="0" xfId="0" applyAlignment="1" applyBorder="1" applyFont="1">
      <alignment horizontal="left" vertical="center"/>
    </xf>
    <xf borderId="15" fillId="3" fontId="53" numFmtId="4" xfId="0" applyAlignment="1" applyBorder="1" applyFont="1" applyNumberFormat="1">
      <alignment horizontal="center" shrinkToFit="0" vertical="center" wrapText="1"/>
    </xf>
    <xf borderId="15" fillId="3" fontId="53" numFmtId="0" xfId="0" applyAlignment="1" applyBorder="1" applyFont="1">
      <alignment vertical="center"/>
    </xf>
    <xf borderId="20" fillId="3" fontId="53" numFmtId="4" xfId="0" applyAlignment="1" applyBorder="1" applyFont="1" applyNumberFormat="1">
      <alignment vertical="center"/>
    </xf>
    <xf borderId="15" fillId="0" fontId="54" numFmtId="49" xfId="0" applyAlignment="1" applyBorder="1" applyFont="1" applyNumberFormat="1">
      <alignment horizontal="center" vertical="center"/>
    </xf>
    <xf borderId="37" fillId="3" fontId="54" numFmtId="49" xfId="0" applyAlignment="1" applyBorder="1" applyFont="1" applyNumberFormat="1">
      <alignment horizontal="center" vertical="center"/>
    </xf>
    <xf borderId="40" fillId="3" fontId="54" numFmtId="49" xfId="0" applyAlignment="1" applyBorder="1" applyFont="1" applyNumberFormat="1">
      <alignment horizontal="center" vertical="center"/>
    </xf>
    <xf borderId="34" fillId="3" fontId="54" numFmtId="49" xfId="0" applyAlignment="1" applyBorder="1" applyFont="1" applyNumberFormat="1">
      <alignment horizontal="center" vertical="center"/>
    </xf>
    <xf borderId="15" fillId="3" fontId="12" numFmtId="167" xfId="0" applyAlignment="1" applyBorder="1" applyFont="1" applyNumberFormat="1">
      <alignment vertical="center"/>
    </xf>
    <xf borderId="15" fillId="3" fontId="12" numFmtId="0" xfId="0" applyAlignment="1" applyBorder="1" applyFont="1">
      <alignment vertical="center"/>
    </xf>
    <xf borderId="15" fillId="3" fontId="11" numFmtId="0" xfId="0" applyAlignment="1" applyBorder="1" applyFont="1">
      <alignment horizontal="center" vertical="center"/>
    </xf>
    <xf borderId="15" fillId="3" fontId="11" numFmtId="3" xfId="0" applyAlignment="1" applyBorder="1" applyFont="1" applyNumberFormat="1">
      <alignment horizontal="center" vertical="center"/>
    </xf>
    <xf borderId="26" fillId="0" fontId="12" numFmtId="0" xfId="0" applyAlignment="1" applyBorder="1" applyFont="1">
      <alignment horizontal="center" vertical="center"/>
    </xf>
    <xf borderId="26" fillId="0" fontId="48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horizontal="left" shrinkToFit="0" vertical="center" wrapText="1"/>
    </xf>
    <xf borderId="26" fillId="0" fontId="12" numFmtId="49" xfId="0" applyAlignment="1" applyBorder="1" applyFont="1" applyNumberFormat="1">
      <alignment horizontal="center" vertical="center"/>
    </xf>
    <xf borderId="26" fillId="0" fontId="12" numFmtId="0" xfId="0" applyAlignment="1" applyBorder="1" applyFont="1">
      <alignment vertical="center"/>
    </xf>
    <xf borderId="26" fillId="0" fontId="12" numFmtId="167" xfId="0" applyAlignment="1" applyBorder="1" applyFont="1" applyNumberForma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93R0XueI_wAFbnC692a1-ZgtWs6cLXpT/view?usp=sharing" TargetMode="External"/><Relationship Id="rId22" Type="http://schemas.openxmlformats.org/officeDocument/2006/relationships/hyperlink" Target="https://drive.google.com/file/d/1vy9bLIvMR-l6lHuqCcUJw8h-VPKJ3SEJ/view?usp=sharing" TargetMode="External"/><Relationship Id="rId21" Type="http://schemas.openxmlformats.org/officeDocument/2006/relationships/hyperlink" Target="https://drive.google.com/file/d/1Oaqty5tOlNqcLvYD0hZpsD1E9TUIC4rs/view?usp=sharing" TargetMode="External"/><Relationship Id="rId24" Type="http://schemas.openxmlformats.org/officeDocument/2006/relationships/hyperlink" Target="https://drive.google.com/file/d/1kIw51q0AibYHEaIJ4jl66D8SFnt9gLNU/view?usp=drive_link" TargetMode="External"/><Relationship Id="rId23" Type="http://schemas.openxmlformats.org/officeDocument/2006/relationships/hyperlink" Target="https://drive.google.com/file/d/1bCiZHyW9DIDcNCYhOGblXspVwKmnmIlu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Vb5EJJZ2sZI5jQHpWT0um2fSt4v_4OSt/view?usp=sharing" TargetMode="External"/><Relationship Id="rId3" Type="http://schemas.openxmlformats.org/officeDocument/2006/relationships/hyperlink" Target="https://drive.google.com/file/d/1XAHJn_aO9g0JZeVdXb1-ySaHH_dSNBXp/view?usp=sharing" TargetMode="External"/><Relationship Id="rId4" Type="http://schemas.openxmlformats.org/officeDocument/2006/relationships/hyperlink" Target="https://drive.google.com/file/d/1bWhlEd_sniZnaEC4ffaBa2NuUAYLlHTb/view?usp=sharing" TargetMode="External"/><Relationship Id="rId9" Type="http://schemas.openxmlformats.org/officeDocument/2006/relationships/hyperlink" Target="https://drive.google.com/file/d/1uqF2hC_rlPZGPjBGNTyFlmY3CRft2hCy/view?usp=drive_link" TargetMode="External"/><Relationship Id="rId26" Type="http://schemas.openxmlformats.org/officeDocument/2006/relationships/hyperlink" Target="https://drive.google.com/file/d/1bKPpQkdwcaJIGANFT7SIbKLp0c6csr9X/view?usp=drive_link" TargetMode="External"/><Relationship Id="rId25" Type="http://schemas.openxmlformats.org/officeDocument/2006/relationships/hyperlink" Target="https://drive.google.com/file/d/1g9zvFyEvB9kSqB16yWCFELNOnHdEpna1/view?usp=drive_link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drive.google.com/file/d/1U0FE2RbjihBq_fidxi0wEGvr7Lh-sElR/view?usp=sharing" TargetMode="External"/><Relationship Id="rId5" Type="http://schemas.openxmlformats.org/officeDocument/2006/relationships/hyperlink" Target="https://drive.google.com/file/d/1oeFvFHRb21ZPhzAP3hPIV9RYNHCB11au/view?usp=sharing" TargetMode="External"/><Relationship Id="rId6" Type="http://schemas.openxmlformats.org/officeDocument/2006/relationships/hyperlink" Target="https://drive.google.com/file/d/1XAHJn_aO9g0JZeVdXb1-ySaHH_dSNBXp/view?usp=sharing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drive.google.com/file/d/1fDHo6wAyBiHnlpcz0cf0bac7WXnD39hr/view?usp=drive_link" TargetMode="External"/><Relationship Id="rId8" Type="http://schemas.openxmlformats.org/officeDocument/2006/relationships/hyperlink" Target="https://drive.google.com/file/d/1JIUDayVaigL8uqAcb2Vm4wV2GLmMZKSy/view?usp=drive_link" TargetMode="External"/><Relationship Id="rId11" Type="http://schemas.openxmlformats.org/officeDocument/2006/relationships/hyperlink" Target="https://drive.google.com/file/d/12B15ZknYdXi8dgjko52F4znTagn7K1lh/view?usp=drive_link" TargetMode="External"/><Relationship Id="rId10" Type="http://schemas.openxmlformats.org/officeDocument/2006/relationships/hyperlink" Target="https://drive.google.com/file/d/1VLmfpdGfnJyy6Dwzp8cOI1BGTy3oAHGT/view?usp=drive_link" TargetMode="External"/><Relationship Id="rId13" Type="http://schemas.openxmlformats.org/officeDocument/2006/relationships/hyperlink" Target="http://inibarulaundrymuliajayaabadi.com/" TargetMode="External"/><Relationship Id="rId12" Type="http://schemas.openxmlformats.org/officeDocument/2006/relationships/hyperlink" Target="https://drive.google.com/file/d/1VPubElXt60p751gFQ5ysBCabN0kF5hHh/view?usp=drive_link" TargetMode="External"/><Relationship Id="rId15" Type="http://schemas.openxmlformats.org/officeDocument/2006/relationships/hyperlink" Target="http://inibarulaundrymuliajayaabadi.com/" TargetMode="External"/><Relationship Id="rId14" Type="http://schemas.openxmlformats.org/officeDocument/2006/relationships/hyperlink" Target="http://inibarulaundrymuliajayaabadi.com/" TargetMode="External"/><Relationship Id="rId17" Type="http://schemas.openxmlformats.org/officeDocument/2006/relationships/hyperlink" Target="http://inibarulaundrymuliajayaabadi.com/" TargetMode="External"/><Relationship Id="rId16" Type="http://schemas.openxmlformats.org/officeDocument/2006/relationships/hyperlink" Target="http://inibarulaundrymuliajayaabadi.com/" TargetMode="External"/><Relationship Id="rId19" Type="http://schemas.openxmlformats.org/officeDocument/2006/relationships/hyperlink" Target="https://drive.google.com/file/d/193R0XueI_wAFbnC692a1-ZgtWs6cLXpT/view?usp=sharing" TargetMode="External"/><Relationship Id="rId18" Type="http://schemas.openxmlformats.org/officeDocument/2006/relationships/hyperlink" Target="https://drive.google.com/file/d/1BhEmlVwcUnd49mYu3dc9NsSBuaNtkdFc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esincucilaundry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BhEmlVwcUnd49mYu3dc9NsSBuaNtkdFc/view?usp=sharing" TargetMode="External"/><Relationship Id="rId22" Type="http://schemas.openxmlformats.org/officeDocument/2006/relationships/hyperlink" Target="https://drive.google.com/file/d/193R0XueI_wAFbnC692a1-ZgtWs6cLXpT/view?usp=sharing" TargetMode="External"/><Relationship Id="rId21" Type="http://schemas.openxmlformats.org/officeDocument/2006/relationships/hyperlink" Target="https://drive.google.com/file/d/193R0XueI_wAFbnC692a1-ZgtWs6cLXpT/view?usp=sharing" TargetMode="External"/><Relationship Id="rId24" Type="http://schemas.openxmlformats.org/officeDocument/2006/relationships/vmlDrawing" Target="../drawings/vmlDrawing2.vml"/><Relationship Id="rId23" Type="http://schemas.openxmlformats.org/officeDocument/2006/relationships/drawing" Target="../drawings/drawing5.xml"/><Relationship Id="rId1" Type="http://schemas.openxmlformats.org/officeDocument/2006/relationships/comments" Target="../comments2.xml"/><Relationship Id="rId2" Type="http://schemas.openxmlformats.org/officeDocument/2006/relationships/hyperlink" Target="http://mesincucilaundry.com/" TargetMode="External"/><Relationship Id="rId3" Type="http://schemas.openxmlformats.org/officeDocument/2006/relationships/hyperlink" Target="http://mesincucilaundry.com/" TargetMode="External"/><Relationship Id="rId4" Type="http://schemas.openxmlformats.org/officeDocument/2006/relationships/hyperlink" Target="http://mesincucilaundry.com/" TargetMode="External"/><Relationship Id="rId9" Type="http://schemas.openxmlformats.org/officeDocument/2006/relationships/hyperlink" Target="http://mesincucilaundry.com/" TargetMode="External"/><Relationship Id="rId5" Type="http://schemas.openxmlformats.org/officeDocument/2006/relationships/hyperlink" Target="http://mesincucilaundry.com/" TargetMode="External"/><Relationship Id="rId6" Type="http://schemas.openxmlformats.org/officeDocument/2006/relationships/hyperlink" Target="http://mesincucilaundry.com/" TargetMode="External"/><Relationship Id="rId7" Type="http://schemas.openxmlformats.org/officeDocument/2006/relationships/hyperlink" Target="http://mesincucilaundry.com/" TargetMode="External"/><Relationship Id="rId8" Type="http://schemas.openxmlformats.org/officeDocument/2006/relationships/hyperlink" Target="http://mesincucilaundry.com/" TargetMode="External"/><Relationship Id="rId11" Type="http://schemas.openxmlformats.org/officeDocument/2006/relationships/hyperlink" Target="http://mesincucilaundry.com/" TargetMode="External"/><Relationship Id="rId10" Type="http://schemas.openxmlformats.org/officeDocument/2006/relationships/hyperlink" Target="http://mesincucilaundry.com/" TargetMode="External"/><Relationship Id="rId13" Type="http://schemas.openxmlformats.org/officeDocument/2006/relationships/hyperlink" Target="http://mesincucilaundry.com/" TargetMode="External"/><Relationship Id="rId12" Type="http://schemas.openxmlformats.org/officeDocument/2006/relationships/hyperlink" Target="http://mesincucilaundry.com/" TargetMode="External"/><Relationship Id="rId15" Type="http://schemas.openxmlformats.org/officeDocument/2006/relationships/hyperlink" Target="http://inibarulaundrymuliajayaabadi.com/" TargetMode="External"/><Relationship Id="rId14" Type="http://schemas.openxmlformats.org/officeDocument/2006/relationships/hyperlink" Target="http://inibarulaundrymuliajayaabadi.com/" TargetMode="External"/><Relationship Id="rId17" Type="http://schemas.openxmlformats.org/officeDocument/2006/relationships/hyperlink" Target="http://inibarulaundrymuliajayaabadi.com/" TargetMode="External"/><Relationship Id="rId16" Type="http://schemas.openxmlformats.org/officeDocument/2006/relationships/hyperlink" Target="http://inibarulaundrymuliajayaabadi.com/" TargetMode="External"/><Relationship Id="rId19" Type="http://schemas.openxmlformats.org/officeDocument/2006/relationships/hyperlink" Target="http://inibarulaundrymuliajayaabadi.com/" TargetMode="External"/><Relationship Id="rId18" Type="http://schemas.openxmlformats.org/officeDocument/2006/relationships/hyperlink" Target="http://inibarulaundrymuliajayaabadi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inibarulaundrymuliajayaabadi.com/" TargetMode="External"/><Relationship Id="rId3" Type="http://schemas.openxmlformats.org/officeDocument/2006/relationships/hyperlink" Target="http://inibarulaundrymuliajayaabadi.com/" TargetMode="External"/><Relationship Id="rId4" Type="http://schemas.openxmlformats.org/officeDocument/2006/relationships/hyperlink" Target="http://inibarulaundrymuliajayaabadi.com/" TargetMode="External"/><Relationship Id="rId9" Type="http://schemas.openxmlformats.org/officeDocument/2006/relationships/vmlDrawing" Target="../drawings/vmlDrawing3.vml"/><Relationship Id="rId5" Type="http://schemas.openxmlformats.org/officeDocument/2006/relationships/hyperlink" Target="http://inibarulaundrymuliajayaabadi.com/" TargetMode="External"/><Relationship Id="rId6" Type="http://schemas.openxmlformats.org/officeDocument/2006/relationships/hyperlink" Target="http://inibarulaundrymuliajayaabadi.com/" TargetMode="External"/><Relationship Id="rId7" Type="http://schemas.openxmlformats.org/officeDocument/2006/relationships/hyperlink" Target="http://inibarulaundrymuliajayaabadi.com/" TargetMode="External"/><Relationship Id="rId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://mesincucilaundry.com/" TargetMode="External"/><Relationship Id="rId22" Type="http://schemas.openxmlformats.org/officeDocument/2006/relationships/drawing" Target="../drawings/drawing10.xml"/><Relationship Id="rId21" Type="http://schemas.openxmlformats.org/officeDocument/2006/relationships/hyperlink" Target="http://mesincucilaundry.com/" TargetMode="External"/><Relationship Id="rId23" Type="http://schemas.openxmlformats.org/officeDocument/2006/relationships/vmlDrawing" Target="../drawings/vmlDrawing6.vml"/><Relationship Id="rId1" Type="http://schemas.openxmlformats.org/officeDocument/2006/relationships/comments" Target="../comments6.xml"/><Relationship Id="rId2" Type="http://schemas.openxmlformats.org/officeDocument/2006/relationships/hyperlink" Target="http://mesincucilaundry.com/" TargetMode="External"/><Relationship Id="rId3" Type="http://schemas.openxmlformats.org/officeDocument/2006/relationships/hyperlink" Target="http://mesincucilaundry.com/" TargetMode="External"/><Relationship Id="rId4" Type="http://schemas.openxmlformats.org/officeDocument/2006/relationships/hyperlink" Target="http://mesincucilaundry.com/" TargetMode="External"/><Relationship Id="rId9" Type="http://schemas.openxmlformats.org/officeDocument/2006/relationships/hyperlink" Target="http://mesincucilaundry.com/" TargetMode="External"/><Relationship Id="rId5" Type="http://schemas.openxmlformats.org/officeDocument/2006/relationships/hyperlink" Target="http://mesincucilaundry.com/" TargetMode="External"/><Relationship Id="rId6" Type="http://schemas.openxmlformats.org/officeDocument/2006/relationships/hyperlink" Target="http://mesincucilaundry.com/" TargetMode="External"/><Relationship Id="rId7" Type="http://schemas.openxmlformats.org/officeDocument/2006/relationships/hyperlink" Target="http://mesincucilaundry.com/" TargetMode="External"/><Relationship Id="rId8" Type="http://schemas.openxmlformats.org/officeDocument/2006/relationships/hyperlink" Target="http://mesincucilaundry.com/" TargetMode="External"/><Relationship Id="rId11" Type="http://schemas.openxmlformats.org/officeDocument/2006/relationships/hyperlink" Target="http://mesincucilaundry.com/" TargetMode="External"/><Relationship Id="rId10" Type="http://schemas.openxmlformats.org/officeDocument/2006/relationships/hyperlink" Target="http://mesincucilaundry.com/" TargetMode="External"/><Relationship Id="rId13" Type="http://schemas.openxmlformats.org/officeDocument/2006/relationships/hyperlink" Target="http://mesincucilaundry.com/" TargetMode="External"/><Relationship Id="rId12" Type="http://schemas.openxmlformats.org/officeDocument/2006/relationships/hyperlink" Target="http://mesincucilaundry.com/" TargetMode="External"/><Relationship Id="rId15" Type="http://schemas.openxmlformats.org/officeDocument/2006/relationships/hyperlink" Target="http://mesincucilaundry.com/" TargetMode="External"/><Relationship Id="rId14" Type="http://schemas.openxmlformats.org/officeDocument/2006/relationships/hyperlink" Target="http://mesincucilaundry.com/" TargetMode="External"/><Relationship Id="rId17" Type="http://schemas.openxmlformats.org/officeDocument/2006/relationships/hyperlink" Target="http://mesincucilaundry.com/" TargetMode="External"/><Relationship Id="rId16" Type="http://schemas.openxmlformats.org/officeDocument/2006/relationships/hyperlink" Target="http://mesincucilaundry.com/" TargetMode="External"/><Relationship Id="rId19" Type="http://schemas.openxmlformats.org/officeDocument/2006/relationships/hyperlink" Target="http://mesincucilaundry.com/" TargetMode="External"/><Relationship Id="rId18" Type="http://schemas.openxmlformats.org/officeDocument/2006/relationships/hyperlink" Target="http://mesincucilaundry.com/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://mesincucilaundry.com/" TargetMode="External"/><Relationship Id="rId22" Type="http://schemas.openxmlformats.org/officeDocument/2006/relationships/hyperlink" Target="http://mesincucilaundry.com/" TargetMode="External"/><Relationship Id="rId21" Type="http://schemas.openxmlformats.org/officeDocument/2006/relationships/hyperlink" Target="http://mesincucilaundry.com/" TargetMode="External"/><Relationship Id="rId24" Type="http://schemas.openxmlformats.org/officeDocument/2006/relationships/hyperlink" Target="http://mesincucilaundry.com/" TargetMode="External"/><Relationship Id="rId23" Type="http://schemas.openxmlformats.org/officeDocument/2006/relationships/hyperlink" Target="http://mesincucilaundry.com/" TargetMode="External"/><Relationship Id="rId1" Type="http://schemas.openxmlformats.org/officeDocument/2006/relationships/comments" Target="../comments7.xml"/><Relationship Id="rId2" Type="http://schemas.openxmlformats.org/officeDocument/2006/relationships/hyperlink" Target="http://mesincucilaundry.com/" TargetMode="External"/><Relationship Id="rId3" Type="http://schemas.openxmlformats.org/officeDocument/2006/relationships/hyperlink" Target="http://mesincucilaundry.com/" TargetMode="External"/><Relationship Id="rId4" Type="http://schemas.openxmlformats.org/officeDocument/2006/relationships/hyperlink" Target="http://mesincucilaundry.com/" TargetMode="External"/><Relationship Id="rId9" Type="http://schemas.openxmlformats.org/officeDocument/2006/relationships/hyperlink" Target="http://mesincucilaundry.com/" TargetMode="External"/><Relationship Id="rId26" Type="http://schemas.openxmlformats.org/officeDocument/2006/relationships/vmlDrawing" Target="../drawings/vmlDrawing7.vml"/><Relationship Id="rId25" Type="http://schemas.openxmlformats.org/officeDocument/2006/relationships/drawing" Target="../drawings/drawing11.xml"/><Relationship Id="rId5" Type="http://schemas.openxmlformats.org/officeDocument/2006/relationships/hyperlink" Target="http://mesincucilaundry.com/" TargetMode="External"/><Relationship Id="rId6" Type="http://schemas.openxmlformats.org/officeDocument/2006/relationships/hyperlink" Target="http://mesincucilaundry.com/" TargetMode="External"/><Relationship Id="rId7" Type="http://schemas.openxmlformats.org/officeDocument/2006/relationships/hyperlink" Target="http://mesincucilaundry.com/" TargetMode="External"/><Relationship Id="rId8" Type="http://schemas.openxmlformats.org/officeDocument/2006/relationships/hyperlink" Target="http://mesincucilaundry.com/" TargetMode="External"/><Relationship Id="rId11" Type="http://schemas.openxmlformats.org/officeDocument/2006/relationships/hyperlink" Target="http://mesincucilaundry.com/" TargetMode="External"/><Relationship Id="rId10" Type="http://schemas.openxmlformats.org/officeDocument/2006/relationships/hyperlink" Target="http://mesincucilaundry.com/" TargetMode="External"/><Relationship Id="rId13" Type="http://schemas.openxmlformats.org/officeDocument/2006/relationships/hyperlink" Target="http://mesincucilaundry.com/" TargetMode="External"/><Relationship Id="rId12" Type="http://schemas.openxmlformats.org/officeDocument/2006/relationships/hyperlink" Target="http://mesincucilaundry.com/" TargetMode="External"/><Relationship Id="rId15" Type="http://schemas.openxmlformats.org/officeDocument/2006/relationships/hyperlink" Target="http://mesincucilaundry.com/" TargetMode="External"/><Relationship Id="rId14" Type="http://schemas.openxmlformats.org/officeDocument/2006/relationships/hyperlink" Target="http://mesincucilaundry.com/" TargetMode="External"/><Relationship Id="rId17" Type="http://schemas.openxmlformats.org/officeDocument/2006/relationships/hyperlink" Target="http://mesincucilaundry.com/" TargetMode="External"/><Relationship Id="rId16" Type="http://schemas.openxmlformats.org/officeDocument/2006/relationships/hyperlink" Target="http://mesincucilaundry.com/" TargetMode="External"/><Relationship Id="rId19" Type="http://schemas.openxmlformats.org/officeDocument/2006/relationships/hyperlink" Target="http://mesincucilaundry.com/" TargetMode="External"/><Relationship Id="rId18" Type="http://schemas.openxmlformats.org/officeDocument/2006/relationships/hyperlink" Target="http://mesincucilaundry.com/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inibarulaundrymuliajayaabadi.com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0505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.5"/>
    <col customWidth="1" hidden="1" min="2" max="2" width="15.63"/>
    <col customWidth="1" min="3" max="3" width="21.13"/>
    <col customWidth="1" hidden="1" min="4" max="4" width="11.63"/>
    <col customWidth="1" min="5" max="5" width="13.63"/>
    <col customWidth="1" min="6" max="6" width="7.63"/>
    <col customWidth="1" min="7" max="7" width="17.88"/>
    <col customWidth="1" min="8" max="8" width="21.63"/>
    <col customWidth="1" min="9" max="9" width="14.75"/>
    <col customWidth="1" min="10" max="10" width="25.13"/>
    <col customWidth="1" min="11" max="11" width="18.13"/>
    <col customWidth="1" min="12" max="12" width="17.88"/>
    <col customWidth="1" min="13" max="13" width="16.13"/>
    <col customWidth="1" min="14" max="14" width="23.5"/>
    <col customWidth="1" min="15" max="15" width="15.88"/>
    <col customWidth="1" min="16" max="16" width="15.75"/>
    <col customWidth="1" min="17" max="17" width="11.75"/>
    <col customWidth="1" min="18" max="18" width="9.25"/>
    <col customWidth="1" min="19" max="19" width="11.63"/>
    <col customWidth="1" hidden="1" min="20" max="20" width="11.13"/>
  </cols>
  <sheetData>
    <row r="1" ht="21.0" customHeight="1">
      <c r="A1" s="1" t="s">
        <v>0</v>
      </c>
      <c r="B1" s="1"/>
      <c r="C1" s="1"/>
      <c r="D1" s="2"/>
      <c r="E1" s="3"/>
      <c r="F1" s="3"/>
      <c r="G1" s="3"/>
      <c r="H1" s="4"/>
      <c r="I1" s="5"/>
      <c r="J1" s="6"/>
      <c r="K1" s="6"/>
      <c r="L1" s="6"/>
      <c r="M1" s="6"/>
      <c r="N1" s="7"/>
      <c r="O1" s="7"/>
      <c r="P1" s="7"/>
      <c r="Q1" s="7"/>
      <c r="R1" s="8"/>
      <c r="S1" s="3"/>
      <c r="T1" s="8"/>
    </row>
    <row r="2" ht="29.25" customHeight="1">
      <c r="A2" s="1" t="s">
        <v>1</v>
      </c>
      <c r="B2" s="1" t="s">
        <v>2</v>
      </c>
      <c r="C2" s="1" t="s">
        <v>3</v>
      </c>
      <c r="D2" s="9" t="s">
        <v>4</v>
      </c>
      <c r="E2" s="9" t="s">
        <v>5</v>
      </c>
      <c r="F2" s="9" t="s">
        <v>6</v>
      </c>
      <c r="G2" s="3" t="s">
        <v>7</v>
      </c>
      <c r="H2" s="9" t="s">
        <v>8</v>
      </c>
      <c r="I2" s="5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9" t="s">
        <v>18</v>
      </c>
      <c r="S2" s="11" t="s">
        <v>19</v>
      </c>
      <c r="T2" s="11" t="s">
        <v>20</v>
      </c>
    </row>
    <row r="3" ht="29.25" customHeight="1">
      <c r="A3" s="12">
        <v>1.0</v>
      </c>
      <c r="B3" s="13" t="s">
        <v>21</v>
      </c>
      <c r="C3" s="13" t="s">
        <v>22</v>
      </c>
      <c r="D3" s="14" t="s">
        <v>23</v>
      </c>
      <c r="E3" s="15"/>
      <c r="F3" s="15">
        <v>6926.0</v>
      </c>
      <c r="G3" s="16" t="s">
        <v>24</v>
      </c>
      <c r="H3" s="17" t="s">
        <v>25</v>
      </c>
      <c r="I3" s="18" t="s">
        <v>26</v>
      </c>
      <c r="J3" s="19" t="s">
        <v>27</v>
      </c>
      <c r="K3" s="17" t="s">
        <v>28</v>
      </c>
      <c r="L3" s="17" t="s">
        <v>29</v>
      </c>
      <c r="M3" s="17" t="s">
        <v>30</v>
      </c>
      <c r="N3" s="16" t="s">
        <v>31</v>
      </c>
      <c r="O3" s="15"/>
      <c r="P3" s="15" t="s">
        <v>32</v>
      </c>
      <c r="Q3" s="15"/>
      <c r="R3" s="15">
        <v>2.0</v>
      </c>
      <c r="S3" s="20" t="s">
        <v>33</v>
      </c>
      <c r="T3" s="21" t="s">
        <v>34</v>
      </c>
    </row>
    <row r="4" ht="29.25" customHeight="1">
      <c r="A4" s="12">
        <f t="shared" ref="A4:A24" si="1">A3+1</f>
        <v>2</v>
      </c>
      <c r="B4" s="13" t="s">
        <v>21</v>
      </c>
      <c r="C4" s="13" t="s">
        <v>22</v>
      </c>
      <c r="D4" s="14" t="s">
        <v>23</v>
      </c>
      <c r="E4" s="15"/>
      <c r="F4" s="22">
        <v>11165.0</v>
      </c>
      <c r="G4" s="23" t="s">
        <v>35</v>
      </c>
      <c r="H4" s="24" t="s">
        <v>36</v>
      </c>
      <c r="I4" s="25" t="s">
        <v>37</v>
      </c>
      <c r="J4" s="26" t="s">
        <v>38</v>
      </c>
      <c r="K4" s="27" t="s">
        <v>39</v>
      </c>
      <c r="L4" s="27" t="s">
        <v>40</v>
      </c>
      <c r="M4" s="27" t="s">
        <v>41</v>
      </c>
      <c r="N4" s="28" t="s">
        <v>42</v>
      </c>
      <c r="O4" s="29"/>
      <c r="P4" s="29"/>
      <c r="Q4" s="15"/>
      <c r="R4" s="15">
        <v>1.0</v>
      </c>
      <c r="S4" s="20" t="s">
        <v>33</v>
      </c>
      <c r="T4" s="21" t="s">
        <v>34</v>
      </c>
    </row>
    <row r="5" ht="29.25" customHeight="1">
      <c r="A5" s="12">
        <f t="shared" si="1"/>
        <v>3</v>
      </c>
      <c r="B5" s="13" t="s">
        <v>21</v>
      </c>
      <c r="C5" s="13" t="s">
        <v>43</v>
      </c>
      <c r="D5" s="14" t="s">
        <v>44</v>
      </c>
      <c r="E5" s="15"/>
      <c r="F5" s="15">
        <v>1522.0</v>
      </c>
      <c r="G5" s="16" t="s">
        <v>45</v>
      </c>
      <c r="H5" s="17" t="s">
        <v>46</v>
      </c>
      <c r="I5" s="18" t="s">
        <v>47</v>
      </c>
      <c r="J5" s="19" t="s">
        <v>48</v>
      </c>
      <c r="K5" s="17" t="s">
        <v>49</v>
      </c>
      <c r="L5" s="17" t="s">
        <v>50</v>
      </c>
      <c r="M5" s="17" t="s">
        <v>51</v>
      </c>
      <c r="N5" s="16" t="s">
        <v>52</v>
      </c>
      <c r="O5" s="15"/>
      <c r="P5" s="15"/>
      <c r="Q5" s="15"/>
      <c r="R5" s="15">
        <v>1.0</v>
      </c>
      <c r="S5" s="20" t="s">
        <v>33</v>
      </c>
      <c r="T5" s="21" t="s">
        <v>34</v>
      </c>
    </row>
    <row r="6" ht="29.25" customHeight="1">
      <c r="A6" s="12">
        <f t="shared" si="1"/>
        <v>4</v>
      </c>
      <c r="B6" s="13" t="s">
        <v>21</v>
      </c>
      <c r="C6" s="13" t="s">
        <v>43</v>
      </c>
      <c r="D6" s="14" t="s">
        <v>44</v>
      </c>
      <c r="E6" s="15"/>
      <c r="F6" s="12">
        <v>6058.0</v>
      </c>
      <c r="G6" s="30" t="s">
        <v>53</v>
      </c>
      <c r="H6" s="17" t="s">
        <v>54</v>
      </c>
      <c r="I6" s="18" t="s">
        <v>55</v>
      </c>
      <c r="J6" s="19" t="s">
        <v>56</v>
      </c>
      <c r="K6" s="19" t="s">
        <v>57</v>
      </c>
      <c r="L6" s="19" t="s">
        <v>58</v>
      </c>
      <c r="M6" s="19" t="s">
        <v>59</v>
      </c>
      <c r="N6" s="31" t="s">
        <v>60</v>
      </c>
      <c r="O6" s="32"/>
      <c r="P6" s="32"/>
      <c r="Q6" s="15"/>
      <c r="R6" s="15">
        <v>2.0</v>
      </c>
      <c r="S6" s="20" t="s">
        <v>33</v>
      </c>
      <c r="T6" s="21" t="s">
        <v>34</v>
      </c>
    </row>
    <row r="7" ht="29.25" customHeight="1">
      <c r="A7" s="12">
        <f t="shared" si="1"/>
        <v>5</v>
      </c>
      <c r="B7" s="13" t="s">
        <v>21</v>
      </c>
      <c r="C7" s="13" t="s">
        <v>43</v>
      </c>
      <c r="D7" s="14" t="s">
        <v>44</v>
      </c>
      <c r="E7" s="15"/>
      <c r="F7" s="15">
        <v>7479.0</v>
      </c>
      <c r="G7" s="16" t="s">
        <v>61</v>
      </c>
      <c r="H7" s="17" t="s">
        <v>54</v>
      </c>
      <c r="I7" s="33" t="s">
        <v>62</v>
      </c>
      <c r="J7" s="19" t="s">
        <v>63</v>
      </c>
      <c r="K7" s="17" t="s">
        <v>64</v>
      </c>
      <c r="L7" s="17" t="s">
        <v>65</v>
      </c>
      <c r="M7" s="27" t="s">
        <v>41</v>
      </c>
      <c r="N7" s="16" t="s">
        <v>66</v>
      </c>
      <c r="O7" s="15"/>
      <c r="P7" s="15"/>
      <c r="Q7" s="15"/>
      <c r="R7" s="15">
        <v>1.0</v>
      </c>
      <c r="S7" s="20" t="s">
        <v>33</v>
      </c>
      <c r="T7" s="21" t="s">
        <v>34</v>
      </c>
    </row>
    <row r="8" ht="29.25" customHeight="1">
      <c r="A8" s="12">
        <f t="shared" si="1"/>
        <v>6</v>
      </c>
      <c r="B8" s="13" t="s">
        <v>21</v>
      </c>
      <c r="C8" s="13" t="s">
        <v>43</v>
      </c>
      <c r="D8" s="14" t="s">
        <v>44</v>
      </c>
      <c r="E8" s="34"/>
      <c r="F8" s="35">
        <v>4723.0</v>
      </c>
      <c r="G8" s="16" t="s">
        <v>67</v>
      </c>
      <c r="H8" s="17" t="s">
        <v>68</v>
      </c>
      <c r="I8" s="33" t="s">
        <v>69</v>
      </c>
      <c r="J8" s="19" t="s">
        <v>70</v>
      </c>
      <c r="K8" s="19" t="s">
        <v>71</v>
      </c>
      <c r="L8" s="17" t="s">
        <v>65</v>
      </c>
      <c r="M8" s="27" t="s">
        <v>41</v>
      </c>
      <c r="N8" s="31" t="s">
        <v>72</v>
      </c>
      <c r="O8" s="32"/>
      <c r="P8" s="32"/>
      <c r="Q8" s="15"/>
      <c r="R8" s="12">
        <v>6.0</v>
      </c>
      <c r="S8" s="20" t="s">
        <v>33</v>
      </c>
      <c r="T8" s="21" t="s">
        <v>34</v>
      </c>
    </row>
    <row r="9" ht="29.25" customHeight="1">
      <c r="A9" s="12">
        <f t="shared" si="1"/>
        <v>7</v>
      </c>
      <c r="B9" s="13" t="s">
        <v>21</v>
      </c>
      <c r="C9" s="13" t="s">
        <v>43</v>
      </c>
      <c r="D9" s="14" t="s">
        <v>44</v>
      </c>
      <c r="E9" s="15"/>
      <c r="F9" s="15">
        <v>4181.0</v>
      </c>
      <c r="G9" s="16" t="s">
        <v>73</v>
      </c>
      <c r="H9" s="17" t="s">
        <v>74</v>
      </c>
      <c r="I9" s="33" t="s">
        <v>75</v>
      </c>
      <c r="J9" s="19" t="s">
        <v>76</v>
      </c>
      <c r="K9" s="19" t="s">
        <v>77</v>
      </c>
      <c r="L9" s="17" t="s">
        <v>78</v>
      </c>
      <c r="M9" s="17" t="s">
        <v>30</v>
      </c>
      <c r="N9" s="31" t="s">
        <v>79</v>
      </c>
      <c r="O9" s="32"/>
      <c r="P9" s="32"/>
      <c r="Q9" s="15"/>
      <c r="R9" s="12">
        <v>6.0</v>
      </c>
      <c r="S9" s="20" t="s">
        <v>33</v>
      </c>
      <c r="T9" s="21" t="s">
        <v>34</v>
      </c>
    </row>
    <row r="10" ht="29.25" customHeight="1">
      <c r="A10" s="12">
        <f t="shared" si="1"/>
        <v>8</v>
      </c>
      <c r="B10" s="13" t="s">
        <v>21</v>
      </c>
      <c r="C10" s="13" t="s">
        <v>43</v>
      </c>
      <c r="D10" s="14" t="s">
        <v>44</v>
      </c>
      <c r="E10" s="15"/>
      <c r="F10" s="15">
        <v>7801.0</v>
      </c>
      <c r="G10" s="16" t="s">
        <v>80</v>
      </c>
      <c r="H10" s="17" t="s">
        <v>81</v>
      </c>
      <c r="I10" s="33" t="s">
        <v>82</v>
      </c>
      <c r="J10" s="19" t="s">
        <v>83</v>
      </c>
      <c r="K10" s="19" t="s">
        <v>84</v>
      </c>
      <c r="L10" s="19" t="s">
        <v>85</v>
      </c>
      <c r="M10" s="19" t="s">
        <v>86</v>
      </c>
      <c r="N10" s="31" t="s">
        <v>87</v>
      </c>
      <c r="O10" s="32"/>
      <c r="P10" s="32"/>
      <c r="Q10" s="15"/>
      <c r="R10" s="12">
        <v>2.0</v>
      </c>
      <c r="S10" s="20" t="s">
        <v>33</v>
      </c>
      <c r="T10" s="21" t="s">
        <v>34</v>
      </c>
    </row>
    <row r="11" ht="29.25" customHeight="1">
      <c r="A11" s="12">
        <f t="shared" si="1"/>
        <v>9</v>
      </c>
      <c r="B11" s="13" t="s">
        <v>21</v>
      </c>
      <c r="C11" s="13" t="s">
        <v>43</v>
      </c>
      <c r="D11" s="14" t="s">
        <v>44</v>
      </c>
      <c r="E11" s="15"/>
      <c r="F11" s="15">
        <v>11515.0</v>
      </c>
      <c r="G11" s="16" t="s">
        <v>88</v>
      </c>
      <c r="H11" s="17" t="s">
        <v>89</v>
      </c>
      <c r="I11" s="33" t="s">
        <v>90</v>
      </c>
      <c r="J11" s="19" t="s">
        <v>91</v>
      </c>
      <c r="K11" s="19" t="s">
        <v>92</v>
      </c>
      <c r="L11" s="19" t="s">
        <v>93</v>
      </c>
      <c r="M11" s="19" t="s">
        <v>59</v>
      </c>
      <c r="N11" s="31" t="s">
        <v>94</v>
      </c>
      <c r="O11" s="32"/>
      <c r="P11" s="32" t="s">
        <v>95</v>
      </c>
      <c r="Q11" s="15" t="s">
        <v>96</v>
      </c>
      <c r="R11" s="15">
        <v>1.0</v>
      </c>
      <c r="S11" s="20" t="s">
        <v>33</v>
      </c>
      <c r="T11" s="21" t="s">
        <v>34</v>
      </c>
    </row>
    <row r="12" ht="29.25" customHeight="1">
      <c r="A12" s="12">
        <f t="shared" si="1"/>
        <v>10</v>
      </c>
      <c r="B12" s="13" t="s">
        <v>21</v>
      </c>
      <c r="C12" s="13" t="s">
        <v>43</v>
      </c>
      <c r="D12" s="14" t="s">
        <v>44</v>
      </c>
      <c r="E12" s="15"/>
      <c r="F12" s="22">
        <v>9441.0</v>
      </c>
      <c r="G12" s="23" t="s">
        <v>97</v>
      </c>
      <c r="H12" s="36" t="s">
        <v>98</v>
      </c>
      <c r="I12" s="25" t="s">
        <v>99</v>
      </c>
      <c r="J12" s="26" t="s">
        <v>100</v>
      </c>
      <c r="K12" s="27" t="s">
        <v>101</v>
      </c>
      <c r="L12" s="27" t="s">
        <v>102</v>
      </c>
      <c r="M12" s="27" t="s">
        <v>103</v>
      </c>
      <c r="N12" s="28" t="s">
        <v>104</v>
      </c>
      <c r="O12" s="29"/>
      <c r="P12" s="29"/>
      <c r="Q12" s="15"/>
      <c r="R12" s="15">
        <v>1.0</v>
      </c>
      <c r="S12" s="20" t="s">
        <v>33</v>
      </c>
      <c r="T12" s="21" t="s">
        <v>34</v>
      </c>
    </row>
    <row r="13" ht="29.25" customHeight="1">
      <c r="A13" s="12">
        <f t="shared" si="1"/>
        <v>11</v>
      </c>
      <c r="B13" s="13" t="s">
        <v>21</v>
      </c>
      <c r="C13" s="13" t="s">
        <v>43</v>
      </c>
      <c r="D13" s="14" t="s">
        <v>44</v>
      </c>
      <c r="E13" s="15"/>
      <c r="F13" s="12">
        <v>14464.0</v>
      </c>
      <c r="G13" s="30" t="s">
        <v>105</v>
      </c>
      <c r="H13" s="37" t="s">
        <v>106</v>
      </c>
      <c r="I13" s="33" t="s">
        <v>107</v>
      </c>
      <c r="J13" s="19" t="s">
        <v>108</v>
      </c>
      <c r="K13" s="27" t="s">
        <v>109</v>
      </c>
      <c r="L13" s="17" t="s">
        <v>110</v>
      </c>
      <c r="M13" s="17" t="s">
        <v>111</v>
      </c>
      <c r="N13" s="16" t="s">
        <v>112</v>
      </c>
      <c r="O13" s="32"/>
      <c r="P13" s="32" t="s">
        <v>113</v>
      </c>
      <c r="Q13" s="15" t="s">
        <v>96</v>
      </c>
      <c r="R13" s="15">
        <v>1.0</v>
      </c>
      <c r="S13" s="20" t="s">
        <v>33</v>
      </c>
      <c r="T13" s="21" t="s">
        <v>34</v>
      </c>
    </row>
    <row r="14" ht="29.25" customHeight="1">
      <c r="A14" s="12">
        <f t="shared" si="1"/>
        <v>12</v>
      </c>
      <c r="B14" s="13" t="s">
        <v>21</v>
      </c>
      <c r="C14" s="13" t="s">
        <v>43</v>
      </c>
      <c r="D14" s="14" t="s">
        <v>44</v>
      </c>
      <c r="E14" s="15"/>
      <c r="F14" s="12">
        <v>13944.0</v>
      </c>
      <c r="G14" s="30" t="s">
        <v>114</v>
      </c>
      <c r="H14" s="37" t="s">
        <v>115</v>
      </c>
      <c r="I14" s="33" t="s">
        <v>116</v>
      </c>
      <c r="J14" s="19" t="s">
        <v>117</v>
      </c>
      <c r="K14" s="17" t="s">
        <v>118</v>
      </c>
      <c r="L14" s="17" t="s">
        <v>119</v>
      </c>
      <c r="M14" s="17" t="s">
        <v>103</v>
      </c>
      <c r="N14" s="16" t="s">
        <v>120</v>
      </c>
      <c r="O14" s="32"/>
      <c r="P14" s="32"/>
      <c r="Q14" s="15"/>
      <c r="R14" s="15">
        <v>1.0</v>
      </c>
      <c r="S14" s="20" t="s">
        <v>33</v>
      </c>
      <c r="T14" s="21" t="s">
        <v>34</v>
      </c>
    </row>
    <row r="15" ht="29.25" customHeight="1">
      <c r="A15" s="12">
        <f t="shared" si="1"/>
        <v>13</v>
      </c>
      <c r="B15" s="13" t="s">
        <v>21</v>
      </c>
      <c r="C15" s="13" t="s">
        <v>43</v>
      </c>
      <c r="D15" s="14" t="s">
        <v>44</v>
      </c>
      <c r="E15" s="15"/>
      <c r="F15" s="12">
        <v>10563.0</v>
      </c>
      <c r="G15" s="30" t="s">
        <v>121</v>
      </c>
      <c r="H15" s="37" t="s">
        <v>122</v>
      </c>
      <c r="I15" s="33" t="s">
        <v>123</v>
      </c>
      <c r="J15" s="19" t="s">
        <v>124</v>
      </c>
      <c r="K15" s="17" t="s">
        <v>125</v>
      </c>
      <c r="L15" s="17" t="s">
        <v>126</v>
      </c>
      <c r="M15" s="17" t="s">
        <v>30</v>
      </c>
      <c r="N15" s="16" t="s">
        <v>127</v>
      </c>
      <c r="O15" s="32"/>
      <c r="P15" s="32"/>
      <c r="Q15" s="15"/>
      <c r="R15" s="15">
        <v>1.0</v>
      </c>
      <c r="S15" s="20" t="s">
        <v>33</v>
      </c>
      <c r="T15" s="21" t="s">
        <v>34</v>
      </c>
    </row>
    <row r="16" ht="29.25" customHeight="1">
      <c r="A16" s="12">
        <f t="shared" si="1"/>
        <v>14</v>
      </c>
      <c r="B16" s="13" t="s">
        <v>21</v>
      </c>
      <c r="C16" s="13" t="s">
        <v>43</v>
      </c>
      <c r="D16" s="14" t="s">
        <v>44</v>
      </c>
      <c r="E16" s="15"/>
      <c r="F16" s="12" t="s">
        <v>128</v>
      </c>
      <c r="G16" s="30" t="s">
        <v>129</v>
      </c>
      <c r="H16" s="37" t="s">
        <v>130</v>
      </c>
      <c r="I16" s="33" t="s">
        <v>131</v>
      </c>
      <c r="J16" s="19" t="s">
        <v>132</v>
      </c>
      <c r="K16" s="17"/>
      <c r="L16" s="17" t="s">
        <v>133</v>
      </c>
      <c r="M16" s="19" t="s">
        <v>59</v>
      </c>
      <c r="N16" s="16" t="s">
        <v>134</v>
      </c>
      <c r="O16" s="33"/>
      <c r="P16" s="33" t="s">
        <v>135</v>
      </c>
      <c r="Q16" s="15" t="s">
        <v>96</v>
      </c>
      <c r="R16" s="15">
        <v>1.0</v>
      </c>
      <c r="S16" s="20" t="s">
        <v>33</v>
      </c>
      <c r="T16" s="21" t="s">
        <v>34</v>
      </c>
    </row>
    <row r="17" ht="29.25" customHeight="1">
      <c r="A17" s="12">
        <f t="shared" si="1"/>
        <v>15</v>
      </c>
      <c r="B17" s="13" t="s">
        <v>21</v>
      </c>
      <c r="C17" s="13" t="s">
        <v>43</v>
      </c>
      <c r="D17" s="14" t="s">
        <v>44</v>
      </c>
      <c r="E17" s="29" t="s">
        <v>136</v>
      </c>
      <c r="F17" s="12">
        <v>10409.0</v>
      </c>
      <c r="G17" s="30" t="s">
        <v>137</v>
      </c>
      <c r="H17" s="37" t="s">
        <v>138</v>
      </c>
      <c r="I17" s="33" t="s">
        <v>139</v>
      </c>
      <c r="J17" s="19" t="s">
        <v>140</v>
      </c>
      <c r="K17" s="38" t="s">
        <v>141</v>
      </c>
      <c r="L17" s="17" t="s">
        <v>142</v>
      </c>
      <c r="M17" s="26" t="s">
        <v>143</v>
      </c>
      <c r="N17" s="28" t="s">
        <v>144</v>
      </c>
      <c r="O17" s="33"/>
      <c r="P17" s="33" t="s">
        <v>145</v>
      </c>
      <c r="Q17" s="15" t="s">
        <v>146</v>
      </c>
      <c r="R17" s="15">
        <v>1.0</v>
      </c>
      <c r="S17" s="20" t="s">
        <v>33</v>
      </c>
      <c r="T17" s="21" t="s">
        <v>34</v>
      </c>
    </row>
    <row r="18" ht="29.25" customHeight="1">
      <c r="A18" s="12">
        <f t="shared" si="1"/>
        <v>16</v>
      </c>
      <c r="B18" s="13" t="s">
        <v>21</v>
      </c>
      <c r="C18" s="13" t="s">
        <v>43</v>
      </c>
      <c r="D18" s="14" t="s">
        <v>44</v>
      </c>
      <c r="E18" s="29" t="s">
        <v>136</v>
      </c>
      <c r="F18" s="12">
        <v>4323.0</v>
      </c>
      <c r="G18" s="30" t="s">
        <v>147</v>
      </c>
      <c r="H18" s="37" t="s">
        <v>148</v>
      </c>
      <c r="I18" s="33" t="s">
        <v>149</v>
      </c>
      <c r="J18" s="19" t="s">
        <v>150</v>
      </c>
      <c r="K18" s="39" t="s">
        <v>151</v>
      </c>
      <c r="L18" s="17" t="s">
        <v>152</v>
      </c>
      <c r="M18" s="26" t="s">
        <v>111</v>
      </c>
      <c r="N18" s="28" t="s">
        <v>153</v>
      </c>
      <c r="O18" s="33"/>
      <c r="P18" s="33" t="s">
        <v>154</v>
      </c>
      <c r="Q18" s="15" t="s">
        <v>96</v>
      </c>
      <c r="R18" s="15">
        <v>3.0</v>
      </c>
      <c r="S18" s="20" t="s">
        <v>33</v>
      </c>
      <c r="T18" s="21" t="s">
        <v>34</v>
      </c>
    </row>
    <row r="19" ht="35.25" customHeight="1">
      <c r="A19" s="12">
        <f t="shared" si="1"/>
        <v>17</v>
      </c>
      <c r="B19" s="13" t="s">
        <v>21</v>
      </c>
      <c r="C19" s="13" t="s">
        <v>43</v>
      </c>
      <c r="D19" s="14" t="s">
        <v>44</v>
      </c>
      <c r="E19" s="15" t="s">
        <v>155</v>
      </c>
      <c r="F19" s="12">
        <v>8177.0</v>
      </c>
      <c r="G19" s="40" t="s">
        <v>156</v>
      </c>
      <c r="H19" s="41" t="s">
        <v>157</v>
      </c>
      <c r="I19" s="33" t="s">
        <v>158</v>
      </c>
      <c r="J19" s="19" t="s">
        <v>159</v>
      </c>
      <c r="K19" s="39" t="s">
        <v>159</v>
      </c>
      <c r="L19" s="17" t="s">
        <v>160</v>
      </c>
      <c r="M19" s="19" t="s">
        <v>103</v>
      </c>
      <c r="N19" s="16" t="s">
        <v>161</v>
      </c>
      <c r="O19" s="32"/>
      <c r="P19" s="32" t="s">
        <v>162</v>
      </c>
      <c r="Q19" s="15"/>
      <c r="R19" s="15">
        <v>1.0</v>
      </c>
      <c r="S19" s="20" t="s">
        <v>33</v>
      </c>
      <c r="T19" s="21" t="s">
        <v>34</v>
      </c>
    </row>
    <row r="20" ht="36.75" customHeight="1">
      <c r="A20" s="12">
        <f t="shared" si="1"/>
        <v>18</v>
      </c>
      <c r="B20" s="13" t="s">
        <v>21</v>
      </c>
      <c r="C20" s="13" t="s">
        <v>163</v>
      </c>
      <c r="D20" s="14" t="s">
        <v>164</v>
      </c>
      <c r="E20" s="15"/>
      <c r="F20" s="15">
        <v>6125.0</v>
      </c>
      <c r="G20" s="16" t="s">
        <v>165</v>
      </c>
      <c r="H20" s="17" t="s">
        <v>166</v>
      </c>
      <c r="I20" s="33" t="s">
        <v>167</v>
      </c>
      <c r="J20" s="19" t="s">
        <v>168</v>
      </c>
      <c r="K20" s="19" t="s">
        <v>169</v>
      </c>
      <c r="L20" s="19" t="s">
        <v>170</v>
      </c>
      <c r="M20" s="17" t="s">
        <v>103</v>
      </c>
      <c r="N20" s="31" t="s">
        <v>171</v>
      </c>
      <c r="O20" s="32"/>
      <c r="P20" s="32" t="s">
        <v>162</v>
      </c>
      <c r="Q20" s="15"/>
      <c r="R20" s="12">
        <v>9.0</v>
      </c>
      <c r="S20" s="20" t="s">
        <v>33</v>
      </c>
      <c r="T20" s="21" t="s">
        <v>34</v>
      </c>
    </row>
    <row r="21" ht="29.25" customHeight="1">
      <c r="A21" s="12">
        <f t="shared" si="1"/>
        <v>19</v>
      </c>
      <c r="B21" s="13" t="s">
        <v>21</v>
      </c>
      <c r="C21" s="13" t="s">
        <v>163</v>
      </c>
      <c r="D21" s="14" t="s">
        <v>164</v>
      </c>
      <c r="E21" s="16"/>
      <c r="F21" s="15" t="s">
        <v>128</v>
      </c>
      <c r="G21" s="16" t="s">
        <v>172</v>
      </c>
      <c r="H21" s="17" t="s">
        <v>173</v>
      </c>
      <c r="I21" s="33" t="s">
        <v>174</v>
      </c>
      <c r="J21" s="19"/>
      <c r="K21" s="19" t="s">
        <v>175</v>
      </c>
      <c r="L21" s="19" t="s">
        <v>176</v>
      </c>
      <c r="M21" s="19" t="s">
        <v>177</v>
      </c>
      <c r="N21" s="31" t="s">
        <v>178</v>
      </c>
      <c r="O21" s="32"/>
      <c r="P21" s="32" t="s">
        <v>179</v>
      </c>
      <c r="Q21" s="15" t="s">
        <v>96</v>
      </c>
      <c r="R21" s="15">
        <v>3.0</v>
      </c>
      <c r="S21" s="20" t="s">
        <v>33</v>
      </c>
      <c r="T21" s="21" t="s">
        <v>34</v>
      </c>
    </row>
    <row r="22" ht="33.75" customHeight="1">
      <c r="A22" s="12">
        <f t="shared" si="1"/>
        <v>20</v>
      </c>
      <c r="B22" s="13" t="s">
        <v>21</v>
      </c>
      <c r="C22" s="13" t="s">
        <v>163</v>
      </c>
      <c r="D22" s="14" t="s">
        <v>164</v>
      </c>
      <c r="E22" s="16"/>
      <c r="F22" s="15" t="s">
        <v>128</v>
      </c>
      <c r="G22" s="16" t="s">
        <v>172</v>
      </c>
      <c r="H22" s="17" t="s">
        <v>180</v>
      </c>
      <c r="I22" s="33" t="s">
        <v>181</v>
      </c>
      <c r="J22" s="19"/>
      <c r="K22" s="19" t="s">
        <v>182</v>
      </c>
      <c r="L22" s="19" t="s">
        <v>176</v>
      </c>
      <c r="M22" s="19" t="s">
        <v>177</v>
      </c>
      <c r="N22" s="31" t="s">
        <v>183</v>
      </c>
      <c r="O22" s="32"/>
      <c r="P22" s="32" t="s">
        <v>184</v>
      </c>
      <c r="Q22" s="15" t="s">
        <v>146</v>
      </c>
      <c r="R22" s="12">
        <v>6.0</v>
      </c>
      <c r="S22" s="20" t="s">
        <v>33</v>
      </c>
      <c r="T22" s="21" t="s">
        <v>34</v>
      </c>
    </row>
    <row r="23" ht="29.25" customHeight="1">
      <c r="A23" s="12">
        <f t="shared" si="1"/>
        <v>21</v>
      </c>
      <c r="B23" s="13" t="s">
        <v>21</v>
      </c>
      <c r="C23" s="13" t="s">
        <v>163</v>
      </c>
      <c r="D23" s="14" t="s">
        <v>164</v>
      </c>
      <c r="E23" s="16"/>
      <c r="F23" s="15" t="s">
        <v>128</v>
      </c>
      <c r="G23" s="16" t="s">
        <v>185</v>
      </c>
      <c r="H23" s="16" t="s">
        <v>185</v>
      </c>
      <c r="I23" s="42" t="s">
        <v>186</v>
      </c>
      <c r="J23" s="19" t="s">
        <v>187</v>
      </c>
      <c r="K23" s="19" t="s">
        <v>188</v>
      </c>
      <c r="L23" s="19" t="s">
        <v>189</v>
      </c>
      <c r="M23" s="19" t="s">
        <v>190</v>
      </c>
      <c r="N23" s="31" t="s">
        <v>191</v>
      </c>
      <c r="O23" s="32"/>
      <c r="P23" s="32" t="s">
        <v>192</v>
      </c>
      <c r="Q23" s="15" t="s">
        <v>193</v>
      </c>
      <c r="R23" s="12">
        <v>3.0</v>
      </c>
      <c r="S23" s="20" t="s">
        <v>33</v>
      </c>
      <c r="T23" s="21" t="s">
        <v>34</v>
      </c>
    </row>
    <row r="24" ht="42.75" customHeight="1">
      <c r="A24" s="12">
        <f t="shared" si="1"/>
        <v>22</v>
      </c>
      <c r="B24" s="13" t="s">
        <v>21</v>
      </c>
      <c r="C24" s="13" t="s">
        <v>163</v>
      </c>
      <c r="D24" s="14" t="s">
        <v>164</v>
      </c>
      <c r="E24" s="16"/>
      <c r="F24" s="15" t="s">
        <v>128</v>
      </c>
      <c r="G24" s="38" t="s">
        <v>194</v>
      </c>
      <c r="H24" s="43" t="s">
        <v>195</v>
      </c>
      <c r="I24" s="18" t="s">
        <v>196</v>
      </c>
      <c r="J24" s="19" t="s">
        <v>197</v>
      </c>
      <c r="K24" s="19" t="s">
        <v>198</v>
      </c>
      <c r="L24" s="19" t="s">
        <v>199</v>
      </c>
      <c r="M24" s="19" t="s">
        <v>41</v>
      </c>
      <c r="N24" s="31" t="s">
        <v>200</v>
      </c>
      <c r="O24" s="32" t="s">
        <v>201</v>
      </c>
      <c r="P24" s="32" t="s">
        <v>202</v>
      </c>
      <c r="Q24" s="15" t="s">
        <v>96</v>
      </c>
      <c r="R24" s="12">
        <v>80.0</v>
      </c>
      <c r="S24" s="20" t="s">
        <v>33</v>
      </c>
      <c r="T24" s="21" t="s">
        <v>34</v>
      </c>
    </row>
    <row r="25" ht="29.25" hidden="1" customHeight="1">
      <c r="A25" s="44"/>
      <c r="B25" s="44"/>
      <c r="C25" s="44"/>
      <c r="D25" s="44"/>
      <c r="E25" s="45"/>
      <c r="F25" s="44"/>
      <c r="G25" s="46">
        <f>COUNTA(G3:G24)</f>
        <v>22</v>
      </c>
      <c r="H25" s="47"/>
      <c r="I25" s="44"/>
      <c r="J25" s="47"/>
      <c r="K25" s="47"/>
      <c r="L25" s="47"/>
      <c r="M25" s="47"/>
      <c r="N25" s="44"/>
      <c r="O25" s="44"/>
      <c r="P25" s="44"/>
      <c r="Q25" s="44"/>
      <c r="R25" s="46">
        <f>SUM(R3:R24)</f>
        <v>133</v>
      </c>
      <c r="S25" s="48">
        <f>COUNTA(S3:S24)</f>
        <v>22</v>
      </c>
      <c r="T25" s="46"/>
    </row>
    <row r="26" ht="29.25" customHeight="1">
      <c r="A26" s="12">
        <f>A24+1</f>
        <v>23</v>
      </c>
      <c r="B26" s="13" t="s">
        <v>21</v>
      </c>
      <c r="C26" s="13" t="s">
        <v>163</v>
      </c>
      <c r="D26" s="14" t="s">
        <v>164</v>
      </c>
      <c r="E26" s="15"/>
      <c r="F26" s="12">
        <v>1782.0</v>
      </c>
      <c r="G26" s="16" t="s">
        <v>203</v>
      </c>
      <c r="H26" s="17" t="s">
        <v>204</v>
      </c>
      <c r="I26" s="33" t="s">
        <v>205</v>
      </c>
      <c r="J26" s="17" t="s">
        <v>206</v>
      </c>
      <c r="K26" s="19" t="s">
        <v>207</v>
      </c>
      <c r="L26" s="19" t="s">
        <v>208</v>
      </c>
      <c r="M26" s="19" t="s">
        <v>209</v>
      </c>
      <c r="N26" s="31" t="s">
        <v>210</v>
      </c>
      <c r="O26" s="15"/>
      <c r="P26" s="15">
        <v>3.04701028491533E14</v>
      </c>
      <c r="Q26" s="15" t="s">
        <v>146</v>
      </c>
      <c r="R26" s="12">
        <v>8.0</v>
      </c>
      <c r="S26" s="20" t="s">
        <v>211</v>
      </c>
      <c r="T26" s="21" t="s">
        <v>212</v>
      </c>
    </row>
    <row r="27" ht="29.25" customHeight="1">
      <c r="A27" s="12">
        <f t="shared" ref="A27:A45" si="2">A26+1</f>
        <v>24</v>
      </c>
      <c r="B27" s="13" t="s">
        <v>21</v>
      </c>
      <c r="C27" s="13" t="s">
        <v>163</v>
      </c>
      <c r="D27" s="14" t="s">
        <v>164</v>
      </c>
      <c r="E27" s="49">
        <v>44927.0</v>
      </c>
      <c r="F27" s="15">
        <v>6343.0</v>
      </c>
      <c r="G27" s="16" t="s">
        <v>213</v>
      </c>
      <c r="H27" s="17" t="s">
        <v>214</v>
      </c>
      <c r="I27" s="33" t="s">
        <v>215</v>
      </c>
      <c r="J27" s="17" t="s">
        <v>216</v>
      </c>
      <c r="K27" s="19" t="s">
        <v>217</v>
      </c>
      <c r="L27" s="19" t="s">
        <v>160</v>
      </c>
      <c r="M27" s="19" t="s">
        <v>103</v>
      </c>
      <c r="N27" s="31" t="s">
        <v>218</v>
      </c>
      <c r="O27" s="15"/>
      <c r="P27" s="15"/>
      <c r="Q27" s="15"/>
      <c r="R27" s="12">
        <v>12.0</v>
      </c>
      <c r="S27" s="20" t="s">
        <v>211</v>
      </c>
      <c r="T27" s="21" t="s">
        <v>212</v>
      </c>
    </row>
    <row r="28" ht="29.25" customHeight="1">
      <c r="A28" s="12">
        <f t="shared" si="2"/>
        <v>25</v>
      </c>
      <c r="B28" s="13" t="s">
        <v>21</v>
      </c>
      <c r="C28" s="13" t="s">
        <v>163</v>
      </c>
      <c r="D28" s="14" t="s">
        <v>164</v>
      </c>
      <c r="E28" s="15"/>
      <c r="F28" s="15">
        <v>989.0</v>
      </c>
      <c r="G28" s="16" t="s">
        <v>219</v>
      </c>
      <c r="H28" s="17" t="s">
        <v>220</v>
      </c>
      <c r="I28" s="33" t="s">
        <v>221</v>
      </c>
      <c r="J28" s="17" t="s">
        <v>222</v>
      </c>
      <c r="K28" s="19" t="s">
        <v>223</v>
      </c>
      <c r="L28" s="19" t="s">
        <v>224</v>
      </c>
      <c r="M28" s="19" t="s">
        <v>225</v>
      </c>
      <c r="N28" s="31" t="s">
        <v>226</v>
      </c>
      <c r="O28" s="50"/>
      <c r="P28" s="50"/>
      <c r="Q28" s="15"/>
      <c r="R28" s="12">
        <v>6.0</v>
      </c>
      <c r="S28" s="20" t="s">
        <v>211</v>
      </c>
      <c r="T28" s="21" t="s">
        <v>212</v>
      </c>
    </row>
    <row r="29" ht="29.25" customHeight="1">
      <c r="A29" s="12">
        <f t="shared" si="2"/>
        <v>26</v>
      </c>
      <c r="B29" s="13" t="s">
        <v>21</v>
      </c>
      <c r="C29" s="13" t="s">
        <v>163</v>
      </c>
      <c r="D29" s="14" t="s">
        <v>164</v>
      </c>
      <c r="E29" s="49"/>
      <c r="F29" s="15" t="s">
        <v>128</v>
      </c>
      <c r="G29" s="16" t="s">
        <v>227</v>
      </c>
      <c r="H29" s="17" t="s">
        <v>228</v>
      </c>
      <c r="I29" s="33"/>
      <c r="J29" s="17"/>
      <c r="K29" s="19"/>
      <c r="L29" s="19"/>
      <c r="M29" s="19"/>
      <c r="N29" s="41"/>
      <c r="O29" s="15"/>
      <c r="P29" s="15"/>
      <c r="Q29" s="15"/>
      <c r="R29" s="15">
        <v>2.0</v>
      </c>
      <c r="S29" s="20" t="s">
        <v>211</v>
      </c>
      <c r="T29" s="21" t="s">
        <v>212</v>
      </c>
    </row>
    <row r="30" ht="29.25" customHeight="1">
      <c r="A30" s="12">
        <f t="shared" si="2"/>
        <v>27</v>
      </c>
      <c r="B30" s="13" t="s">
        <v>21</v>
      </c>
      <c r="C30" s="13" t="s">
        <v>163</v>
      </c>
      <c r="D30" s="14" t="s">
        <v>164</v>
      </c>
      <c r="E30" s="15"/>
      <c r="F30" s="15">
        <v>6509.0</v>
      </c>
      <c r="G30" s="51" t="s">
        <v>229</v>
      </c>
      <c r="H30" s="52" t="s">
        <v>230</v>
      </c>
      <c r="I30" s="33" t="s">
        <v>231</v>
      </c>
      <c r="J30" s="17" t="s">
        <v>232</v>
      </c>
      <c r="K30" s="19" t="s">
        <v>233</v>
      </c>
      <c r="L30" s="19" t="s">
        <v>234</v>
      </c>
      <c r="M30" s="19" t="s">
        <v>59</v>
      </c>
      <c r="N30" s="19" t="s">
        <v>235</v>
      </c>
      <c r="O30" s="50"/>
      <c r="P30" s="50"/>
      <c r="Q30" s="15"/>
      <c r="R30" s="12">
        <v>6.0</v>
      </c>
      <c r="S30" s="20" t="s">
        <v>211</v>
      </c>
      <c r="T30" s="21" t="s">
        <v>212</v>
      </c>
    </row>
    <row r="31" ht="36.0" customHeight="1">
      <c r="A31" s="12">
        <f t="shared" si="2"/>
        <v>28</v>
      </c>
      <c r="B31" s="13" t="s">
        <v>21</v>
      </c>
      <c r="C31" s="13" t="s">
        <v>163</v>
      </c>
      <c r="D31" s="14" t="s">
        <v>164</v>
      </c>
      <c r="E31" s="15"/>
      <c r="F31" s="22">
        <v>8645.0</v>
      </c>
      <c r="G31" s="53" t="s">
        <v>236</v>
      </c>
      <c r="H31" s="54" t="s">
        <v>237</v>
      </c>
      <c r="I31" s="55" t="s">
        <v>238</v>
      </c>
      <c r="J31" s="17" t="s">
        <v>239</v>
      </c>
      <c r="K31" s="17" t="s">
        <v>240</v>
      </c>
      <c r="L31" s="17" t="s">
        <v>170</v>
      </c>
      <c r="M31" s="17" t="s">
        <v>103</v>
      </c>
      <c r="N31" s="28" t="s">
        <v>241</v>
      </c>
      <c r="O31" s="15"/>
      <c r="P31" s="15">
        <v>8.430520009E9</v>
      </c>
      <c r="Q31" s="15" t="s">
        <v>96</v>
      </c>
      <c r="R31" s="12">
        <v>4.0</v>
      </c>
      <c r="S31" s="20" t="s">
        <v>211</v>
      </c>
      <c r="T31" s="21" t="s">
        <v>212</v>
      </c>
    </row>
    <row r="32" ht="29.25" customHeight="1">
      <c r="A32" s="12">
        <f t="shared" si="2"/>
        <v>29</v>
      </c>
      <c r="B32" s="13" t="s">
        <v>21</v>
      </c>
      <c r="C32" s="13" t="s">
        <v>163</v>
      </c>
      <c r="D32" s="14" t="s">
        <v>164</v>
      </c>
      <c r="E32" s="15"/>
      <c r="F32" s="22">
        <v>14152.0</v>
      </c>
      <c r="G32" s="53" t="s">
        <v>242</v>
      </c>
      <c r="H32" s="56" t="s">
        <v>243</v>
      </c>
      <c r="I32" s="57" t="s">
        <v>244</v>
      </c>
      <c r="J32" s="27" t="s">
        <v>245</v>
      </c>
      <c r="K32" s="58"/>
      <c r="L32" s="58" t="s">
        <v>246</v>
      </c>
      <c r="M32" s="58" t="s">
        <v>225</v>
      </c>
      <c r="N32" s="59" t="s">
        <v>247</v>
      </c>
      <c r="O32" s="15"/>
      <c r="P32" s="15">
        <v>3.03701020614532E14</v>
      </c>
      <c r="Q32" s="15" t="s">
        <v>146</v>
      </c>
      <c r="R32" s="33" t="s">
        <v>248</v>
      </c>
      <c r="S32" s="20" t="s">
        <v>211</v>
      </c>
      <c r="T32" s="21" t="s">
        <v>212</v>
      </c>
    </row>
    <row r="33" ht="29.25" customHeight="1">
      <c r="A33" s="12">
        <f t="shared" si="2"/>
        <v>30</v>
      </c>
      <c r="B33" s="13" t="s">
        <v>21</v>
      </c>
      <c r="C33" s="13" t="s">
        <v>163</v>
      </c>
      <c r="D33" s="14" t="s">
        <v>164</v>
      </c>
      <c r="E33" s="15"/>
      <c r="F33" s="12" t="s">
        <v>128</v>
      </c>
      <c r="G33" s="40" t="s">
        <v>249</v>
      </c>
      <c r="H33" s="60" t="s">
        <v>250</v>
      </c>
      <c r="I33" s="57" t="s">
        <v>251</v>
      </c>
      <c r="J33" s="17"/>
      <c r="K33" s="19"/>
      <c r="L33" s="19"/>
      <c r="M33" s="19"/>
      <c r="N33" s="59"/>
      <c r="O33" s="15"/>
      <c r="P33" s="15"/>
      <c r="Q33" s="15"/>
      <c r="R33" s="15">
        <v>1.0</v>
      </c>
      <c r="S33" s="20" t="s">
        <v>211</v>
      </c>
      <c r="T33" s="21" t="s">
        <v>212</v>
      </c>
    </row>
    <row r="34" ht="29.25" customHeight="1">
      <c r="A34" s="12">
        <f t="shared" si="2"/>
        <v>31</v>
      </c>
      <c r="B34" s="13" t="s">
        <v>21</v>
      </c>
      <c r="C34" s="13" t="s">
        <v>22</v>
      </c>
      <c r="D34" s="14" t="s">
        <v>23</v>
      </c>
      <c r="E34" s="61">
        <v>45047.0</v>
      </c>
      <c r="F34" s="62" t="s">
        <v>128</v>
      </c>
      <c r="G34" s="16" t="s">
        <v>252</v>
      </c>
      <c r="H34" s="17" t="s">
        <v>253</v>
      </c>
      <c r="I34" s="33" t="s">
        <v>254</v>
      </c>
      <c r="J34" s="17" t="s">
        <v>255</v>
      </c>
      <c r="K34" s="17" t="s">
        <v>256</v>
      </c>
      <c r="L34" s="17" t="s">
        <v>257</v>
      </c>
      <c r="M34" s="17" t="s">
        <v>258</v>
      </c>
      <c r="N34" s="63" t="s">
        <v>259</v>
      </c>
      <c r="O34" s="15"/>
      <c r="P34" s="15">
        <v>2.23701000459309E14</v>
      </c>
      <c r="Q34" s="15" t="s">
        <v>146</v>
      </c>
      <c r="R34" s="12">
        <v>6.0</v>
      </c>
      <c r="S34" s="20" t="s">
        <v>211</v>
      </c>
      <c r="T34" s="21" t="s">
        <v>212</v>
      </c>
    </row>
    <row r="35" ht="29.25" customHeight="1">
      <c r="A35" s="12">
        <f t="shared" si="2"/>
        <v>32</v>
      </c>
      <c r="B35" s="13" t="s">
        <v>21</v>
      </c>
      <c r="C35" s="13" t="s">
        <v>22</v>
      </c>
      <c r="D35" s="14" t="s">
        <v>23</v>
      </c>
      <c r="E35" s="15"/>
      <c r="F35" s="15">
        <v>10717.0</v>
      </c>
      <c r="G35" s="16" t="s">
        <v>260</v>
      </c>
      <c r="H35" s="51" t="s">
        <v>261</v>
      </c>
      <c r="I35" s="64" t="s">
        <v>262</v>
      </c>
      <c r="J35" s="17" t="s">
        <v>263</v>
      </c>
      <c r="K35" s="17" t="s">
        <v>264</v>
      </c>
      <c r="L35" s="17" t="s">
        <v>265</v>
      </c>
      <c r="M35" s="17" t="s">
        <v>103</v>
      </c>
      <c r="N35" s="63" t="s">
        <v>266</v>
      </c>
      <c r="O35" s="15"/>
      <c r="P35" s="15">
        <v>2.69276177E8</v>
      </c>
      <c r="Q35" s="15" t="s">
        <v>267</v>
      </c>
      <c r="R35" s="12">
        <v>2.0</v>
      </c>
      <c r="S35" s="20" t="s">
        <v>211</v>
      </c>
      <c r="T35" s="21" t="s">
        <v>212</v>
      </c>
    </row>
    <row r="36" ht="29.25" customHeight="1">
      <c r="A36" s="12">
        <f t="shared" si="2"/>
        <v>33</v>
      </c>
      <c r="B36" s="13" t="s">
        <v>21</v>
      </c>
      <c r="C36" s="13" t="s">
        <v>43</v>
      </c>
      <c r="D36" s="14" t="s">
        <v>44</v>
      </c>
      <c r="E36" s="15"/>
      <c r="F36" s="15">
        <v>5836.0</v>
      </c>
      <c r="G36" s="16" t="s">
        <v>268</v>
      </c>
      <c r="H36" s="17" t="s">
        <v>269</v>
      </c>
      <c r="I36" s="33" t="s">
        <v>270</v>
      </c>
      <c r="J36" s="17" t="s">
        <v>271</v>
      </c>
      <c r="K36" s="17" t="s">
        <v>272</v>
      </c>
      <c r="L36" s="17" t="s">
        <v>208</v>
      </c>
      <c r="M36" s="17" t="s">
        <v>209</v>
      </c>
      <c r="N36" s="16" t="s">
        <v>273</v>
      </c>
      <c r="O36" s="50"/>
      <c r="P36" s="50"/>
      <c r="Q36" s="15"/>
      <c r="R36" s="15">
        <v>1.0</v>
      </c>
      <c r="S36" s="20" t="s">
        <v>211</v>
      </c>
      <c r="T36" s="21" t="s">
        <v>212</v>
      </c>
    </row>
    <row r="37" ht="29.25" customHeight="1">
      <c r="A37" s="12">
        <f t="shared" si="2"/>
        <v>34</v>
      </c>
      <c r="B37" s="13" t="s">
        <v>21</v>
      </c>
      <c r="C37" s="13" t="s">
        <v>43</v>
      </c>
      <c r="D37" s="14" t="s">
        <v>44</v>
      </c>
      <c r="E37" s="15"/>
      <c r="F37" s="15">
        <v>4896.0</v>
      </c>
      <c r="G37" s="16" t="s">
        <v>274</v>
      </c>
      <c r="H37" s="17" t="s">
        <v>275</v>
      </c>
      <c r="I37" s="33" t="s">
        <v>276</v>
      </c>
      <c r="J37" s="17" t="s">
        <v>277</v>
      </c>
      <c r="K37" s="17" t="s">
        <v>278</v>
      </c>
      <c r="L37" s="17" t="s">
        <v>65</v>
      </c>
      <c r="M37" s="17" t="s">
        <v>41</v>
      </c>
      <c r="N37" s="63" t="s">
        <v>279</v>
      </c>
      <c r="O37" s="50"/>
      <c r="P37" s="50"/>
      <c r="Q37" s="15"/>
      <c r="R37" s="15">
        <v>1.0</v>
      </c>
      <c r="S37" s="20" t="s">
        <v>211</v>
      </c>
      <c r="T37" s="21" t="s">
        <v>212</v>
      </c>
    </row>
    <row r="38" ht="29.25" customHeight="1">
      <c r="A38" s="12">
        <f t="shared" si="2"/>
        <v>35</v>
      </c>
      <c r="B38" s="13" t="s">
        <v>21</v>
      </c>
      <c r="C38" s="13" t="s">
        <v>43</v>
      </c>
      <c r="D38" s="14" t="s">
        <v>44</v>
      </c>
      <c r="E38" s="15"/>
      <c r="F38" s="15">
        <v>7233.0</v>
      </c>
      <c r="G38" s="16" t="s">
        <v>280</v>
      </c>
      <c r="H38" s="17" t="s">
        <v>281</v>
      </c>
      <c r="I38" s="33" t="s">
        <v>282</v>
      </c>
      <c r="J38" s="17" t="s">
        <v>283</v>
      </c>
      <c r="K38" s="19" t="s">
        <v>284</v>
      </c>
      <c r="L38" s="19" t="s">
        <v>50</v>
      </c>
      <c r="M38" s="19" t="s">
        <v>51</v>
      </c>
      <c r="N38" s="19" t="s">
        <v>285</v>
      </c>
      <c r="O38" s="15"/>
      <c r="P38" s="15"/>
      <c r="Q38" s="15"/>
      <c r="R38" s="15">
        <v>1.0</v>
      </c>
      <c r="S38" s="20" t="s">
        <v>211</v>
      </c>
      <c r="T38" s="21" t="s">
        <v>212</v>
      </c>
    </row>
    <row r="39" ht="29.25" customHeight="1">
      <c r="A39" s="12">
        <f t="shared" si="2"/>
        <v>36</v>
      </c>
      <c r="B39" s="13" t="s">
        <v>21</v>
      </c>
      <c r="C39" s="13" t="s">
        <v>43</v>
      </c>
      <c r="D39" s="14" t="s">
        <v>44</v>
      </c>
      <c r="E39" s="15"/>
      <c r="F39" s="15">
        <v>2700.0</v>
      </c>
      <c r="G39" s="16" t="s">
        <v>286</v>
      </c>
      <c r="H39" s="17" t="s">
        <v>287</v>
      </c>
      <c r="I39" s="33" t="s">
        <v>288</v>
      </c>
      <c r="J39" s="17" t="s">
        <v>289</v>
      </c>
      <c r="K39" s="51" t="s">
        <v>290</v>
      </c>
      <c r="L39" s="51" t="s">
        <v>160</v>
      </c>
      <c r="M39" s="17" t="s">
        <v>103</v>
      </c>
      <c r="N39" s="65" t="s">
        <v>291</v>
      </c>
      <c r="O39" s="15"/>
      <c r="P39" s="15"/>
      <c r="Q39" s="15"/>
      <c r="R39" s="12">
        <v>4.0</v>
      </c>
      <c r="S39" s="20" t="s">
        <v>211</v>
      </c>
      <c r="T39" s="21" t="s">
        <v>212</v>
      </c>
    </row>
    <row r="40" ht="29.25" customHeight="1">
      <c r="A40" s="12">
        <f t="shared" si="2"/>
        <v>37</v>
      </c>
      <c r="B40" s="13" t="s">
        <v>21</v>
      </c>
      <c r="C40" s="13" t="s">
        <v>43</v>
      </c>
      <c r="D40" s="14" t="s">
        <v>44</v>
      </c>
      <c r="E40" s="66"/>
      <c r="F40" s="67"/>
      <c r="G40" s="41" t="s">
        <v>292</v>
      </c>
      <c r="H40" s="60" t="s">
        <v>293</v>
      </c>
      <c r="I40" s="33" t="s">
        <v>294</v>
      </c>
      <c r="J40" s="17" t="s">
        <v>295</v>
      </c>
      <c r="K40" s="68"/>
      <c r="L40" s="19" t="s">
        <v>296</v>
      </c>
      <c r="M40" s="17" t="s">
        <v>258</v>
      </c>
      <c r="N40" s="31" t="s">
        <v>297</v>
      </c>
      <c r="O40" s="15"/>
      <c r="P40" s="15">
        <v>4.290938843E9</v>
      </c>
      <c r="Q40" s="15" t="s">
        <v>96</v>
      </c>
      <c r="R40" s="15">
        <v>3.0</v>
      </c>
      <c r="S40" s="20" t="s">
        <v>211</v>
      </c>
      <c r="T40" s="21" t="s">
        <v>212</v>
      </c>
    </row>
    <row r="41" ht="29.25" customHeight="1">
      <c r="A41" s="12">
        <f t="shared" si="2"/>
        <v>38</v>
      </c>
      <c r="B41" s="13" t="s">
        <v>21</v>
      </c>
      <c r="C41" s="13" t="s">
        <v>43</v>
      </c>
      <c r="D41" s="14" t="s">
        <v>44</v>
      </c>
      <c r="E41" s="32"/>
      <c r="F41" s="33" t="s">
        <v>298</v>
      </c>
      <c r="G41" s="40" t="s">
        <v>299</v>
      </c>
      <c r="H41" s="37" t="s">
        <v>300</v>
      </c>
      <c r="I41" s="33" t="s">
        <v>301</v>
      </c>
      <c r="J41" s="17" t="s">
        <v>302</v>
      </c>
      <c r="K41" s="19" t="s">
        <v>303</v>
      </c>
      <c r="L41" s="19" t="s">
        <v>304</v>
      </c>
      <c r="M41" s="19" t="s">
        <v>209</v>
      </c>
      <c r="N41" s="31" t="s">
        <v>305</v>
      </c>
      <c r="O41" s="15"/>
      <c r="P41" s="15"/>
      <c r="Q41" s="15"/>
      <c r="R41" s="15">
        <v>1.0</v>
      </c>
      <c r="S41" s="20" t="s">
        <v>211</v>
      </c>
      <c r="T41" s="21" t="s">
        <v>212</v>
      </c>
    </row>
    <row r="42" ht="29.25" customHeight="1">
      <c r="A42" s="12">
        <f t="shared" si="2"/>
        <v>39</v>
      </c>
      <c r="B42" s="13" t="s">
        <v>21</v>
      </c>
      <c r="C42" s="13" t="s">
        <v>43</v>
      </c>
      <c r="D42" s="14" t="s">
        <v>44</v>
      </c>
      <c r="E42" s="32" t="s">
        <v>306</v>
      </c>
      <c r="F42" s="33" t="s">
        <v>307</v>
      </c>
      <c r="G42" s="69" t="s">
        <v>308</v>
      </c>
      <c r="H42" s="37" t="s">
        <v>286</v>
      </c>
      <c r="I42" s="70" t="s">
        <v>309</v>
      </c>
      <c r="J42" s="17" t="s">
        <v>310</v>
      </c>
      <c r="K42" s="19" t="s">
        <v>311</v>
      </c>
      <c r="L42" s="19" t="s">
        <v>312</v>
      </c>
      <c r="M42" s="19" t="s">
        <v>313</v>
      </c>
      <c r="N42" s="31" t="s">
        <v>314</v>
      </c>
      <c r="O42" s="15"/>
      <c r="P42" s="15">
        <v>4.453847E7</v>
      </c>
      <c r="Q42" s="15" t="s">
        <v>267</v>
      </c>
      <c r="R42" s="15">
        <v>1.0</v>
      </c>
      <c r="S42" s="20" t="s">
        <v>211</v>
      </c>
      <c r="T42" s="21" t="s">
        <v>212</v>
      </c>
    </row>
    <row r="43" ht="31.5" customHeight="1">
      <c r="A43" s="12">
        <f t="shared" si="2"/>
        <v>40</v>
      </c>
      <c r="B43" s="13" t="s">
        <v>21</v>
      </c>
      <c r="C43" s="13" t="s">
        <v>43</v>
      </c>
      <c r="D43" s="14" t="s">
        <v>44</v>
      </c>
      <c r="E43" s="32" t="s">
        <v>315</v>
      </c>
      <c r="F43" s="33" t="s">
        <v>128</v>
      </c>
      <c r="G43" s="69" t="s">
        <v>316</v>
      </c>
      <c r="H43" s="37" t="s">
        <v>316</v>
      </c>
      <c r="I43" s="70" t="s">
        <v>317</v>
      </c>
      <c r="J43" s="17" t="s">
        <v>318</v>
      </c>
      <c r="K43" s="19" t="s">
        <v>319</v>
      </c>
      <c r="L43" s="19" t="s">
        <v>170</v>
      </c>
      <c r="M43" s="19" t="s">
        <v>103</v>
      </c>
      <c r="N43" s="31" t="s">
        <v>320</v>
      </c>
      <c r="O43" s="15"/>
      <c r="P43" s="15">
        <v>3.491613155E9</v>
      </c>
      <c r="Q43" s="15" t="s">
        <v>96</v>
      </c>
      <c r="R43" s="15">
        <v>1.0</v>
      </c>
      <c r="S43" s="20" t="s">
        <v>211</v>
      </c>
      <c r="T43" s="21" t="s">
        <v>212</v>
      </c>
    </row>
    <row r="44" ht="31.5" customHeight="1">
      <c r="A44" s="12">
        <f t="shared" si="2"/>
        <v>41</v>
      </c>
      <c r="B44" s="13" t="s">
        <v>21</v>
      </c>
      <c r="C44" s="13" t="s">
        <v>22</v>
      </c>
      <c r="D44" s="14" t="s">
        <v>23</v>
      </c>
      <c r="E44" s="32" t="s">
        <v>321</v>
      </c>
      <c r="F44" s="33" t="s">
        <v>322</v>
      </c>
      <c r="G44" s="69" t="s">
        <v>323</v>
      </c>
      <c r="H44" s="37" t="s">
        <v>324</v>
      </c>
      <c r="I44" s="70" t="s">
        <v>325</v>
      </c>
      <c r="J44" s="17" t="s">
        <v>326</v>
      </c>
      <c r="K44" s="19" t="s">
        <v>327</v>
      </c>
      <c r="L44" s="19" t="s">
        <v>328</v>
      </c>
      <c r="M44" s="19" t="s">
        <v>258</v>
      </c>
      <c r="N44" s="31" t="s">
        <v>329</v>
      </c>
      <c r="O44" s="15"/>
      <c r="P44" s="15">
        <v>6.985282611E9</v>
      </c>
      <c r="Q44" s="15" t="s">
        <v>96</v>
      </c>
      <c r="R44" s="15">
        <v>1.0</v>
      </c>
      <c r="S44" s="20" t="s">
        <v>211</v>
      </c>
      <c r="T44" s="21" t="s">
        <v>212</v>
      </c>
    </row>
    <row r="45" ht="31.5" customHeight="1">
      <c r="A45" s="12">
        <f t="shared" si="2"/>
        <v>42</v>
      </c>
      <c r="B45" s="13" t="s">
        <v>21</v>
      </c>
      <c r="C45" s="71" t="s">
        <v>163</v>
      </c>
      <c r="D45" s="14" t="s">
        <v>164</v>
      </c>
      <c r="E45" s="32"/>
      <c r="F45" s="33" t="s">
        <v>128</v>
      </c>
      <c r="G45" s="40" t="s">
        <v>330</v>
      </c>
      <c r="H45" s="40" t="s">
        <v>331</v>
      </c>
      <c r="I45" s="72" t="s">
        <v>332</v>
      </c>
      <c r="J45" s="17"/>
      <c r="K45" s="19"/>
      <c r="L45" s="19"/>
      <c r="M45" s="19"/>
      <c r="N45" s="31"/>
      <c r="O45" s="15"/>
      <c r="P45" s="15"/>
      <c r="Q45" s="15"/>
      <c r="R45" s="15">
        <v>1.0</v>
      </c>
      <c r="S45" s="20" t="s">
        <v>211</v>
      </c>
      <c r="T45" s="21" t="s">
        <v>212</v>
      </c>
    </row>
    <row r="46" ht="29.25" hidden="1" customHeight="1">
      <c r="A46" s="44"/>
      <c r="B46" s="44"/>
      <c r="C46" s="44"/>
      <c r="D46" s="44"/>
      <c r="E46" s="45"/>
      <c r="F46" s="44"/>
      <c r="G46" s="46">
        <f>COUNTA(G26:G45)</f>
        <v>20</v>
      </c>
      <c r="H46" s="47"/>
      <c r="I46" s="44"/>
      <c r="J46" s="47"/>
      <c r="K46" s="47"/>
      <c r="L46" s="47"/>
      <c r="M46" s="47"/>
      <c r="N46" s="44"/>
      <c r="O46" s="44"/>
      <c r="P46" s="44"/>
      <c r="Q46" s="44"/>
      <c r="R46" s="46">
        <f>SUM(R26:R45)</f>
        <v>62</v>
      </c>
      <c r="S46" s="48">
        <f>COUNTA(S26:S45)</f>
        <v>20</v>
      </c>
      <c r="T46" s="46"/>
    </row>
    <row r="47" ht="29.25" customHeight="1">
      <c r="A47" s="12">
        <f>A44+1</f>
        <v>42</v>
      </c>
      <c r="B47" s="13" t="s">
        <v>21</v>
      </c>
      <c r="C47" s="13" t="s">
        <v>43</v>
      </c>
      <c r="D47" s="14" t="s">
        <v>44</v>
      </c>
      <c r="E47" s="15"/>
      <c r="F47" s="15">
        <v>11117.0</v>
      </c>
      <c r="G47" s="30" t="s">
        <v>333</v>
      </c>
      <c r="H47" s="38" t="s">
        <v>334</v>
      </c>
      <c r="I47" s="33" t="s">
        <v>335</v>
      </c>
      <c r="J47" s="37" t="s">
        <v>336</v>
      </c>
      <c r="K47" s="17"/>
      <c r="L47" s="17" t="s">
        <v>176</v>
      </c>
      <c r="M47" s="17" t="s">
        <v>59</v>
      </c>
      <c r="N47" s="16" t="s">
        <v>337</v>
      </c>
      <c r="O47" s="15"/>
      <c r="P47" s="15">
        <v>7.180472813E9</v>
      </c>
      <c r="Q47" s="15" t="s">
        <v>96</v>
      </c>
      <c r="R47" s="12">
        <v>1.0</v>
      </c>
      <c r="S47" s="20" t="s">
        <v>338</v>
      </c>
      <c r="T47" s="21" t="s">
        <v>339</v>
      </c>
    </row>
    <row r="48" ht="34.5" customHeight="1">
      <c r="A48" s="12">
        <f t="shared" ref="A48:A50" si="3">A47+1</f>
        <v>43</v>
      </c>
      <c r="B48" s="13" t="s">
        <v>21</v>
      </c>
      <c r="C48" s="13" t="s">
        <v>43</v>
      </c>
      <c r="D48" s="14" t="s">
        <v>44</v>
      </c>
      <c r="E48" s="15"/>
      <c r="F48" s="15">
        <v>1694.0</v>
      </c>
      <c r="G48" s="30" t="s">
        <v>340</v>
      </c>
      <c r="H48" s="38" t="s">
        <v>341</v>
      </c>
      <c r="I48" s="73" t="s">
        <v>342</v>
      </c>
      <c r="J48" s="17" t="s">
        <v>343</v>
      </c>
      <c r="K48" s="17" t="s">
        <v>344</v>
      </c>
      <c r="L48" s="17" t="s">
        <v>345</v>
      </c>
      <c r="M48" s="17" t="s">
        <v>190</v>
      </c>
      <c r="N48" s="16" t="s">
        <v>346</v>
      </c>
      <c r="O48" s="15"/>
      <c r="P48" s="15">
        <v>1.090016628075E12</v>
      </c>
      <c r="Q48" s="15" t="s">
        <v>193</v>
      </c>
      <c r="R48" s="12">
        <v>2.0</v>
      </c>
      <c r="S48" s="20" t="s">
        <v>338</v>
      </c>
      <c r="T48" s="21" t="s">
        <v>347</v>
      </c>
    </row>
    <row r="49" ht="37.5" customHeight="1">
      <c r="A49" s="12">
        <f t="shared" si="3"/>
        <v>44</v>
      </c>
      <c r="B49" s="13" t="s">
        <v>21</v>
      </c>
      <c r="C49" s="13" t="s">
        <v>43</v>
      </c>
      <c r="D49" s="14" t="s">
        <v>44</v>
      </c>
      <c r="E49" s="74"/>
      <c r="F49" s="75">
        <v>4134.0</v>
      </c>
      <c r="G49" s="76" t="s">
        <v>348</v>
      </c>
      <c r="H49" s="51" t="s">
        <v>349</v>
      </c>
      <c r="I49" s="77" t="s">
        <v>350</v>
      </c>
      <c r="J49" s="17" t="s">
        <v>351</v>
      </c>
      <c r="K49" s="51" t="s">
        <v>352</v>
      </c>
      <c r="L49" s="51" t="s">
        <v>102</v>
      </c>
      <c r="M49" s="51" t="s">
        <v>103</v>
      </c>
      <c r="N49" s="78" t="s">
        <v>353</v>
      </c>
      <c r="O49" s="50"/>
      <c r="P49" s="50"/>
      <c r="Q49" s="15"/>
      <c r="R49" s="15">
        <v>1.0</v>
      </c>
      <c r="S49" s="20" t="s">
        <v>338</v>
      </c>
      <c r="T49" s="21" t="s">
        <v>347</v>
      </c>
    </row>
    <row r="50" ht="29.25" customHeight="1">
      <c r="A50" s="12">
        <f t="shared" si="3"/>
        <v>45</v>
      </c>
      <c r="B50" s="13" t="s">
        <v>21</v>
      </c>
      <c r="C50" s="13" t="s">
        <v>163</v>
      </c>
      <c r="D50" s="14" t="s">
        <v>164</v>
      </c>
      <c r="E50" s="15"/>
      <c r="F50" s="79">
        <v>8881.0</v>
      </c>
      <c r="G50" s="30" t="s">
        <v>354</v>
      </c>
      <c r="H50" s="80" t="s">
        <v>355</v>
      </c>
      <c r="I50" s="81" t="s">
        <v>356</v>
      </c>
      <c r="J50" s="17" t="s">
        <v>357</v>
      </c>
      <c r="K50" s="19" t="s">
        <v>358</v>
      </c>
      <c r="L50" s="19" t="s">
        <v>359</v>
      </c>
      <c r="M50" s="19" t="s">
        <v>225</v>
      </c>
      <c r="N50" s="82" t="s">
        <v>360</v>
      </c>
      <c r="O50" s="15"/>
      <c r="P50" s="15">
        <v>2.831496021E9</v>
      </c>
      <c r="Q50" s="15" t="s">
        <v>96</v>
      </c>
      <c r="R50" s="12">
        <v>3.0</v>
      </c>
      <c r="S50" s="20" t="s">
        <v>33</v>
      </c>
      <c r="T50" s="21" t="s">
        <v>347</v>
      </c>
    </row>
    <row r="51" ht="29.25" hidden="1" customHeight="1">
      <c r="A51" s="44"/>
      <c r="B51" s="44"/>
      <c r="C51" s="44"/>
      <c r="D51" s="44"/>
      <c r="E51" s="45"/>
      <c r="F51" s="44"/>
      <c r="G51" s="46">
        <f>COUNTA(G47:G50)</f>
        <v>4</v>
      </c>
      <c r="H51" s="47"/>
      <c r="I51" s="44"/>
      <c r="J51" s="47"/>
      <c r="K51" s="47"/>
      <c r="L51" s="47"/>
      <c r="M51" s="47"/>
      <c r="N51" s="44"/>
      <c r="O51" s="44"/>
      <c r="P51" s="44"/>
      <c r="Q51" s="44"/>
      <c r="R51" s="46">
        <f>SUM(R48:R50)</f>
        <v>6</v>
      </c>
      <c r="S51" s="48">
        <f>COUNTA(#REF!)</f>
        <v>1</v>
      </c>
      <c r="T51" s="46"/>
    </row>
    <row r="52" ht="35.25" customHeight="1">
      <c r="A52" s="12">
        <f>A50+1</f>
        <v>46</v>
      </c>
      <c r="B52" s="13" t="s">
        <v>21</v>
      </c>
      <c r="C52" s="13" t="s">
        <v>163</v>
      </c>
      <c r="D52" s="14" t="s">
        <v>164</v>
      </c>
      <c r="E52" s="15"/>
      <c r="F52" s="15" t="s">
        <v>128</v>
      </c>
      <c r="G52" s="83" t="s">
        <v>361</v>
      </c>
      <c r="H52" s="84" t="s">
        <v>362</v>
      </c>
      <c r="I52" s="85" t="s">
        <v>363</v>
      </c>
      <c r="J52" s="17" t="s">
        <v>364</v>
      </c>
      <c r="K52" s="19" t="s">
        <v>365</v>
      </c>
      <c r="L52" s="19" t="s">
        <v>366</v>
      </c>
      <c r="M52" s="19" t="s">
        <v>366</v>
      </c>
      <c r="N52" s="86" t="s">
        <v>367</v>
      </c>
      <c r="O52" s="15"/>
      <c r="P52" s="15">
        <v>5.63201048259538E14</v>
      </c>
      <c r="Q52" s="15" t="s">
        <v>146</v>
      </c>
      <c r="R52" s="15">
        <v>11.0</v>
      </c>
      <c r="S52" s="20" t="s">
        <v>33</v>
      </c>
      <c r="T52" s="21" t="s">
        <v>339</v>
      </c>
    </row>
    <row r="53" ht="35.25" customHeight="1">
      <c r="A53" s="12">
        <f t="shared" ref="A53:A55" si="4">A52+1</f>
        <v>47</v>
      </c>
      <c r="B53" s="13" t="s">
        <v>21</v>
      </c>
      <c r="C53" s="13" t="s">
        <v>43</v>
      </c>
      <c r="D53" s="14" t="s">
        <v>44</v>
      </c>
      <c r="E53" s="87">
        <v>45920.0</v>
      </c>
      <c r="F53" s="88">
        <v>15517.0</v>
      </c>
      <c r="G53" s="89" t="s">
        <v>368</v>
      </c>
      <c r="H53" s="90" t="s">
        <v>369</v>
      </c>
      <c r="I53" s="91" t="s">
        <v>370</v>
      </c>
      <c r="J53" s="92" t="s">
        <v>371</v>
      </c>
      <c r="K53" s="93" t="s">
        <v>175</v>
      </c>
      <c r="L53" s="17" t="s">
        <v>176</v>
      </c>
      <c r="M53" s="17" t="s">
        <v>59</v>
      </c>
      <c r="N53" s="93" t="s">
        <v>372</v>
      </c>
      <c r="O53" s="15"/>
      <c r="P53" s="15">
        <v>8.681130152E9</v>
      </c>
      <c r="Q53" s="15" t="s">
        <v>96</v>
      </c>
      <c r="R53" s="15">
        <v>1.0</v>
      </c>
      <c r="S53" s="20" t="s">
        <v>338</v>
      </c>
      <c r="T53" s="21" t="s">
        <v>339</v>
      </c>
    </row>
    <row r="54" ht="35.25" customHeight="1">
      <c r="A54" s="12">
        <f t="shared" si="4"/>
        <v>48</v>
      </c>
      <c r="B54" s="13" t="s">
        <v>21</v>
      </c>
      <c r="C54" s="13" t="s">
        <v>43</v>
      </c>
      <c r="D54" s="14" t="s">
        <v>44</v>
      </c>
      <c r="E54" s="87">
        <v>46167.0</v>
      </c>
      <c r="F54" s="88" t="s">
        <v>128</v>
      </c>
      <c r="G54" s="89" t="s">
        <v>373</v>
      </c>
      <c r="H54" s="90" t="s">
        <v>374</v>
      </c>
      <c r="I54" s="91" t="s">
        <v>375</v>
      </c>
      <c r="J54" s="92" t="s">
        <v>376</v>
      </c>
      <c r="K54" s="93" t="s">
        <v>377</v>
      </c>
      <c r="L54" s="17" t="s">
        <v>378</v>
      </c>
      <c r="M54" s="17" t="s">
        <v>366</v>
      </c>
      <c r="N54" s="93" t="s">
        <v>379</v>
      </c>
      <c r="O54" s="15" t="s">
        <v>380</v>
      </c>
      <c r="P54" s="15">
        <v>8.190570089E9</v>
      </c>
      <c r="Q54" s="15" t="s">
        <v>96</v>
      </c>
      <c r="R54" s="15">
        <v>2.0</v>
      </c>
      <c r="S54" s="20" t="s">
        <v>338</v>
      </c>
      <c r="T54" s="21"/>
    </row>
    <row r="55" ht="35.25" customHeight="1">
      <c r="A55" s="12">
        <f t="shared" si="4"/>
        <v>49</v>
      </c>
      <c r="B55" s="13" t="s">
        <v>21</v>
      </c>
      <c r="C55" s="13" t="s">
        <v>163</v>
      </c>
      <c r="D55" s="14"/>
      <c r="E55" s="87">
        <v>46148.0</v>
      </c>
      <c r="F55" s="12">
        <v>18598.0</v>
      </c>
      <c r="G55" s="16" t="s">
        <v>381</v>
      </c>
      <c r="H55" s="38" t="s">
        <v>382</v>
      </c>
      <c r="I55" s="33" t="s">
        <v>383</v>
      </c>
      <c r="J55" s="37" t="s">
        <v>384</v>
      </c>
      <c r="K55" s="31" t="s">
        <v>385</v>
      </c>
      <c r="L55" s="17" t="s">
        <v>386</v>
      </c>
      <c r="M55" s="17" t="s">
        <v>387</v>
      </c>
      <c r="N55" s="31" t="s">
        <v>388</v>
      </c>
      <c r="O55" s="15" t="s">
        <v>381</v>
      </c>
      <c r="P55" s="15">
        <v>4.49601006397509E14</v>
      </c>
      <c r="Q55" s="15" t="s">
        <v>146</v>
      </c>
      <c r="R55" s="15">
        <v>1.0</v>
      </c>
      <c r="S55" s="20" t="s">
        <v>338</v>
      </c>
      <c r="T55" s="21"/>
    </row>
    <row r="56" ht="29.25" hidden="1" customHeight="1">
      <c r="A56" s="44"/>
      <c r="B56" s="44"/>
      <c r="C56" s="44"/>
      <c r="D56" s="44"/>
      <c r="E56" s="45"/>
      <c r="F56" s="44"/>
      <c r="G56" s="46">
        <f>COUNTA(G52:G53)</f>
        <v>2</v>
      </c>
      <c r="H56" s="47"/>
      <c r="I56" s="44"/>
      <c r="J56" s="47"/>
      <c r="K56" s="47"/>
      <c r="L56" s="47"/>
      <c r="M56" s="47"/>
      <c r="N56" s="44"/>
      <c r="O56" s="44" t="s">
        <v>389</v>
      </c>
      <c r="P56" s="44"/>
      <c r="Q56" s="44"/>
      <c r="R56" s="46">
        <f>SUM(R52)</f>
        <v>11</v>
      </c>
      <c r="S56" s="48">
        <f>COUNTA(S52)</f>
        <v>1</v>
      </c>
      <c r="T56" s="46"/>
    </row>
    <row r="57" ht="29.25" customHeight="1">
      <c r="A57" s="94" t="s">
        <v>390</v>
      </c>
      <c r="G57" s="95">
        <v>47.0</v>
      </c>
      <c r="K57" s="96"/>
      <c r="L57" s="96"/>
      <c r="M57" s="96"/>
      <c r="N57" s="97" t="s">
        <v>391</v>
      </c>
      <c r="R57" s="95">
        <f>R25+R46+R51+R56</f>
        <v>212</v>
      </c>
      <c r="S57" s="95"/>
      <c r="T57" s="98"/>
    </row>
  </sheetData>
  <mergeCells count="3">
    <mergeCell ref="A57:F57"/>
    <mergeCell ref="G57:J57"/>
    <mergeCell ref="N57:Q57"/>
  </mergeCells>
  <dataValidations>
    <dataValidation type="list" allowBlank="1" showErrorMessage="1" sqref="S3:T24 S26:T45 S47:T50 S52:T55">
      <formula1>"Heriwati,Lidya,Novel,Lady,Selvi,Givoni,Intan"</formula1>
    </dataValidation>
    <dataValidation type="list" allowBlank="1" showErrorMessage="1" sqref="C3:C24 C26:C45 C47:C50 C52:C55">
      <formula1>"FRANCHISE (Jual Brand Usaha),REFERAL (Berlangganan),AFILIASI (Perlengkapan  Ex. Mesin,Parfum,Dll),CORPORATE (Rekomendasi &amp; Akuisisi)"</formula1>
    </dataValidation>
    <dataValidation type="list" allowBlank="1" showErrorMessage="1" sqref="B3:B24 B26:B45 B47:B50 B52:B55">
      <formula1>"SHARE CMO"</formula1>
    </dataValidation>
    <dataValidation type="list" allowBlank="1" showErrorMessage="1" sqref="Q3:Q24 Q26:Q45 Q47:Q50 Q52:Q55">
      <formula1>"BRI,BCA,BNI,BTN,MANDIRI"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0505"/>
    <outlinePr summaryBelow="0" summaryRight="0"/>
    <pageSetUpPr fitToPage="1"/>
  </sheetPr>
  <sheetViews>
    <sheetView workbookViewId="0">
      <pane xSplit="8.0" ySplit="2.0" topLeftCell="I3" activePane="bottomRight" state="frozen"/>
      <selection activeCell="I1" sqref="I1" pane="topRight"/>
      <selection activeCell="A3" sqref="A3" pane="bottomLeft"/>
      <selection activeCell="I3" sqref="I3" pane="bottomRight"/>
    </sheetView>
  </sheetViews>
  <sheetFormatPr customHeight="1" defaultColWidth="12.63" defaultRowHeight="15.0"/>
  <cols>
    <col customWidth="1" min="1" max="1" width="4.88"/>
    <col customWidth="1" hidden="1" min="2" max="2" width="15.25"/>
    <col customWidth="1" min="3" max="3" width="7.88"/>
    <col customWidth="1" min="4" max="4" width="11.5"/>
    <col customWidth="1" min="5" max="5" width="16.13"/>
    <col customWidth="1" min="6" max="6" width="8.88"/>
    <col customWidth="1" min="7" max="7" width="17.75"/>
    <col customWidth="1" min="8" max="9" width="20.25"/>
    <col customWidth="1" min="10" max="10" width="10.75"/>
    <col customWidth="1" min="11" max="11" width="14.88"/>
    <col customWidth="1" min="12" max="12" width="11.13"/>
    <col customWidth="1" hidden="1" min="13" max="13" width="20.0"/>
    <col customWidth="1" hidden="1" min="14" max="15" width="9.38"/>
    <col customWidth="1" min="16" max="16" width="13.63"/>
    <col customWidth="1" min="17" max="18" width="10.63"/>
    <col customWidth="1" min="19" max="19" width="17.63"/>
    <col customWidth="1" hidden="1" min="20" max="20" width="12.75"/>
    <col customWidth="1" min="21" max="70" width="6.75"/>
  </cols>
  <sheetData>
    <row r="1" ht="27.75" customHeight="1">
      <c r="A1" s="99"/>
      <c r="B1" s="1" t="s">
        <v>392</v>
      </c>
      <c r="F1" s="1" t="s">
        <v>393</v>
      </c>
      <c r="I1" s="1"/>
      <c r="J1" s="1"/>
      <c r="K1" s="3"/>
      <c r="L1" s="8"/>
      <c r="M1" s="8"/>
      <c r="N1" s="100"/>
      <c r="O1" s="100"/>
      <c r="P1" s="100"/>
      <c r="Q1" s="101"/>
      <c r="R1" s="101"/>
      <c r="S1" s="101"/>
      <c r="T1" s="101"/>
      <c r="U1" s="102" t="s">
        <v>394</v>
      </c>
      <c r="W1" s="102"/>
      <c r="X1" s="102"/>
      <c r="Y1" s="102"/>
      <c r="Z1" s="102"/>
      <c r="AA1" s="102" t="s">
        <v>395</v>
      </c>
      <c r="AI1" s="103" t="s">
        <v>396</v>
      </c>
      <c r="AN1" s="103"/>
      <c r="AO1" s="103"/>
      <c r="AP1" s="103"/>
      <c r="AQ1" s="103"/>
      <c r="AR1" s="103"/>
      <c r="AS1" s="103"/>
      <c r="AT1" s="104"/>
      <c r="AU1" s="10" t="s">
        <v>397</v>
      </c>
      <c r="AX1" s="10"/>
      <c r="AY1" s="10"/>
      <c r="AZ1" s="10"/>
      <c r="BA1" s="10"/>
      <c r="BB1" s="10"/>
      <c r="BC1" s="10"/>
      <c r="BD1" s="10"/>
      <c r="BE1" s="10"/>
      <c r="BF1" s="105"/>
      <c r="BG1" s="10" t="s">
        <v>398</v>
      </c>
      <c r="BI1" s="10"/>
      <c r="BJ1" s="10"/>
      <c r="BK1" s="10"/>
      <c r="BL1" s="10"/>
      <c r="BM1" s="10"/>
      <c r="BN1" s="102" t="s">
        <v>399</v>
      </c>
    </row>
    <row r="2" ht="35.25" customHeight="1">
      <c r="A2" s="1" t="s">
        <v>1</v>
      </c>
      <c r="B2" s="1" t="s">
        <v>3</v>
      </c>
      <c r="C2" s="9" t="s">
        <v>6</v>
      </c>
      <c r="D2" s="3" t="s">
        <v>7</v>
      </c>
      <c r="E2" s="9" t="s">
        <v>8</v>
      </c>
      <c r="F2" s="9" t="s">
        <v>6</v>
      </c>
      <c r="G2" s="8" t="s">
        <v>400</v>
      </c>
      <c r="H2" s="3" t="s">
        <v>401</v>
      </c>
      <c r="I2" s="9" t="s">
        <v>402</v>
      </c>
      <c r="J2" s="9" t="s">
        <v>403</v>
      </c>
      <c r="K2" s="11" t="s">
        <v>404</v>
      </c>
      <c r="L2" s="11" t="s">
        <v>405</v>
      </c>
      <c r="M2" s="11" t="s">
        <v>406</v>
      </c>
      <c r="N2" s="106" t="s">
        <v>407</v>
      </c>
      <c r="O2" s="106" t="s">
        <v>408</v>
      </c>
      <c r="P2" s="9" t="s">
        <v>409</v>
      </c>
      <c r="Q2" s="106" t="s">
        <v>410</v>
      </c>
      <c r="R2" s="106" t="s">
        <v>411</v>
      </c>
      <c r="S2" s="9" t="s">
        <v>412</v>
      </c>
      <c r="T2" s="9" t="s">
        <v>2</v>
      </c>
      <c r="U2" s="102">
        <v>11.0</v>
      </c>
      <c r="V2" s="102">
        <v>12.0</v>
      </c>
      <c r="W2" s="102">
        <v>1.0</v>
      </c>
      <c r="X2" s="102">
        <v>2.0</v>
      </c>
      <c r="Y2" s="102">
        <v>3.0</v>
      </c>
      <c r="Z2" s="102">
        <v>4.0</v>
      </c>
      <c r="AA2" s="102">
        <v>5.0</v>
      </c>
      <c r="AB2" s="9">
        <v>6.0</v>
      </c>
      <c r="AC2" s="3">
        <v>7.0</v>
      </c>
      <c r="AD2" s="3">
        <v>8.0</v>
      </c>
      <c r="AE2" s="3">
        <v>9.0</v>
      </c>
      <c r="AF2" s="3">
        <v>10.0</v>
      </c>
      <c r="AG2" s="3">
        <v>11.0</v>
      </c>
      <c r="AH2" s="3">
        <v>12.0</v>
      </c>
      <c r="AI2" s="9">
        <v>1.0</v>
      </c>
      <c r="AJ2" s="9">
        <v>2.0</v>
      </c>
      <c r="AK2" s="9">
        <v>3.0</v>
      </c>
      <c r="AL2" s="9">
        <v>4.0</v>
      </c>
      <c r="AM2" s="9">
        <v>5.0</v>
      </c>
      <c r="AN2" s="9">
        <v>6.0</v>
      </c>
      <c r="AO2" s="9">
        <v>7.0</v>
      </c>
      <c r="AP2" s="9">
        <v>8.0</v>
      </c>
      <c r="AQ2" s="9">
        <v>9.0</v>
      </c>
      <c r="AR2" s="9">
        <v>10.0</v>
      </c>
      <c r="AS2" s="9">
        <v>11.0</v>
      </c>
      <c r="AT2" s="107">
        <v>12.0</v>
      </c>
      <c r="AU2" s="9">
        <v>1.0</v>
      </c>
      <c r="AV2" s="9">
        <v>2.0</v>
      </c>
      <c r="AW2" s="9">
        <v>3.0</v>
      </c>
      <c r="AX2" s="9">
        <v>4.0</v>
      </c>
      <c r="AY2" s="9">
        <v>5.0</v>
      </c>
      <c r="AZ2" s="9">
        <v>6.0</v>
      </c>
      <c r="BA2" s="9">
        <v>7.0</v>
      </c>
      <c r="BB2" s="9">
        <v>8.0</v>
      </c>
      <c r="BC2" s="9">
        <v>9.0</v>
      </c>
      <c r="BD2" s="9">
        <v>10.0</v>
      </c>
      <c r="BE2" s="9">
        <v>11.0</v>
      </c>
      <c r="BF2" s="107">
        <v>12.0</v>
      </c>
      <c r="BG2" s="9">
        <v>1.0</v>
      </c>
      <c r="BH2" s="9">
        <v>2.0</v>
      </c>
      <c r="BI2" s="9">
        <v>3.0</v>
      </c>
      <c r="BJ2" s="9">
        <v>4.0</v>
      </c>
      <c r="BK2" s="9">
        <v>5.0</v>
      </c>
      <c r="BL2" s="9">
        <v>6.0</v>
      </c>
      <c r="BM2" s="9">
        <v>7.0</v>
      </c>
      <c r="BN2" s="3" t="s">
        <v>413</v>
      </c>
      <c r="BO2" s="9" t="s">
        <v>414</v>
      </c>
      <c r="BP2" s="9" t="s">
        <v>415</v>
      </c>
      <c r="BQ2" s="3" t="s">
        <v>416</v>
      </c>
      <c r="BR2" s="3" t="s">
        <v>417</v>
      </c>
    </row>
    <row r="3" ht="27.0" customHeight="1">
      <c r="A3" s="12">
        <v>1.0</v>
      </c>
      <c r="B3" s="13" t="s">
        <v>22</v>
      </c>
      <c r="C3" s="15">
        <v>6926.0</v>
      </c>
      <c r="D3" s="16" t="s">
        <v>24</v>
      </c>
      <c r="E3" s="16" t="s">
        <v>25</v>
      </c>
      <c r="F3" s="108">
        <v>8068.0</v>
      </c>
      <c r="G3" s="16" t="s">
        <v>418</v>
      </c>
      <c r="H3" s="16" t="s">
        <v>419</v>
      </c>
      <c r="I3" s="16"/>
      <c r="J3" s="15" t="s">
        <v>420</v>
      </c>
      <c r="K3" s="20" t="s">
        <v>421</v>
      </c>
      <c r="L3" s="21" t="s">
        <v>33</v>
      </c>
      <c r="M3" s="21"/>
      <c r="N3" s="109">
        <v>44956.0</v>
      </c>
      <c r="O3" s="109">
        <v>44956.0</v>
      </c>
      <c r="P3" s="110" t="s">
        <v>422</v>
      </c>
      <c r="Q3" s="111"/>
      <c r="R3" s="112"/>
      <c r="S3" s="21" t="s">
        <v>423</v>
      </c>
      <c r="T3" s="21"/>
      <c r="U3" s="113"/>
      <c r="V3" s="113"/>
      <c r="W3" s="114">
        <v>150000.0</v>
      </c>
      <c r="X3" s="114" t="s">
        <v>424</v>
      </c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5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5"/>
      <c r="BG3" s="113"/>
      <c r="BH3" s="113"/>
      <c r="BI3" s="113"/>
      <c r="BJ3" s="113"/>
      <c r="BK3" s="113"/>
      <c r="BL3" s="113"/>
      <c r="BM3" s="113"/>
      <c r="BN3" s="116">
        <f t="shared" ref="BN3:BN138" si="1">BR3-BQ3</f>
        <v>0</v>
      </c>
      <c r="BO3" s="117">
        <v>150000.0</v>
      </c>
      <c r="BP3" s="117">
        <v>0.0</v>
      </c>
      <c r="BQ3" s="118">
        <f t="shared" ref="BQ3:BQ4" si="2">sum(U3:BH3)</f>
        <v>150000</v>
      </c>
      <c r="BR3" s="119">
        <f t="shared" ref="BR3:BR137" si="3">SUM(U3:BJ3)</f>
        <v>150000</v>
      </c>
    </row>
    <row r="4" ht="27.0" customHeight="1">
      <c r="A4" s="12">
        <f t="shared" ref="A4:A136" si="4">A3+1</f>
        <v>2</v>
      </c>
      <c r="B4" s="71" t="s">
        <v>22</v>
      </c>
      <c r="C4" s="15">
        <v>6926.0</v>
      </c>
      <c r="D4" s="16" t="s">
        <v>24</v>
      </c>
      <c r="E4" s="16" t="s">
        <v>25</v>
      </c>
      <c r="F4" s="33" t="s">
        <v>425</v>
      </c>
      <c r="G4" s="69" t="s">
        <v>426</v>
      </c>
      <c r="H4" s="69" t="s">
        <v>427</v>
      </c>
      <c r="I4" s="69"/>
      <c r="J4" s="15" t="s">
        <v>420</v>
      </c>
      <c r="K4" s="20" t="s">
        <v>421</v>
      </c>
      <c r="L4" s="21" t="s">
        <v>33</v>
      </c>
      <c r="M4" s="120" t="s">
        <v>428</v>
      </c>
      <c r="N4" s="109">
        <v>45809.0</v>
      </c>
      <c r="O4" s="109">
        <v>45812.0</v>
      </c>
      <c r="P4" s="110" t="s">
        <v>422</v>
      </c>
      <c r="Q4" s="111">
        <v>45852.0</v>
      </c>
      <c r="R4" s="112"/>
      <c r="S4" s="21" t="s">
        <v>423</v>
      </c>
      <c r="T4" s="21"/>
      <c r="U4" s="113"/>
      <c r="V4" s="113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5"/>
      <c r="AU4" s="113"/>
      <c r="AV4" s="113"/>
      <c r="AW4" s="113"/>
      <c r="AX4" s="113"/>
      <c r="AY4" s="113"/>
      <c r="AZ4" s="113"/>
      <c r="BA4" s="114">
        <v>150000.0</v>
      </c>
      <c r="BB4" s="114" t="s">
        <v>424</v>
      </c>
      <c r="BC4" s="114"/>
      <c r="BD4" s="114"/>
      <c r="BE4" s="114"/>
      <c r="BF4" s="121"/>
      <c r="BG4" s="114"/>
      <c r="BH4" s="114"/>
      <c r="BI4" s="114"/>
      <c r="BJ4" s="114"/>
      <c r="BK4" s="114"/>
      <c r="BL4" s="114"/>
      <c r="BM4" s="114"/>
      <c r="BN4" s="116">
        <f t="shared" si="1"/>
        <v>0</v>
      </c>
      <c r="BO4" s="117">
        <v>150000.0</v>
      </c>
      <c r="BP4" s="117">
        <v>0.0</v>
      </c>
      <c r="BQ4" s="118">
        <f t="shared" si="2"/>
        <v>150000</v>
      </c>
      <c r="BR4" s="119">
        <f t="shared" si="3"/>
        <v>150000</v>
      </c>
    </row>
    <row r="5" ht="27.0" customHeight="1">
      <c r="A5" s="12">
        <f t="shared" si="4"/>
        <v>3</v>
      </c>
      <c r="B5" s="13" t="s">
        <v>22</v>
      </c>
      <c r="C5" s="12">
        <v>11165.0</v>
      </c>
      <c r="D5" s="30" t="s">
        <v>35</v>
      </c>
      <c r="E5" s="30" t="s">
        <v>36</v>
      </c>
      <c r="F5" s="122" t="s">
        <v>429</v>
      </c>
      <c r="G5" s="40" t="s">
        <v>430</v>
      </c>
      <c r="H5" s="40" t="s">
        <v>431</v>
      </c>
      <c r="I5" s="40"/>
      <c r="J5" s="15" t="s">
        <v>432</v>
      </c>
      <c r="K5" s="20" t="s">
        <v>421</v>
      </c>
      <c r="L5" s="21" t="s">
        <v>33</v>
      </c>
      <c r="M5" s="21"/>
      <c r="N5" s="109">
        <v>45625.0</v>
      </c>
      <c r="O5" s="109">
        <v>45639.0</v>
      </c>
      <c r="P5" s="110" t="s">
        <v>422</v>
      </c>
      <c r="Q5" s="111"/>
      <c r="R5" s="112"/>
      <c r="S5" s="21" t="s">
        <v>433</v>
      </c>
      <c r="T5" s="21" t="s">
        <v>434</v>
      </c>
      <c r="U5" s="113"/>
      <c r="V5" s="113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3"/>
      <c r="AK5" s="113"/>
      <c r="AL5" s="113"/>
      <c r="AM5" s="113"/>
      <c r="AN5" s="113"/>
      <c r="AO5" s="113"/>
      <c r="AP5" s="113"/>
      <c r="AQ5" s="113"/>
      <c r="AR5" s="113"/>
      <c r="AS5" s="113">
        <v>181720.0</v>
      </c>
      <c r="AT5" s="121" t="s">
        <v>424</v>
      </c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5"/>
      <c r="BG5" s="113"/>
      <c r="BH5" s="113"/>
      <c r="BI5" s="113"/>
      <c r="BJ5" s="113"/>
      <c r="BK5" s="113"/>
      <c r="BL5" s="113"/>
      <c r="BM5" s="113"/>
      <c r="BN5" s="123">
        <f t="shared" si="1"/>
        <v>181720</v>
      </c>
      <c r="BO5" s="117">
        <v>0.0</v>
      </c>
      <c r="BP5" s="117">
        <v>0.0</v>
      </c>
      <c r="BQ5" s="118">
        <v>0.0</v>
      </c>
      <c r="BR5" s="119">
        <f t="shared" si="3"/>
        <v>181720</v>
      </c>
    </row>
    <row r="6" ht="27.0" customHeight="1">
      <c r="A6" s="12">
        <f t="shared" si="4"/>
        <v>4</v>
      </c>
      <c r="B6" s="13" t="s">
        <v>43</v>
      </c>
      <c r="C6" s="15">
        <v>1522.0</v>
      </c>
      <c r="D6" s="16" t="s">
        <v>45</v>
      </c>
      <c r="E6" s="16" t="s">
        <v>46</v>
      </c>
      <c r="F6" s="124">
        <v>8162.0</v>
      </c>
      <c r="G6" s="30" t="s">
        <v>435</v>
      </c>
      <c r="H6" s="16" t="s">
        <v>436</v>
      </c>
      <c r="I6" s="16"/>
      <c r="J6" s="15" t="s">
        <v>420</v>
      </c>
      <c r="K6" s="20" t="s">
        <v>421</v>
      </c>
      <c r="L6" s="21" t="s">
        <v>33</v>
      </c>
      <c r="M6" s="21"/>
      <c r="N6" s="109">
        <v>44953.0</v>
      </c>
      <c r="O6" s="109">
        <v>44953.0</v>
      </c>
      <c r="P6" s="110" t="s">
        <v>422</v>
      </c>
      <c r="Q6" s="111"/>
      <c r="R6" s="112"/>
      <c r="S6" s="21" t="s">
        <v>423</v>
      </c>
      <c r="T6" s="21"/>
      <c r="U6" s="113"/>
      <c r="V6" s="113"/>
      <c r="W6" s="114">
        <v>150000.0</v>
      </c>
      <c r="X6" s="114" t="s">
        <v>424</v>
      </c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25"/>
      <c r="AK6" s="113"/>
      <c r="AL6" s="113"/>
      <c r="AM6" s="113"/>
      <c r="AN6" s="113"/>
      <c r="AO6" s="113"/>
      <c r="AP6" s="113"/>
      <c r="AQ6" s="113"/>
      <c r="AR6" s="113"/>
      <c r="AS6" s="113"/>
      <c r="AT6" s="115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5"/>
      <c r="BG6" s="113"/>
      <c r="BH6" s="113"/>
      <c r="BI6" s="113"/>
      <c r="BJ6" s="113"/>
      <c r="BK6" s="113"/>
      <c r="BL6" s="113"/>
      <c r="BM6" s="113"/>
      <c r="BN6" s="116">
        <f t="shared" si="1"/>
        <v>0</v>
      </c>
      <c r="BO6" s="117">
        <v>0.0</v>
      </c>
      <c r="BP6" s="117">
        <v>0.0</v>
      </c>
      <c r="BQ6" s="118">
        <f t="shared" ref="BQ6:BQ7" si="5">sum(U6:BH6)</f>
        <v>150000</v>
      </c>
      <c r="BR6" s="119">
        <f t="shared" si="3"/>
        <v>150000</v>
      </c>
    </row>
    <row r="7" ht="27.0" customHeight="1">
      <c r="A7" s="12">
        <f t="shared" si="4"/>
        <v>5</v>
      </c>
      <c r="B7" s="13" t="s">
        <v>43</v>
      </c>
      <c r="C7" s="12">
        <v>6058.0</v>
      </c>
      <c r="D7" s="30" t="s">
        <v>53</v>
      </c>
      <c r="E7" s="16" t="s">
        <v>54</v>
      </c>
      <c r="F7" s="124">
        <v>7885.0</v>
      </c>
      <c r="G7" s="30" t="s">
        <v>437</v>
      </c>
      <c r="H7" s="16" t="s">
        <v>438</v>
      </c>
      <c r="I7" s="16"/>
      <c r="J7" s="15" t="s">
        <v>420</v>
      </c>
      <c r="K7" s="20" t="s">
        <v>439</v>
      </c>
      <c r="L7" s="21" t="s">
        <v>33</v>
      </c>
      <c r="M7" s="21"/>
      <c r="N7" s="109">
        <v>44931.0</v>
      </c>
      <c r="O7" s="109">
        <v>44931.0</v>
      </c>
      <c r="P7" s="110" t="s">
        <v>422</v>
      </c>
      <c r="Q7" s="111"/>
      <c r="R7" s="112"/>
      <c r="S7" s="21" t="s">
        <v>423</v>
      </c>
      <c r="T7" s="21"/>
      <c r="U7" s="113"/>
      <c r="V7" s="113"/>
      <c r="W7" s="114">
        <v>75000.0</v>
      </c>
      <c r="X7" s="114" t="s">
        <v>128</v>
      </c>
      <c r="Y7" s="114" t="s">
        <v>128</v>
      </c>
      <c r="Z7" s="114" t="s">
        <v>128</v>
      </c>
      <c r="AA7" s="114" t="s">
        <v>128</v>
      </c>
      <c r="AB7" s="114" t="s">
        <v>128</v>
      </c>
      <c r="AC7" s="126" t="s">
        <v>440</v>
      </c>
      <c r="AD7" s="126" t="s">
        <v>440</v>
      </c>
      <c r="AE7" s="126" t="s">
        <v>440</v>
      </c>
      <c r="AF7" s="126" t="s">
        <v>440</v>
      </c>
      <c r="AG7" s="126" t="s">
        <v>440</v>
      </c>
      <c r="AH7" s="126" t="s">
        <v>440</v>
      </c>
      <c r="AI7" s="114" t="s">
        <v>424</v>
      </c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5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5"/>
      <c r="BG7" s="113"/>
      <c r="BH7" s="113"/>
      <c r="BI7" s="113"/>
      <c r="BJ7" s="113"/>
      <c r="BK7" s="113"/>
      <c r="BL7" s="113"/>
      <c r="BM7" s="113"/>
      <c r="BN7" s="116">
        <f t="shared" si="1"/>
        <v>0</v>
      </c>
      <c r="BO7" s="117">
        <v>0.0</v>
      </c>
      <c r="BP7" s="117">
        <v>0.0</v>
      </c>
      <c r="BQ7" s="118">
        <f t="shared" si="5"/>
        <v>75000</v>
      </c>
      <c r="BR7" s="119">
        <f t="shared" si="3"/>
        <v>75000</v>
      </c>
    </row>
    <row r="8" ht="27.0" customHeight="1">
      <c r="A8" s="12">
        <f t="shared" si="4"/>
        <v>6</v>
      </c>
      <c r="B8" s="13" t="s">
        <v>43</v>
      </c>
      <c r="C8" s="15">
        <v>7479.0</v>
      </c>
      <c r="D8" s="16" t="s">
        <v>61</v>
      </c>
      <c r="E8" s="17" t="s">
        <v>54</v>
      </c>
      <c r="F8" s="124">
        <v>8761.0</v>
      </c>
      <c r="G8" s="30" t="s">
        <v>441</v>
      </c>
      <c r="H8" s="16" t="s">
        <v>442</v>
      </c>
      <c r="I8" s="16"/>
      <c r="J8" s="15" t="s">
        <v>420</v>
      </c>
      <c r="K8" s="20" t="s">
        <v>443</v>
      </c>
      <c r="L8" s="21" t="s">
        <v>33</v>
      </c>
      <c r="M8" s="21"/>
      <c r="N8" s="109">
        <v>45040.0</v>
      </c>
      <c r="O8" s="109">
        <v>45040.0</v>
      </c>
      <c r="P8" s="110" t="s">
        <v>422</v>
      </c>
      <c r="Q8" s="111"/>
      <c r="R8" s="112"/>
      <c r="S8" s="21" t="s">
        <v>433</v>
      </c>
      <c r="T8" s="21" t="s">
        <v>434</v>
      </c>
      <c r="U8" s="113"/>
      <c r="V8" s="113"/>
      <c r="W8" s="113"/>
      <c r="X8" s="113"/>
      <c r="Y8" s="113"/>
      <c r="Z8" s="113">
        <v>8333.0</v>
      </c>
      <c r="AA8" s="113">
        <v>8333.0</v>
      </c>
      <c r="AB8" s="113">
        <v>8333.0</v>
      </c>
      <c r="AC8" s="113">
        <v>8333.0</v>
      </c>
      <c r="AD8" s="113">
        <v>8333.0</v>
      </c>
      <c r="AE8" s="113">
        <v>8333.0</v>
      </c>
      <c r="AF8" s="113">
        <v>8333.0</v>
      </c>
      <c r="AG8" s="113">
        <v>8333.0</v>
      </c>
      <c r="AH8" s="113">
        <v>8333.0</v>
      </c>
      <c r="AI8" s="113">
        <v>8333.0</v>
      </c>
      <c r="AJ8" s="113">
        <v>8333.0</v>
      </c>
      <c r="AK8" s="113">
        <v>8333.0</v>
      </c>
      <c r="AL8" s="114" t="s">
        <v>424</v>
      </c>
      <c r="AM8" s="114"/>
      <c r="AN8" s="114"/>
      <c r="AO8" s="114"/>
      <c r="AP8" s="114"/>
      <c r="AQ8" s="114"/>
      <c r="AR8" s="114"/>
      <c r="AS8" s="114"/>
      <c r="AT8" s="121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21"/>
      <c r="BG8" s="114"/>
      <c r="BH8" s="114"/>
      <c r="BI8" s="114"/>
      <c r="BJ8" s="114"/>
      <c r="BK8" s="114"/>
      <c r="BL8" s="114"/>
      <c r="BM8" s="114"/>
      <c r="BN8" s="123">
        <f t="shared" si="1"/>
        <v>99996</v>
      </c>
      <c r="BO8" s="117">
        <v>0.0</v>
      </c>
      <c r="BP8" s="117">
        <v>0.0</v>
      </c>
      <c r="BQ8" s="118">
        <v>0.0</v>
      </c>
      <c r="BR8" s="119">
        <f t="shared" si="3"/>
        <v>99996</v>
      </c>
    </row>
    <row r="9" ht="27.0" customHeight="1">
      <c r="A9" s="12">
        <f t="shared" si="4"/>
        <v>7</v>
      </c>
      <c r="B9" s="13" t="s">
        <v>43</v>
      </c>
      <c r="C9" s="35">
        <v>4723.0</v>
      </c>
      <c r="D9" s="16" t="s">
        <v>67</v>
      </c>
      <c r="E9" s="16" t="s">
        <v>68</v>
      </c>
      <c r="F9" s="124">
        <v>9322.0</v>
      </c>
      <c r="G9" s="30" t="s">
        <v>444</v>
      </c>
      <c r="H9" s="16" t="s">
        <v>445</v>
      </c>
      <c r="I9" s="16"/>
      <c r="J9" s="15" t="s">
        <v>420</v>
      </c>
      <c r="K9" s="20" t="s">
        <v>446</v>
      </c>
      <c r="L9" s="21" t="s">
        <v>33</v>
      </c>
      <c r="M9" s="21"/>
      <c r="N9" s="109">
        <v>45090.0</v>
      </c>
      <c r="O9" s="109">
        <v>45090.0</v>
      </c>
      <c r="P9" s="110" t="s">
        <v>422</v>
      </c>
      <c r="Q9" s="111"/>
      <c r="R9" s="112"/>
      <c r="S9" s="21" t="s">
        <v>423</v>
      </c>
      <c r="T9" s="21"/>
      <c r="U9" s="113"/>
      <c r="V9" s="113"/>
      <c r="W9" s="113"/>
      <c r="X9" s="113"/>
      <c r="Y9" s="113"/>
      <c r="Z9" s="113"/>
      <c r="AA9" s="113"/>
      <c r="AB9" s="114">
        <v>100000.0</v>
      </c>
      <c r="AC9" s="114" t="s">
        <v>424</v>
      </c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21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21"/>
      <c r="BG9" s="114"/>
      <c r="BH9" s="114"/>
      <c r="BI9" s="114"/>
      <c r="BJ9" s="114"/>
      <c r="BK9" s="114"/>
      <c r="BL9" s="114"/>
      <c r="BM9" s="114"/>
      <c r="BN9" s="116">
        <f t="shared" si="1"/>
        <v>0</v>
      </c>
      <c r="BO9" s="117">
        <v>0.0</v>
      </c>
      <c r="BP9" s="117">
        <v>0.0</v>
      </c>
      <c r="BQ9" s="118">
        <f>sum(U9:BH9)</f>
        <v>100000</v>
      </c>
      <c r="BR9" s="119">
        <f t="shared" si="3"/>
        <v>100000</v>
      </c>
    </row>
    <row r="10" ht="27.0" customHeight="1">
      <c r="A10" s="12">
        <f t="shared" si="4"/>
        <v>8</v>
      </c>
      <c r="B10" s="13" t="s">
        <v>43</v>
      </c>
      <c r="C10" s="35">
        <v>4723.0</v>
      </c>
      <c r="D10" s="16" t="s">
        <v>67</v>
      </c>
      <c r="E10" s="16" t="s">
        <v>68</v>
      </c>
      <c r="F10" s="108">
        <v>7479.0</v>
      </c>
      <c r="G10" s="30" t="s">
        <v>61</v>
      </c>
      <c r="H10" s="16" t="s">
        <v>447</v>
      </c>
      <c r="I10" s="16"/>
      <c r="J10" s="15" t="s">
        <v>420</v>
      </c>
      <c r="K10" s="20" t="s">
        <v>448</v>
      </c>
      <c r="L10" s="21" t="s">
        <v>33</v>
      </c>
      <c r="M10" s="21"/>
      <c r="N10" s="109">
        <v>44885.0</v>
      </c>
      <c r="O10" s="109">
        <v>44885.0</v>
      </c>
      <c r="P10" s="110" t="s">
        <v>449</v>
      </c>
      <c r="Q10" s="127"/>
      <c r="R10" s="128"/>
      <c r="S10" s="21" t="s">
        <v>450</v>
      </c>
      <c r="T10" s="21" t="s">
        <v>434</v>
      </c>
      <c r="U10" s="114">
        <v>12500.0</v>
      </c>
      <c r="V10" s="114">
        <v>12500.0</v>
      </c>
      <c r="W10" s="114">
        <v>12500.0</v>
      </c>
      <c r="X10" s="114">
        <v>12500.0</v>
      </c>
      <c r="Y10" s="114">
        <v>12500.0</v>
      </c>
      <c r="Z10" s="114">
        <v>12500.0</v>
      </c>
      <c r="AA10" s="114">
        <v>12500.0</v>
      </c>
      <c r="AB10" s="113">
        <v>12500.0</v>
      </c>
      <c r="AC10" s="113">
        <v>12500.0</v>
      </c>
      <c r="AD10" s="113">
        <v>12500.0</v>
      </c>
      <c r="AE10" s="113">
        <v>12500.0</v>
      </c>
      <c r="AF10" s="113">
        <v>12500.0</v>
      </c>
      <c r="AG10" s="114" t="s">
        <v>424</v>
      </c>
      <c r="AH10" s="113"/>
      <c r="AI10" s="114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5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5"/>
      <c r="BG10" s="113"/>
      <c r="BH10" s="113"/>
      <c r="BI10" s="113"/>
      <c r="BJ10" s="113"/>
      <c r="BK10" s="113"/>
      <c r="BL10" s="113"/>
      <c r="BM10" s="113"/>
      <c r="BN10" s="123">
        <f t="shared" si="1"/>
        <v>62500</v>
      </c>
      <c r="BO10" s="117">
        <v>87500.0</v>
      </c>
      <c r="BP10" s="117">
        <v>0.0</v>
      </c>
      <c r="BQ10" s="118">
        <f>sum(U10:AA10)</f>
        <v>87500</v>
      </c>
      <c r="BR10" s="119">
        <f t="shared" si="3"/>
        <v>150000</v>
      </c>
    </row>
    <row r="11" ht="27.0" customHeight="1">
      <c r="A11" s="12">
        <f t="shared" si="4"/>
        <v>9</v>
      </c>
      <c r="B11" s="13" t="s">
        <v>43</v>
      </c>
      <c r="C11" s="35">
        <v>4723.0</v>
      </c>
      <c r="D11" s="16" t="s">
        <v>67</v>
      </c>
      <c r="E11" s="16" t="s">
        <v>68</v>
      </c>
      <c r="F11" s="124">
        <v>8763.0</v>
      </c>
      <c r="G11" s="30" t="s">
        <v>451</v>
      </c>
      <c r="H11" s="16" t="s">
        <v>452</v>
      </c>
      <c r="I11" s="16"/>
      <c r="J11" s="15" t="s">
        <v>420</v>
      </c>
      <c r="K11" s="20" t="s">
        <v>443</v>
      </c>
      <c r="L11" s="21" t="s">
        <v>33</v>
      </c>
      <c r="M11" s="21"/>
      <c r="N11" s="109">
        <v>45041.0</v>
      </c>
      <c r="O11" s="109">
        <v>45041.0</v>
      </c>
      <c r="P11" s="110" t="s">
        <v>422</v>
      </c>
      <c r="Q11" s="111"/>
      <c r="R11" s="112"/>
      <c r="S11" s="21" t="s">
        <v>450</v>
      </c>
      <c r="T11" s="21" t="s">
        <v>434</v>
      </c>
      <c r="U11" s="113"/>
      <c r="V11" s="113"/>
      <c r="W11" s="113"/>
      <c r="X11" s="113"/>
      <c r="Y11" s="113"/>
      <c r="Z11" s="114">
        <v>8333.0</v>
      </c>
      <c r="AA11" s="114">
        <v>8333.0</v>
      </c>
      <c r="AB11" s="113">
        <v>8333.0</v>
      </c>
      <c r="AC11" s="113">
        <v>8333.0</v>
      </c>
      <c r="AD11" s="113">
        <v>8333.0</v>
      </c>
      <c r="AE11" s="113">
        <v>8333.0</v>
      </c>
      <c r="AF11" s="113">
        <v>8333.0</v>
      </c>
      <c r="AG11" s="113">
        <v>8333.0</v>
      </c>
      <c r="AH11" s="113">
        <v>8333.0</v>
      </c>
      <c r="AI11" s="113">
        <v>8333.0</v>
      </c>
      <c r="AJ11" s="113">
        <v>8333.0</v>
      </c>
      <c r="AK11" s="113">
        <v>8333.0</v>
      </c>
      <c r="AL11" s="114" t="s">
        <v>424</v>
      </c>
      <c r="AM11" s="114"/>
      <c r="AN11" s="114"/>
      <c r="AO11" s="114"/>
      <c r="AP11" s="114"/>
      <c r="AQ11" s="114"/>
      <c r="AR11" s="114"/>
      <c r="AS11" s="114"/>
      <c r="AT11" s="121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21"/>
      <c r="BG11" s="114"/>
      <c r="BH11" s="114"/>
      <c r="BI11" s="114"/>
      <c r="BJ11" s="114"/>
      <c r="BK11" s="114"/>
      <c r="BL11" s="114"/>
      <c r="BM11" s="114"/>
      <c r="BN11" s="123">
        <f t="shared" si="1"/>
        <v>83330</v>
      </c>
      <c r="BO11" s="117">
        <v>16666.0</v>
      </c>
      <c r="BP11" s="117">
        <v>0.0</v>
      </c>
      <c r="BQ11" s="118">
        <f>sum(Z11:AA11)</f>
        <v>16666</v>
      </c>
      <c r="BR11" s="119">
        <f t="shared" si="3"/>
        <v>99996</v>
      </c>
    </row>
    <row r="12" ht="27.0" customHeight="1">
      <c r="A12" s="12">
        <f t="shared" si="4"/>
        <v>10</v>
      </c>
      <c r="B12" s="13" t="s">
        <v>43</v>
      </c>
      <c r="C12" s="35">
        <v>4723.0</v>
      </c>
      <c r="D12" s="16" t="s">
        <v>67</v>
      </c>
      <c r="E12" s="16" t="s">
        <v>68</v>
      </c>
      <c r="F12" s="124">
        <v>9805.0</v>
      </c>
      <c r="G12" s="30" t="s">
        <v>453</v>
      </c>
      <c r="H12" s="16" t="s">
        <v>454</v>
      </c>
      <c r="I12" s="16"/>
      <c r="J12" s="15" t="s">
        <v>420</v>
      </c>
      <c r="K12" s="20" t="s">
        <v>443</v>
      </c>
      <c r="L12" s="21" t="s">
        <v>33</v>
      </c>
      <c r="M12" s="21"/>
      <c r="N12" s="109">
        <v>45154.0</v>
      </c>
      <c r="O12" s="109">
        <v>45154.0</v>
      </c>
      <c r="P12" s="110" t="s">
        <v>422</v>
      </c>
      <c r="Q12" s="111">
        <v>45477.0</v>
      </c>
      <c r="R12" s="112"/>
      <c r="S12" s="21" t="s">
        <v>450</v>
      </c>
      <c r="T12" s="21" t="s">
        <v>434</v>
      </c>
      <c r="U12" s="113"/>
      <c r="V12" s="113"/>
      <c r="W12" s="113"/>
      <c r="X12" s="113"/>
      <c r="Y12" s="113"/>
      <c r="Z12" s="113"/>
      <c r="AA12" s="113"/>
      <c r="AB12" s="113"/>
      <c r="AC12" s="113"/>
      <c r="AD12" s="114">
        <v>8333.0</v>
      </c>
      <c r="AE12" s="114">
        <v>8333.0</v>
      </c>
      <c r="AF12" s="114">
        <v>8333.0</v>
      </c>
      <c r="AG12" s="114">
        <v>8333.0</v>
      </c>
      <c r="AH12" s="114">
        <v>8333.0</v>
      </c>
      <c r="AI12" s="114">
        <v>8333.0</v>
      </c>
      <c r="AJ12" s="114">
        <v>8333.0</v>
      </c>
      <c r="AK12" s="114">
        <v>8333.0</v>
      </c>
      <c r="AL12" s="114">
        <v>8333.0</v>
      </c>
      <c r="AM12" s="114">
        <v>8333.0</v>
      </c>
      <c r="AN12" s="114">
        <v>8333.0</v>
      </c>
      <c r="AO12" s="129">
        <v>8333.0</v>
      </c>
      <c r="AP12" s="114" t="s">
        <v>424</v>
      </c>
      <c r="AQ12" s="114"/>
      <c r="AR12" s="114"/>
      <c r="AS12" s="114"/>
      <c r="AT12" s="121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21"/>
      <c r="BG12" s="114"/>
      <c r="BH12" s="114"/>
      <c r="BI12" s="114"/>
      <c r="BJ12" s="114"/>
      <c r="BK12" s="114"/>
      <c r="BL12" s="114"/>
      <c r="BM12" s="114"/>
      <c r="BN12" s="123">
        <f t="shared" si="1"/>
        <v>8333</v>
      </c>
      <c r="BO12" s="117">
        <f>SUM(AD12:AN12)</f>
        <v>91663</v>
      </c>
      <c r="BP12" s="117">
        <v>0.0</v>
      </c>
      <c r="BQ12" s="118">
        <f>sum(AD12:AN12)</f>
        <v>91663</v>
      </c>
      <c r="BR12" s="119">
        <f t="shared" si="3"/>
        <v>99996</v>
      </c>
    </row>
    <row r="13" ht="27.0" customHeight="1">
      <c r="A13" s="12">
        <f t="shared" si="4"/>
        <v>11</v>
      </c>
      <c r="B13" s="13" t="s">
        <v>43</v>
      </c>
      <c r="C13" s="35">
        <v>4723.0</v>
      </c>
      <c r="D13" s="16" t="s">
        <v>67</v>
      </c>
      <c r="E13" s="16" t="s">
        <v>68</v>
      </c>
      <c r="F13" s="124">
        <v>10049.0</v>
      </c>
      <c r="G13" s="30" t="s">
        <v>455</v>
      </c>
      <c r="H13" s="16" t="s">
        <v>456</v>
      </c>
      <c r="I13" s="16"/>
      <c r="J13" s="15" t="s">
        <v>420</v>
      </c>
      <c r="K13" s="20" t="s">
        <v>446</v>
      </c>
      <c r="L13" s="21" t="s">
        <v>33</v>
      </c>
      <c r="M13" s="21"/>
      <c r="N13" s="109">
        <v>45211.0</v>
      </c>
      <c r="O13" s="109">
        <v>45212.0</v>
      </c>
      <c r="P13" s="110" t="s">
        <v>422</v>
      </c>
      <c r="Q13" s="111"/>
      <c r="R13" s="112"/>
      <c r="S13" s="21" t="s">
        <v>433</v>
      </c>
      <c r="T13" s="21" t="s">
        <v>434</v>
      </c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29">
        <v>8333.0</v>
      </c>
      <c r="AG13" s="129">
        <v>8333.0</v>
      </c>
      <c r="AH13" s="129">
        <v>8333.0</v>
      </c>
      <c r="AI13" s="129">
        <v>8333.0</v>
      </c>
      <c r="AJ13" s="129">
        <f>100000-AF13-AG13-AH13-AI13</f>
        <v>66668</v>
      </c>
      <c r="AK13" s="114" t="s">
        <v>424</v>
      </c>
      <c r="AL13" s="113"/>
      <c r="AM13" s="113"/>
      <c r="AN13" s="113"/>
      <c r="AO13" s="113"/>
      <c r="AP13" s="113"/>
      <c r="AQ13" s="113"/>
      <c r="AR13" s="113"/>
      <c r="AS13" s="113"/>
      <c r="AT13" s="115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5"/>
      <c r="BG13" s="113"/>
      <c r="BH13" s="113"/>
      <c r="BI13" s="113"/>
      <c r="BJ13" s="113"/>
      <c r="BK13" s="113"/>
      <c r="BL13" s="113"/>
      <c r="BM13" s="113"/>
      <c r="BN13" s="123">
        <f t="shared" si="1"/>
        <v>100000</v>
      </c>
      <c r="BO13" s="117">
        <v>0.0</v>
      </c>
      <c r="BP13" s="117">
        <v>0.0</v>
      </c>
      <c r="BQ13" s="118">
        <v>0.0</v>
      </c>
      <c r="BR13" s="119">
        <f t="shared" si="3"/>
        <v>100000</v>
      </c>
    </row>
    <row r="14" ht="27.0" customHeight="1">
      <c r="A14" s="12">
        <f t="shared" si="4"/>
        <v>12</v>
      </c>
      <c r="B14" s="13" t="s">
        <v>43</v>
      </c>
      <c r="C14" s="12">
        <v>4723.0</v>
      </c>
      <c r="D14" s="16" t="s">
        <v>67</v>
      </c>
      <c r="E14" s="16" t="s">
        <v>68</v>
      </c>
      <c r="F14" s="130" t="s">
        <v>457</v>
      </c>
      <c r="G14" s="31" t="s">
        <v>458</v>
      </c>
      <c r="H14" s="131" t="s">
        <v>459</v>
      </c>
      <c r="I14" s="131"/>
      <c r="J14" s="15" t="s">
        <v>420</v>
      </c>
      <c r="K14" s="132" t="s">
        <v>443</v>
      </c>
      <c r="L14" s="21" t="s">
        <v>33</v>
      </c>
      <c r="M14" s="21"/>
      <c r="N14" s="109">
        <v>45449.0</v>
      </c>
      <c r="O14" s="109">
        <v>45451.0</v>
      </c>
      <c r="P14" s="110" t="s">
        <v>422</v>
      </c>
      <c r="Q14" s="111">
        <v>45477.0</v>
      </c>
      <c r="R14" s="112"/>
      <c r="S14" s="21" t="s">
        <v>450</v>
      </c>
      <c r="T14" s="21" t="s">
        <v>434</v>
      </c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29"/>
      <c r="AG14" s="129"/>
      <c r="AH14" s="129"/>
      <c r="AI14" s="129"/>
      <c r="AJ14" s="129"/>
      <c r="AK14" s="114"/>
      <c r="AL14" s="113"/>
      <c r="AM14" s="113"/>
      <c r="AN14" s="114">
        <v>8333.0</v>
      </c>
      <c r="AO14" s="129">
        <v>8333.0</v>
      </c>
      <c r="AP14" s="129">
        <v>8333.0</v>
      </c>
      <c r="AQ14" s="129">
        <v>8333.0</v>
      </c>
      <c r="AR14" s="129">
        <v>8333.0</v>
      </c>
      <c r="AS14" s="129">
        <v>8333.0</v>
      </c>
      <c r="AT14" s="133">
        <v>8333.0</v>
      </c>
      <c r="AU14" s="129">
        <v>8333.0</v>
      </c>
      <c r="AV14" s="129">
        <v>8333.0</v>
      </c>
      <c r="AW14" s="129">
        <v>8333.0</v>
      </c>
      <c r="AX14" s="129">
        <v>8333.0</v>
      </c>
      <c r="AY14" s="129">
        <v>8333.0</v>
      </c>
      <c r="AZ14" s="114" t="s">
        <v>424</v>
      </c>
      <c r="BA14" s="129"/>
      <c r="BB14" s="129"/>
      <c r="BC14" s="129"/>
      <c r="BD14" s="129"/>
      <c r="BE14" s="129"/>
      <c r="BF14" s="133"/>
      <c r="BG14" s="129"/>
      <c r="BH14" s="129"/>
      <c r="BI14" s="129"/>
      <c r="BJ14" s="129"/>
      <c r="BK14" s="129"/>
      <c r="BL14" s="129"/>
      <c r="BM14" s="129"/>
      <c r="BN14" s="123">
        <f t="shared" si="1"/>
        <v>91663</v>
      </c>
      <c r="BO14" s="117">
        <f>SUM(AN14)</f>
        <v>8333</v>
      </c>
      <c r="BP14" s="117">
        <v>0.0</v>
      </c>
      <c r="BQ14" s="118">
        <f>AN14</f>
        <v>8333</v>
      </c>
      <c r="BR14" s="119">
        <f t="shared" si="3"/>
        <v>99996</v>
      </c>
    </row>
    <row r="15" ht="27.0" customHeight="1">
      <c r="A15" s="12">
        <f t="shared" si="4"/>
        <v>13</v>
      </c>
      <c r="B15" s="13" t="s">
        <v>43</v>
      </c>
      <c r="C15" s="15">
        <v>7251.0</v>
      </c>
      <c r="D15" s="16" t="s">
        <v>460</v>
      </c>
      <c r="E15" s="16" t="s">
        <v>461</v>
      </c>
      <c r="F15" s="124">
        <v>9441.0</v>
      </c>
      <c r="G15" s="30" t="s">
        <v>97</v>
      </c>
      <c r="H15" s="16" t="s">
        <v>98</v>
      </c>
      <c r="I15" s="16"/>
      <c r="J15" s="15" t="s">
        <v>420</v>
      </c>
      <c r="K15" s="20" t="s">
        <v>446</v>
      </c>
      <c r="L15" s="21" t="s">
        <v>33</v>
      </c>
      <c r="M15" s="21"/>
      <c r="N15" s="109">
        <v>45106.0</v>
      </c>
      <c r="O15" s="109">
        <v>45106.0</v>
      </c>
      <c r="P15" s="110" t="s">
        <v>422</v>
      </c>
      <c r="Q15" s="111"/>
      <c r="R15" s="112"/>
      <c r="S15" s="21" t="s">
        <v>423</v>
      </c>
      <c r="T15" s="21"/>
      <c r="U15" s="113"/>
      <c r="V15" s="113"/>
      <c r="W15" s="113"/>
      <c r="X15" s="113"/>
      <c r="Y15" s="113"/>
      <c r="Z15" s="113"/>
      <c r="AA15" s="113"/>
      <c r="AB15" s="114">
        <v>100000.0</v>
      </c>
      <c r="AC15" s="114" t="s">
        <v>424</v>
      </c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21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21"/>
      <c r="BG15" s="114"/>
      <c r="BH15" s="114"/>
      <c r="BI15" s="114"/>
      <c r="BJ15" s="114"/>
      <c r="BK15" s="114"/>
      <c r="BL15" s="114"/>
      <c r="BM15" s="114"/>
      <c r="BN15" s="116">
        <f t="shared" si="1"/>
        <v>0</v>
      </c>
      <c r="BO15" s="117">
        <v>0.0</v>
      </c>
      <c r="BP15" s="117">
        <v>0.0</v>
      </c>
      <c r="BQ15" s="118">
        <f t="shared" ref="BQ15:BQ18" si="6">sum(U15:BH15)</f>
        <v>100000</v>
      </c>
      <c r="BR15" s="119">
        <f t="shared" si="3"/>
        <v>100000</v>
      </c>
    </row>
    <row r="16" ht="27.0" customHeight="1">
      <c r="A16" s="12">
        <f t="shared" si="4"/>
        <v>14</v>
      </c>
      <c r="B16" s="13" t="s">
        <v>43</v>
      </c>
      <c r="C16" s="15">
        <v>4181.0</v>
      </c>
      <c r="D16" s="16" t="s">
        <v>73</v>
      </c>
      <c r="E16" s="16" t="s">
        <v>74</v>
      </c>
      <c r="F16" s="124">
        <v>9665.0</v>
      </c>
      <c r="G16" s="30" t="s">
        <v>462</v>
      </c>
      <c r="H16" s="16" t="s">
        <v>463</v>
      </c>
      <c r="I16" s="16"/>
      <c r="J16" s="15" t="s">
        <v>420</v>
      </c>
      <c r="K16" s="20" t="s">
        <v>446</v>
      </c>
      <c r="L16" s="21" t="s">
        <v>33</v>
      </c>
      <c r="M16" s="21"/>
      <c r="N16" s="109">
        <v>45131.0</v>
      </c>
      <c r="O16" s="109">
        <v>45146.0</v>
      </c>
      <c r="P16" s="110" t="s">
        <v>422</v>
      </c>
      <c r="Q16" s="111"/>
      <c r="R16" s="112"/>
      <c r="S16" s="21" t="s">
        <v>423</v>
      </c>
      <c r="T16" s="21"/>
      <c r="U16" s="113"/>
      <c r="V16" s="113"/>
      <c r="W16" s="113"/>
      <c r="X16" s="113"/>
      <c r="Y16" s="113"/>
      <c r="Z16" s="113"/>
      <c r="AA16" s="113"/>
      <c r="AB16" s="113"/>
      <c r="AC16" s="114">
        <v>100000.0</v>
      </c>
      <c r="AD16" s="114" t="s">
        <v>424</v>
      </c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21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21"/>
      <c r="BG16" s="114"/>
      <c r="BH16" s="114"/>
      <c r="BI16" s="114"/>
      <c r="BJ16" s="114"/>
      <c r="BK16" s="114"/>
      <c r="BL16" s="114"/>
      <c r="BM16" s="114"/>
      <c r="BN16" s="116">
        <f t="shared" si="1"/>
        <v>0</v>
      </c>
      <c r="BO16" s="117">
        <v>0.0</v>
      </c>
      <c r="BP16" s="117">
        <v>0.0</v>
      </c>
      <c r="BQ16" s="118">
        <f t="shared" si="6"/>
        <v>100000</v>
      </c>
      <c r="BR16" s="119">
        <f t="shared" si="3"/>
        <v>100000</v>
      </c>
    </row>
    <row r="17" ht="27.0" customHeight="1">
      <c r="A17" s="12">
        <f t="shared" si="4"/>
        <v>15</v>
      </c>
      <c r="B17" s="13" t="s">
        <v>43</v>
      </c>
      <c r="C17" s="15">
        <v>4181.0</v>
      </c>
      <c r="D17" s="16" t="s">
        <v>73</v>
      </c>
      <c r="E17" s="16" t="s">
        <v>74</v>
      </c>
      <c r="F17" s="124">
        <v>10250.0</v>
      </c>
      <c r="G17" s="30" t="s">
        <v>464</v>
      </c>
      <c r="H17" s="16" t="s">
        <v>465</v>
      </c>
      <c r="I17" s="16"/>
      <c r="J17" s="15" t="s">
        <v>420</v>
      </c>
      <c r="K17" s="20" t="s">
        <v>446</v>
      </c>
      <c r="L17" s="21" t="s">
        <v>33</v>
      </c>
      <c r="M17" s="21"/>
      <c r="N17" s="109">
        <v>45212.0</v>
      </c>
      <c r="O17" s="109">
        <v>45212.0</v>
      </c>
      <c r="P17" s="110" t="s">
        <v>422</v>
      </c>
      <c r="Q17" s="111"/>
      <c r="R17" s="112"/>
      <c r="S17" s="21" t="s">
        <v>423</v>
      </c>
      <c r="T17" s="21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34"/>
      <c r="AF17" s="114">
        <v>100000.0</v>
      </c>
      <c r="AG17" s="114" t="s">
        <v>424</v>
      </c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21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21"/>
      <c r="BG17" s="114"/>
      <c r="BH17" s="114"/>
      <c r="BI17" s="114"/>
      <c r="BJ17" s="114"/>
      <c r="BK17" s="114"/>
      <c r="BL17" s="114"/>
      <c r="BM17" s="114"/>
      <c r="BN17" s="116">
        <f t="shared" si="1"/>
        <v>0</v>
      </c>
      <c r="BO17" s="117">
        <v>0.0</v>
      </c>
      <c r="BP17" s="117">
        <v>0.0</v>
      </c>
      <c r="BQ17" s="118">
        <f t="shared" si="6"/>
        <v>100000</v>
      </c>
      <c r="BR17" s="119">
        <f t="shared" si="3"/>
        <v>100000</v>
      </c>
    </row>
    <row r="18" ht="27.0" customHeight="1">
      <c r="A18" s="12">
        <f t="shared" si="4"/>
        <v>16</v>
      </c>
      <c r="B18" s="13" t="s">
        <v>43</v>
      </c>
      <c r="C18" s="15">
        <v>4181.0</v>
      </c>
      <c r="D18" s="16" t="s">
        <v>73</v>
      </c>
      <c r="E18" s="16" t="s">
        <v>74</v>
      </c>
      <c r="F18" s="124">
        <v>10237.0</v>
      </c>
      <c r="G18" s="30" t="s">
        <v>466</v>
      </c>
      <c r="H18" s="16" t="s">
        <v>467</v>
      </c>
      <c r="I18" s="16"/>
      <c r="J18" s="15" t="s">
        <v>420</v>
      </c>
      <c r="K18" s="20" t="s">
        <v>446</v>
      </c>
      <c r="L18" s="21" t="s">
        <v>33</v>
      </c>
      <c r="M18" s="21"/>
      <c r="N18" s="109">
        <v>45212.0</v>
      </c>
      <c r="O18" s="109">
        <v>45212.0</v>
      </c>
      <c r="P18" s="110" t="s">
        <v>422</v>
      </c>
      <c r="Q18" s="111"/>
      <c r="R18" s="112"/>
      <c r="S18" s="21" t="s">
        <v>423</v>
      </c>
      <c r="T18" s="21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34"/>
      <c r="AF18" s="114">
        <v>100000.0</v>
      </c>
      <c r="AG18" s="114" t="s">
        <v>424</v>
      </c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21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21"/>
      <c r="BG18" s="114"/>
      <c r="BH18" s="114"/>
      <c r="BI18" s="114"/>
      <c r="BJ18" s="114"/>
      <c r="BK18" s="114"/>
      <c r="BL18" s="114"/>
      <c r="BM18" s="114"/>
      <c r="BN18" s="116">
        <f t="shared" si="1"/>
        <v>0</v>
      </c>
      <c r="BO18" s="117">
        <v>0.0</v>
      </c>
      <c r="BP18" s="117">
        <v>0.0</v>
      </c>
      <c r="BQ18" s="118">
        <f t="shared" si="6"/>
        <v>100000</v>
      </c>
      <c r="BR18" s="119">
        <f t="shared" si="3"/>
        <v>100000</v>
      </c>
    </row>
    <row r="19" ht="27.0" customHeight="1">
      <c r="A19" s="12">
        <f t="shared" si="4"/>
        <v>17</v>
      </c>
      <c r="B19" s="13" t="s">
        <v>43</v>
      </c>
      <c r="C19" s="15">
        <v>4181.0</v>
      </c>
      <c r="D19" s="16" t="s">
        <v>73</v>
      </c>
      <c r="E19" s="16" t="s">
        <v>74</v>
      </c>
      <c r="F19" s="124">
        <v>11384.0</v>
      </c>
      <c r="G19" s="16" t="s">
        <v>468</v>
      </c>
      <c r="H19" s="30" t="s">
        <v>469</v>
      </c>
      <c r="I19" s="30"/>
      <c r="J19" s="15" t="s">
        <v>420</v>
      </c>
      <c r="K19" s="20" t="s">
        <v>448</v>
      </c>
      <c r="L19" s="21" t="s">
        <v>33</v>
      </c>
      <c r="M19" s="21"/>
      <c r="N19" s="109">
        <v>45341.0</v>
      </c>
      <c r="O19" s="109">
        <v>45341.0</v>
      </c>
      <c r="P19" s="110" t="s">
        <v>470</v>
      </c>
      <c r="Q19" s="111"/>
      <c r="R19" s="112"/>
      <c r="S19" s="21" t="s">
        <v>450</v>
      </c>
      <c r="T19" s="21" t="s">
        <v>434</v>
      </c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4"/>
      <c r="AJ19" s="114">
        <v>12500.0</v>
      </c>
      <c r="AK19" s="135" t="s">
        <v>128</v>
      </c>
      <c r="AL19" s="113">
        <v>12500.0</v>
      </c>
      <c r="AM19" s="113">
        <v>12500.0</v>
      </c>
      <c r="AN19" s="113">
        <v>12500.0</v>
      </c>
      <c r="AO19" s="113">
        <v>12500.0</v>
      </c>
      <c r="AP19" s="126" t="s">
        <v>440</v>
      </c>
      <c r="AQ19" s="126" t="s">
        <v>440</v>
      </c>
      <c r="AR19" s="126" t="s">
        <v>440</v>
      </c>
      <c r="AS19" s="126" t="s">
        <v>440</v>
      </c>
      <c r="AT19" s="136" t="s">
        <v>440</v>
      </c>
      <c r="AU19" s="126" t="s">
        <v>440</v>
      </c>
      <c r="AV19" s="114" t="s">
        <v>424</v>
      </c>
      <c r="AW19" s="126"/>
      <c r="AX19" s="126"/>
      <c r="AY19" s="126"/>
      <c r="AZ19" s="126"/>
      <c r="BA19" s="126"/>
      <c r="BB19" s="126"/>
      <c r="BC19" s="126"/>
      <c r="BD19" s="126"/>
      <c r="BE19" s="126"/>
      <c r="BF19" s="136"/>
      <c r="BG19" s="126"/>
      <c r="BH19" s="126"/>
      <c r="BI19" s="126"/>
      <c r="BJ19" s="126"/>
      <c r="BK19" s="126"/>
      <c r="BL19" s="126"/>
      <c r="BM19" s="126"/>
      <c r="BN19" s="123">
        <f t="shared" si="1"/>
        <v>50000</v>
      </c>
      <c r="BO19" s="117">
        <v>0.0</v>
      </c>
      <c r="BP19" s="117">
        <v>0.0</v>
      </c>
      <c r="BQ19" s="118">
        <f>sum(AJ19)</f>
        <v>12500</v>
      </c>
      <c r="BR19" s="119">
        <f t="shared" si="3"/>
        <v>62500</v>
      </c>
    </row>
    <row r="20" ht="27.0" customHeight="1">
      <c r="A20" s="12">
        <f t="shared" si="4"/>
        <v>18</v>
      </c>
      <c r="B20" s="13" t="s">
        <v>43</v>
      </c>
      <c r="C20" s="15">
        <v>4181.0</v>
      </c>
      <c r="D20" s="16" t="s">
        <v>73</v>
      </c>
      <c r="E20" s="16" t="s">
        <v>74</v>
      </c>
      <c r="F20" s="124">
        <v>11517.0</v>
      </c>
      <c r="G20" s="40" t="s">
        <v>471</v>
      </c>
      <c r="H20" s="30" t="s">
        <v>472</v>
      </c>
      <c r="I20" s="30"/>
      <c r="J20" s="15" t="s">
        <v>420</v>
      </c>
      <c r="K20" s="20" t="s">
        <v>446</v>
      </c>
      <c r="L20" s="21" t="s">
        <v>33</v>
      </c>
      <c r="M20" s="21"/>
      <c r="N20" s="109">
        <v>45360.0</v>
      </c>
      <c r="O20" s="109">
        <v>45369.0</v>
      </c>
      <c r="P20" s="110" t="s">
        <v>422</v>
      </c>
      <c r="Q20" s="111"/>
      <c r="R20" s="112"/>
      <c r="S20" s="21" t="s">
        <v>423</v>
      </c>
      <c r="T20" s="21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4"/>
      <c r="AJ20" s="125"/>
      <c r="AK20" s="114">
        <v>100000.0</v>
      </c>
      <c r="AL20" s="114" t="s">
        <v>424</v>
      </c>
      <c r="AM20" s="114"/>
      <c r="AN20" s="114"/>
      <c r="AO20" s="114"/>
      <c r="AP20" s="114"/>
      <c r="AQ20" s="114"/>
      <c r="AR20" s="114"/>
      <c r="AS20" s="114"/>
      <c r="AT20" s="121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21"/>
      <c r="BG20" s="114"/>
      <c r="BH20" s="114"/>
      <c r="BI20" s="114"/>
      <c r="BJ20" s="114"/>
      <c r="BK20" s="114"/>
      <c r="BL20" s="114"/>
      <c r="BM20" s="114"/>
      <c r="BN20" s="116">
        <f t="shared" si="1"/>
        <v>0</v>
      </c>
      <c r="BO20" s="117">
        <v>0.0</v>
      </c>
      <c r="BP20" s="117">
        <v>0.0</v>
      </c>
      <c r="BQ20" s="118">
        <f t="shared" ref="BQ20:BQ21" si="7">sum(U20:BH20)</f>
        <v>100000</v>
      </c>
      <c r="BR20" s="119">
        <f t="shared" si="3"/>
        <v>100000</v>
      </c>
    </row>
    <row r="21" ht="27.0" customHeight="1">
      <c r="A21" s="12">
        <f t="shared" si="4"/>
        <v>19</v>
      </c>
      <c r="B21" s="13" t="s">
        <v>43</v>
      </c>
      <c r="C21" s="15">
        <v>4181.0</v>
      </c>
      <c r="D21" s="16" t="s">
        <v>73</v>
      </c>
      <c r="E21" s="16" t="s">
        <v>74</v>
      </c>
      <c r="F21" s="124">
        <v>11741.0</v>
      </c>
      <c r="G21" s="40" t="s">
        <v>473</v>
      </c>
      <c r="H21" s="30" t="s">
        <v>474</v>
      </c>
      <c r="I21" s="30"/>
      <c r="J21" s="15" t="s">
        <v>420</v>
      </c>
      <c r="K21" s="20" t="s">
        <v>446</v>
      </c>
      <c r="L21" s="21" t="s">
        <v>33</v>
      </c>
      <c r="M21" s="21"/>
      <c r="N21" s="109">
        <v>45381.0</v>
      </c>
      <c r="O21" s="109" t="s">
        <v>475</v>
      </c>
      <c r="P21" s="110" t="s">
        <v>422</v>
      </c>
      <c r="Q21" s="111"/>
      <c r="R21" s="112"/>
      <c r="S21" s="21" t="s">
        <v>423</v>
      </c>
      <c r="T21" s="21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4"/>
      <c r="AJ21" s="125"/>
      <c r="AK21" s="114">
        <v>100000.0</v>
      </c>
      <c r="AL21" s="114" t="s">
        <v>424</v>
      </c>
      <c r="AM21" s="114"/>
      <c r="AN21" s="114"/>
      <c r="AO21" s="114"/>
      <c r="AP21" s="114"/>
      <c r="AQ21" s="114"/>
      <c r="AR21" s="114"/>
      <c r="AS21" s="114"/>
      <c r="AT21" s="121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21"/>
      <c r="BG21" s="114"/>
      <c r="BH21" s="114"/>
      <c r="BI21" s="114"/>
      <c r="BJ21" s="114"/>
      <c r="BK21" s="114"/>
      <c r="BL21" s="114"/>
      <c r="BM21" s="114"/>
      <c r="BN21" s="116">
        <f t="shared" si="1"/>
        <v>0</v>
      </c>
      <c r="BO21" s="117">
        <v>0.0</v>
      </c>
      <c r="BP21" s="117">
        <v>0.0</v>
      </c>
      <c r="BQ21" s="118">
        <f t="shared" si="7"/>
        <v>100000</v>
      </c>
      <c r="BR21" s="119">
        <f t="shared" si="3"/>
        <v>100000</v>
      </c>
    </row>
    <row r="22" ht="27.0" customHeight="1">
      <c r="A22" s="12">
        <f t="shared" si="4"/>
        <v>20</v>
      </c>
      <c r="B22" s="13" t="s">
        <v>43</v>
      </c>
      <c r="C22" s="15">
        <v>7801.0</v>
      </c>
      <c r="D22" s="16" t="s">
        <v>80</v>
      </c>
      <c r="E22" s="16" t="s">
        <v>81</v>
      </c>
      <c r="F22" s="124">
        <v>10406.0</v>
      </c>
      <c r="G22" s="30" t="s">
        <v>476</v>
      </c>
      <c r="H22" s="16" t="s">
        <v>477</v>
      </c>
      <c r="I22" s="16"/>
      <c r="J22" s="15" t="s">
        <v>420</v>
      </c>
      <c r="K22" s="20" t="s">
        <v>421</v>
      </c>
      <c r="L22" s="21" t="s">
        <v>33</v>
      </c>
      <c r="M22" s="21"/>
      <c r="N22" s="109">
        <v>45225.0</v>
      </c>
      <c r="O22" s="109">
        <v>45225.0</v>
      </c>
      <c r="P22" s="110" t="s">
        <v>422</v>
      </c>
      <c r="Q22" s="111"/>
      <c r="R22" s="112"/>
      <c r="S22" s="21" t="s">
        <v>450</v>
      </c>
      <c r="T22" s="21" t="s">
        <v>434</v>
      </c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4">
        <v>12500.0</v>
      </c>
      <c r="AG22" s="137">
        <v>12500.0</v>
      </c>
      <c r="AH22" s="137">
        <v>12500.0</v>
      </c>
      <c r="AI22" s="137">
        <v>112500.0</v>
      </c>
      <c r="AJ22" s="114" t="s">
        <v>424</v>
      </c>
      <c r="AK22" s="113"/>
      <c r="AL22" s="113"/>
      <c r="AM22" s="113"/>
      <c r="AN22" s="113"/>
      <c r="AO22" s="113"/>
      <c r="AP22" s="113"/>
      <c r="AQ22" s="113"/>
      <c r="AR22" s="113"/>
      <c r="AS22" s="113"/>
      <c r="AT22" s="115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5"/>
      <c r="BG22" s="113"/>
      <c r="BH22" s="113"/>
      <c r="BI22" s="113"/>
      <c r="BJ22" s="113"/>
      <c r="BK22" s="113"/>
      <c r="BL22" s="113"/>
      <c r="BM22" s="113"/>
      <c r="BN22" s="123">
        <f t="shared" si="1"/>
        <v>137500</v>
      </c>
      <c r="BO22" s="117">
        <v>0.0</v>
      </c>
      <c r="BP22" s="117">
        <v>0.0</v>
      </c>
      <c r="BQ22" s="118">
        <f>sum(AF22)</f>
        <v>12500</v>
      </c>
      <c r="BR22" s="119">
        <f t="shared" si="3"/>
        <v>150000</v>
      </c>
    </row>
    <row r="23" ht="27.0" customHeight="1">
      <c r="A23" s="12">
        <f t="shared" si="4"/>
        <v>21</v>
      </c>
      <c r="B23" s="13" t="s">
        <v>43</v>
      </c>
      <c r="C23" s="15">
        <v>7801.0</v>
      </c>
      <c r="D23" s="16" t="s">
        <v>80</v>
      </c>
      <c r="E23" s="16" t="s">
        <v>81</v>
      </c>
      <c r="F23" s="124">
        <v>10463.0</v>
      </c>
      <c r="G23" s="30" t="s">
        <v>478</v>
      </c>
      <c r="H23" s="16" t="s">
        <v>479</v>
      </c>
      <c r="I23" s="16"/>
      <c r="J23" s="15" t="s">
        <v>420</v>
      </c>
      <c r="K23" s="20" t="s">
        <v>421</v>
      </c>
      <c r="L23" s="21" t="s">
        <v>33</v>
      </c>
      <c r="M23" s="21"/>
      <c r="N23" s="109">
        <v>45234.0</v>
      </c>
      <c r="O23" s="109">
        <v>45234.0</v>
      </c>
      <c r="P23" s="110" t="s">
        <v>422</v>
      </c>
      <c r="Q23" s="111"/>
      <c r="R23" s="112"/>
      <c r="S23" s="21" t="s">
        <v>423</v>
      </c>
      <c r="T23" s="21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4">
        <v>150000.0</v>
      </c>
      <c r="AH23" s="114" t="s">
        <v>424</v>
      </c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21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21"/>
      <c r="BG23" s="114"/>
      <c r="BH23" s="114"/>
      <c r="BI23" s="114"/>
      <c r="BJ23" s="114"/>
      <c r="BK23" s="114"/>
      <c r="BL23" s="114"/>
      <c r="BM23" s="114"/>
      <c r="BN23" s="116">
        <f t="shared" si="1"/>
        <v>0</v>
      </c>
      <c r="BO23" s="117">
        <v>0.0</v>
      </c>
      <c r="BP23" s="117">
        <v>0.0</v>
      </c>
      <c r="BQ23" s="118">
        <f t="shared" ref="BQ23:BQ26" si="8">sum(U23:BH23)</f>
        <v>150000</v>
      </c>
      <c r="BR23" s="119">
        <f t="shared" si="3"/>
        <v>150000</v>
      </c>
    </row>
    <row r="24" ht="27.0" customHeight="1">
      <c r="A24" s="12">
        <f t="shared" si="4"/>
        <v>22</v>
      </c>
      <c r="B24" s="13" t="s">
        <v>43</v>
      </c>
      <c r="C24" s="15">
        <v>11515.0</v>
      </c>
      <c r="D24" s="16" t="s">
        <v>88</v>
      </c>
      <c r="E24" s="16" t="s">
        <v>89</v>
      </c>
      <c r="F24" s="122">
        <v>12577.0</v>
      </c>
      <c r="G24" s="69" t="s">
        <v>480</v>
      </c>
      <c r="H24" s="16" t="s">
        <v>481</v>
      </c>
      <c r="I24" s="16"/>
      <c r="J24" s="15" t="s">
        <v>420</v>
      </c>
      <c r="K24" s="20" t="s">
        <v>421</v>
      </c>
      <c r="L24" s="21" t="s">
        <v>33</v>
      </c>
      <c r="M24" s="21"/>
      <c r="N24" s="109">
        <v>45474.0</v>
      </c>
      <c r="O24" s="109">
        <v>45476.0</v>
      </c>
      <c r="P24" s="110" t="s">
        <v>422</v>
      </c>
      <c r="Q24" s="111">
        <v>45478.0</v>
      </c>
      <c r="R24" s="112"/>
      <c r="S24" s="21" t="s">
        <v>423</v>
      </c>
      <c r="T24" s="21"/>
      <c r="U24" s="113"/>
      <c r="V24" s="113"/>
      <c r="W24" s="113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13"/>
      <c r="AN24" s="113"/>
      <c r="AO24" s="114">
        <v>150000.0</v>
      </c>
      <c r="AP24" s="114" t="s">
        <v>424</v>
      </c>
      <c r="AQ24" s="114"/>
      <c r="AR24" s="114"/>
      <c r="AS24" s="114"/>
      <c r="AT24" s="121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21"/>
      <c r="BG24" s="114"/>
      <c r="BH24" s="114"/>
      <c r="BI24" s="114"/>
      <c r="BJ24" s="114"/>
      <c r="BK24" s="114"/>
      <c r="BL24" s="114"/>
      <c r="BM24" s="114"/>
      <c r="BN24" s="116">
        <f t="shared" si="1"/>
        <v>0</v>
      </c>
      <c r="BO24" s="117">
        <f>SUM(AO24)</f>
        <v>150000</v>
      </c>
      <c r="BP24" s="117">
        <v>0.0</v>
      </c>
      <c r="BQ24" s="118">
        <f t="shared" si="8"/>
        <v>150000</v>
      </c>
      <c r="BR24" s="119">
        <f t="shared" si="3"/>
        <v>150000</v>
      </c>
    </row>
    <row r="25" ht="27.0" customHeight="1">
      <c r="A25" s="12">
        <f t="shared" si="4"/>
        <v>23</v>
      </c>
      <c r="B25" s="13" t="s">
        <v>43</v>
      </c>
      <c r="C25" s="12">
        <v>9441.0</v>
      </c>
      <c r="D25" s="30" t="s">
        <v>97</v>
      </c>
      <c r="E25" s="69" t="s">
        <v>98</v>
      </c>
      <c r="F25" s="122" t="s">
        <v>482</v>
      </c>
      <c r="G25" s="40" t="s">
        <v>114</v>
      </c>
      <c r="H25" s="40" t="s">
        <v>115</v>
      </c>
      <c r="I25" s="40"/>
      <c r="J25" s="15" t="s">
        <v>420</v>
      </c>
      <c r="K25" s="20" t="s">
        <v>421</v>
      </c>
      <c r="L25" s="21" t="s">
        <v>33</v>
      </c>
      <c r="M25" s="21"/>
      <c r="N25" s="109">
        <v>45624.0</v>
      </c>
      <c r="O25" s="109">
        <v>45634.0</v>
      </c>
      <c r="P25" s="110" t="s">
        <v>422</v>
      </c>
      <c r="Q25" s="111">
        <v>45643.0</v>
      </c>
      <c r="R25" s="112"/>
      <c r="S25" s="21" t="s">
        <v>423</v>
      </c>
      <c r="T25" s="21"/>
      <c r="U25" s="113"/>
      <c r="V25" s="113"/>
      <c r="W25" s="113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13"/>
      <c r="AN25" s="113"/>
      <c r="AO25" s="114"/>
      <c r="AP25" s="114"/>
      <c r="AQ25" s="114"/>
      <c r="AR25" s="114"/>
      <c r="AS25" s="114"/>
      <c r="AT25" s="121">
        <v>150000.0</v>
      </c>
      <c r="AU25" s="114" t="s">
        <v>424</v>
      </c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21"/>
      <c r="BG25" s="114"/>
      <c r="BH25" s="114"/>
      <c r="BI25" s="114"/>
      <c r="BJ25" s="114"/>
      <c r="BK25" s="114"/>
      <c r="BL25" s="114"/>
      <c r="BM25" s="114"/>
      <c r="BN25" s="116">
        <f t="shared" si="1"/>
        <v>0</v>
      </c>
      <c r="BO25" s="117">
        <f>SUM(AT25)</f>
        <v>150000</v>
      </c>
      <c r="BP25" s="117">
        <v>0.0</v>
      </c>
      <c r="BQ25" s="118">
        <f t="shared" si="8"/>
        <v>150000</v>
      </c>
      <c r="BR25" s="119">
        <f t="shared" si="3"/>
        <v>150000</v>
      </c>
    </row>
    <row r="26" ht="27.0" customHeight="1">
      <c r="A26" s="12">
        <f t="shared" si="4"/>
        <v>24</v>
      </c>
      <c r="B26" s="71" t="s">
        <v>43</v>
      </c>
      <c r="C26" s="12">
        <v>14464.0</v>
      </c>
      <c r="D26" s="30" t="s">
        <v>105</v>
      </c>
      <c r="E26" s="69" t="s">
        <v>106</v>
      </c>
      <c r="F26" s="122" t="s">
        <v>483</v>
      </c>
      <c r="G26" s="40" t="s">
        <v>484</v>
      </c>
      <c r="H26" s="40" t="s">
        <v>485</v>
      </c>
      <c r="I26" s="40"/>
      <c r="J26" s="15" t="s">
        <v>420</v>
      </c>
      <c r="K26" s="20" t="s">
        <v>421</v>
      </c>
      <c r="L26" s="21" t="s">
        <v>33</v>
      </c>
      <c r="M26" s="21"/>
      <c r="N26" s="109">
        <v>45744.0</v>
      </c>
      <c r="O26" s="109">
        <v>45750.0</v>
      </c>
      <c r="P26" s="110" t="s">
        <v>422</v>
      </c>
      <c r="Q26" s="111">
        <v>45756.0</v>
      </c>
      <c r="R26" s="112"/>
      <c r="S26" s="21" t="s">
        <v>423</v>
      </c>
      <c r="T26" s="21"/>
      <c r="U26" s="113"/>
      <c r="V26" s="113"/>
      <c r="W26" s="113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13"/>
      <c r="AN26" s="113"/>
      <c r="AO26" s="114"/>
      <c r="AP26" s="114"/>
      <c r="AQ26" s="114"/>
      <c r="AR26" s="114"/>
      <c r="AS26" s="114"/>
      <c r="AT26" s="121"/>
      <c r="AU26" s="114"/>
      <c r="AV26" s="114"/>
      <c r="AW26" s="114">
        <v>150000.0</v>
      </c>
      <c r="AX26" s="114" t="s">
        <v>424</v>
      </c>
      <c r="AY26" s="114"/>
      <c r="AZ26" s="114"/>
      <c r="BA26" s="114"/>
      <c r="BB26" s="114"/>
      <c r="BC26" s="114"/>
      <c r="BD26" s="114"/>
      <c r="BE26" s="114"/>
      <c r="BF26" s="121"/>
      <c r="BG26" s="114"/>
      <c r="BH26" s="114"/>
      <c r="BI26" s="114"/>
      <c r="BJ26" s="114"/>
      <c r="BK26" s="114"/>
      <c r="BL26" s="114"/>
      <c r="BM26" s="114"/>
      <c r="BN26" s="116">
        <f t="shared" si="1"/>
        <v>0</v>
      </c>
      <c r="BO26" s="117">
        <v>150000.0</v>
      </c>
      <c r="BP26" s="117">
        <v>0.0</v>
      </c>
      <c r="BQ26" s="118">
        <f t="shared" si="8"/>
        <v>150000</v>
      </c>
      <c r="BR26" s="119">
        <f t="shared" si="3"/>
        <v>150000</v>
      </c>
    </row>
    <row r="27" ht="27.0" customHeight="1">
      <c r="A27" s="12">
        <f t="shared" si="4"/>
        <v>25</v>
      </c>
      <c r="B27" s="71" t="s">
        <v>43</v>
      </c>
      <c r="C27" s="12">
        <v>13944.0</v>
      </c>
      <c r="D27" s="30" t="s">
        <v>114</v>
      </c>
      <c r="E27" s="69" t="s">
        <v>115</v>
      </c>
      <c r="F27" s="122" t="s">
        <v>486</v>
      </c>
      <c r="G27" s="40" t="s">
        <v>487</v>
      </c>
      <c r="H27" s="40" t="s">
        <v>488</v>
      </c>
      <c r="I27" s="40"/>
      <c r="J27" s="15" t="s">
        <v>420</v>
      </c>
      <c r="K27" s="20" t="s">
        <v>439</v>
      </c>
      <c r="L27" s="21" t="s">
        <v>33</v>
      </c>
      <c r="M27" s="21"/>
      <c r="N27" s="109">
        <v>45936.0</v>
      </c>
      <c r="O27" s="109">
        <v>46326.0</v>
      </c>
      <c r="P27" s="110" t="s">
        <v>449</v>
      </c>
      <c r="Q27" s="111"/>
      <c r="R27" s="112"/>
      <c r="S27" s="21" t="s">
        <v>433</v>
      </c>
      <c r="T27" s="21" t="s">
        <v>434</v>
      </c>
      <c r="U27" s="113"/>
      <c r="V27" s="113"/>
      <c r="W27" s="113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13"/>
      <c r="AN27" s="113"/>
      <c r="AO27" s="114"/>
      <c r="AP27" s="114"/>
      <c r="AQ27" s="114"/>
      <c r="AR27" s="114"/>
      <c r="AS27" s="114"/>
      <c r="AT27" s="121"/>
      <c r="AU27" s="137">
        <f t="shared" ref="AU27:AU28" si="9">12500*6</f>
        <v>75000</v>
      </c>
      <c r="AV27" s="137" t="s">
        <v>128</v>
      </c>
      <c r="AW27" s="137" t="s">
        <v>128</v>
      </c>
      <c r="AX27" s="137" t="s">
        <v>128</v>
      </c>
      <c r="AY27" s="137" t="s">
        <v>128</v>
      </c>
      <c r="AZ27" s="137" t="s">
        <v>128</v>
      </c>
      <c r="BA27" s="137" t="s">
        <v>128</v>
      </c>
      <c r="BB27" s="137" t="s">
        <v>128</v>
      </c>
      <c r="BC27" s="137" t="s">
        <v>128</v>
      </c>
      <c r="BD27" s="137">
        <f>12500*6</f>
        <v>75000</v>
      </c>
      <c r="BE27" s="114" t="s">
        <v>424</v>
      </c>
      <c r="BF27" s="139"/>
      <c r="BG27" s="137"/>
      <c r="BH27" s="137"/>
      <c r="BI27" s="137"/>
      <c r="BJ27" s="137"/>
      <c r="BK27" s="137"/>
      <c r="BL27" s="137"/>
      <c r="BM27" s="137"/>
      <c r="BN27" s="123">
        <f t="shared" si="1"/>
        <v>150000</v>
      </c>
      <c r="BO27" s="117">
        <v>0.0</v>
      </c>
      <c r="BP27" s="117">
        <v>0.0</v>
      </c>
      <c r="BQ27" s="118">
        <v>0.0</v>
      </c>
      <c r="BR27" s="119">
        <f t="shared" si="3"/>
        <v>150000</v>
      </c>
    </row>
    <row r="28" ht="27.0" customHeight="1">
      <c r="A28" s="12">
        <f t="shared" si="4"/>
        <v>26</v>
      </c>
      <c r="B28" s="71" t="s">
        <v>43</v>
      </c>
      <c r="C28" s="12">
        <v>10563.0</v>
      </c>
      <c r="D28" s="30" t="s">
        <v>121</v>
      </c>
      <c r="E28" s="140" t="s">
        <v>122</v>
      </c>
      <c r="F28" s="122" t="s">
        <v>489</v>
      </c>
      <c r="G28" s="40" t="s">
        <v>490</v>
      </c>
      <c r="H28" s="40" t="s">
        <v>491</v>
      </c>
      <c r="I28" s="40"/>
      <c r="J28" s="15" t="s">
        <v>420</v>
      </c>
      <c r="K28" s="20" t="s">
        <v>439</v>
      </c>
      <c r="L28" s="21" t="s">
        <v>33</v>
      </c>
      <c r="M28" s="21"/>
      <c r="N28" s="109">
        <v>46053.0</v>
      </c>
      <c r="O28" s="109">
        <v>46239.0</v>
      </c>
      <c r="P28" s="110" t="s">
        <v>449</v>
      </c>
      <c r="Q28" s="111"/>
      <c r="R28" s="112"/>
      <c r="S28" s="21" t="s">
        <v>433</v>
      </c>
      <c r="T28" s="21" t="s">
        <v>434</v>
      </c>
      <c r="U28" s="113"/>
      <c r="V28" s="113"/>
      <c r="W28" s="113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13"/>
      <c r="AN28" s="113"/>
      <c r="AO28" s="114"/>
      <c r="AP28" s="114"/>
      <c r="AQ28" s="114"/>
      <c r="AR28" s="114"/>
      <c r="AS28" s="114"/>
      <c r="AT28" s="121"/>
      <c r="AU28" s="137">
        <f t="shared" si="9"/>
        <v>75000</v>
      </c>
      <c r="AV28" s="137" t="s">
        <v>128</v>
      </c>
      <c r="AW28" s="137" t="s">
        <v>128</v>
      </c>
      <c r="AX28" s="137" t="s">
        <v>128</v>
      </c>
      <c r="AY28" s="137" t="s">
        <v>128</v>
      </c>
      <c r="AZ28" s="137" t="s">
        <v>128</v>
      </c>
      <c r="BA28" s="137" t="s">
        <v>128</v>
      </c>
      <c r="BB28" s="137">
        <f>12500*6</f>
        <v>75000</v>
      </c>
      <c r="BC28" s="114" t="s">
        <v>424</v>
      </c>
      <c r="BD28" s="137"/>
      <c r="BE28" s="137"/>
      <c r="BF28" s="139"/>
      <c r="BI28" s="114"/>
      <c r="BJ28" s="114"/>
      <c r="BK28" s="114"/>
      <c r="BL28" s="114"/>
      <c r="BM28" s="114"/>
      <c r="BN28" s="123">
        <f t="shared" si="1"/>
        <v>150000</v>
      </c>
      <c r="BO28" s="117">
        <v>0.0</v>
      </c>
      <c r="BP28" s="117">
        <v>0.0</v>
      </c>
      <c r="BQ28" s="118">
        <v>0.0</v>
      </c>
      <c r="BR28" s="119">
        <f t="shared" si="3"/>
        <v>150000</v>
      </c>
    </row>
    <row r="29" ht="39.0" customHeight="1">
      <c r="A29" s="12">
        <f t="shared" si="4"/>
        <v>27</v>
      </c>
      <c r="B29" s="71" t="s">
        <v>43</v>
      </c>
      <c r="C29" s="12" t="s">
        <v>128</v>
      </c>
      <c r="D29" s="30" t="s">
        <v>129</v>
      </c>
      <c r="E29" s="140" t="s">
        <v>130</v>
      </c>
      <c r="F29" s="122" t="s">
        <v>492</v>
      </c>
      <c r="G29" s="40" t="s">
        <v>493</v>
      </c>
      <c r="H29" s="40" t="s">
        <v>493</v>
      </c>
      <c r="I29" s="40"/>
      <c r="J29" s="15" t="s">
        <v>420</v>
      </c>
      <c r="K29" s="20" t="s">
        <v>421</v>
      </c>
      <c r="L29" s="21" t="s">
        <v>33</v>
      </c>
      <c r="M29" s="120" t="s">
        <v>494</v>
      </c>
      <c r="N29" s="109">
        <v>45838.0</v>
      </c>
      <c r="O29" s="109">
        <v>45841.0</v>
      </c>
      <c r="P29" s="110" t="s">
        <v>422</v>
      </c>
      <c r="Q29" s="111">
        <v>45852.0</v>
      </c>
      <c r="R29" s="112"/>
      <c r="S29" s="21" t="s">
        <v>423</v>
      </c>
      <c r="T29" s="21"/>
      <c r="U29" s="113"/>
      <c r="V29" s="113"/>
      <c r="W29" s="113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13"/>
      <c r="AN29" s="113"/>
      <c r="AO29" s="114"/>
      <c r="AP29" s="114"/>
      <c r="AQ29" s="114"/>
      <c r="AR29" s="114"/>
      <c r="AS29" s="114"/>
      <c r="AT29" s="121"/>
      <c r="AU29" s="137"/>
      <c r="AV29" s="114"/>
      <c r="AW29" s="114"/>
      <c r="AX29" s="114"/>
      <c r="AY29" s="114"/>
      <c r="AZ29" s="114"/>
      <c r="BA29" s="114">
        <v>150000.0</v>
      </c>
      <c r="BB29" s="114" t="s">
        <v>424</v>
      </c>
      <c r="BC29" s="114"/>
      <c r="BD29" s="114"/>
      <c r="BE29" s="114"/>
      <c r="BF29" s="121"/>
      <c r="BG29" s="114"/>
      <c r="BH29" s="114"/>
      <c r="BI29" s="114"/>
      <c r="BJ29" s="114"/>
      <c r="BK29" s="114"/>
      <c r="BL29" s="114"/>
      <c r="BM29" s="114"/>
      <c r="BN29" s="116">
        <f t="shared" si="1"/>
        <v>0</v>
      </c>
      <c r="BO29" s="117">
        <v>150000.0</v>
      </c>
      <c r="BP29" s="117">
        <v>0.0</v>
      </c>
      <c r="BQ29" s="118">
        <f t="shared" ref="BQ29:BQ34" si="10">sum(U29:BH29)</f>
        <v>150000</v>
      </c>
      <c r="BR29" s="119">
        <f t="shared" si="3"/>
        <v>150000</v>
      </c>
    </row>
    <row r="30" ht="33.75" customHeight="1">
      <c r="A30" s="12">
        <f t="shared" si="4"/>
        <v>28</v>
      </c>
      <c r="B30" s="71" t="s">
        <v>43</v>
      </c>
      <c r="C30" s="25" t="s">
        <v>495</v>
      </c>
      <c r="D30" s="53" t="s">
        <v>137</v>
      </c>
      <c r="E30" s="53" t="s">
        <v>138</v>
      </c>
      <c r="F30" s="33" t="s">
        <v>496</v>
      </c>
      <c r="G30" s="69" t="s">
        <v>497</v>
      </c>
      <c r="H30" s="40" t="s">
        <v>498</v>
      </c>
      <c r="I30" s="40"/>
      <c r="J30" s="12" t="s">
        <v>420</v>
      </c>
      <c r="K30" s="20" t="s">
        <v>421</v>
      </c>
      <c r="L30" s="21" t="s">
        <v>33</v>
      </c>
      <c r="M30" s="120" t="s">
        <v>499</v>
      </c>
      <c r="N30" s="109">
        <v>45805.0</v>
      </c>
      <c r="O30" s="109">
        <v>45817.0</v>
      </c>
      <c r="P30" s="110" t="s">
        <v>422</v>
      </c>
      <c r="Q30" s="111">
        <v>45862.0</v>
      </c>
      <c r="R30" s="112"/>
      <c r="S30" s="21" t="s">
        <v>423</v>
      </c>
      <c r="T30" s="21"/>
      <c r="U30" s="113"/>
      <c r="V30" s="113"/>
      <c r="W30" s="113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13"/>
      <c r="AO30" s="114"/>
      <c r="AP30" s="114"/>
      <c r="AQ30" s="114"/>
      <c r="AR30" s="114"/>
      <c r="AS30" s="114"/>
      <c r="AT30" s="121"/>
      <c r="AU30" s="137"/>
      <c r="AV30" s="114"/>
      <c r="AW30" s="114"/>
      <c r="AX30" s="114"/>
      <c r="AY30" s="114"/>
      <c r="AZ30" s="114">
        <v>150000.0</v>
      </c>
      <c r="BA30" s="137" t="s">
        <v>128</v>
      </c>
      <c r="BB30" s="114" t="s">
        <v>424</v>
      </c>
      <c r="BC30" s="137"/>
      <c r="BD30" s="137"/>
      <c r="BE30" s="137"/>
      <c r="BF30" s="139"/>
      <c r="BG30" s="137"/>
      <c r="BH30" s="137"/>
      <c r="BI30" s="137"/>
      <c r="BJ30" s="137"/>
      <c r="BK30" s="137"/>
      <c r="BL30" s="137"/>
      <c r="BM30" s="137"/>
      <c r="BN30" s="116">
        <f t="shared" si="1"/>
        <v>0</v>
      </c>
      <c r="BO30" s="117">
        <v>150000.0</v>
      </c>
      <c r="BP30" s="117">
        <v>0.0</v>
      </c>
      <c r="BQ30" s="118">
        <f t="shared" si="10"/>
        <v>150000</v>
      </c>
      <c r="BR30" s="119">
        <f t="shared" si="3"/>
        <v>150000</v>
      </c>
    </row>
    <row r="31" ht="35.25" customHeight="1">
      <c r="A31" s="12">
        <f t="shared" si="4"/>
        <v>29</v>
      </c>
      <c r="B31" s="71" t="s">
        <v>43</v>
      </c>
      <c r="C31" s="25" t="s">
        <v>500</v>
      </c>
      <c r="D31" s="53" t="s">
        <v>501</v>
      </c>
      <c r="E31" s="53" t="s">
        <v>148</v>
      </c>
      <c r="F31" s="33" t="s">
        <v>502</v>
      </c>
      <c r="G31" s="69" t="s">
        <v>503</v>
      </c>
      <c r="H31" s="40" t="s">
        <v>504</v>
      </c>
      <c r="I31" s="40"/>
      <c r="J31" s="12" t="s">
        <v>420</v>
      </c>
      <c r="K31" s="20" t="s">
        <v>446</v>
      </c>
      <c r="L31" s="21" t="s">
        <v>33</v>
      </c>
      <c r="M31" s="120" t="s">
        <v>505</v>
      </c>
      <c r="N31" s="109">
        <v>45805.0</v>
      </c>
      <c r="O31" s="109">
        <v>45807.0</v>
      </c>
      <c r="P31" s="110" t="s">
        <v>422</v>
      </c>
      <c r="Q31" s="111">
        <v>45862.0</v>
      </c>
      <c r="R31" s="112"/>
      <c r="S31" s="21" t="s">
        <v>423</v>
      </c>
      <c r="T31" s="21"/>
      <c r="U31" s="113"/>
      <c r="V31" s="113"/>
      <c r="W31" s="113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13"/>
      <c r="AN31" s="113"/>
      <c r="AO31" s="114"/>
      <c r="AP31" s="114"/>
      <c r="AQ31" s="114"/>
      <c r="AR31" s="114"/>
      <c r="AS31" s="114"/>
      <c r="AT31" s="121"/>
      <c r="AU31" s="137"/>
      <c r="AV31" s="114"/>
      <c r="AW31" s="114"/>
      <c r="AX31" s="114"/>
      <c r="AY31" s="114">
        <v>100000.0</v>
      </c>
      <c r="AZ31" s="114" t="s">
        <v>128</v>
      </c>
      <c r="BA31" s="137" t="s">
        <v>128</v>
      </c>
      <c r="BB31" s="114" t="s">
        <v>424</v>
      </c>
      <c r="BC31" s="137"/>
      <c r="BD31" s="137"/>
      <c r="BE31" s="137"/>
      <c r="BF31" s="139"/>
      <c r="BG31" s="137"/>
      <c r="BH31" s="137"/>
      <c r="BI31" s="137"/>
      <c r="BJ31" s="137"/>
      <c r="BK31" s="137"/>
      <c r="BL31" s="137"/>
      <c r="BM31" s="137"/>
      <c r="BN31" s="116">
        <f t="shared" si="1"/>
        <v>0</v>
      </c>
      <c r="BO31" s="117">
        <v>100000.0</v>
      </c>
      <c r="BP31" s="117">
        <v>0.0</v>
      </c>
      <c r="BQ31" s="118">
        <f t="shared" si="10"/>
        <v>100000</v>
      </c>
      <c r="BR31" s="119">
        <f t="shared" si="3"/>
        <v>100000</v>
      </c>
    </row>
    <row r="32" ht="32.25" customHeight="1">
      <c r="A32" s="12">
        <f t="shared" si="4"/>
        <v>30</v>
      </c>
      <c r="B32" s="71" t="s">
        <v>43</v>
      </c>
      <c r="C32" s="33" t="s">
        <v>506</v>
      </c>
      <c r="D32" s="40" t="s">
        <v>156</v>
      </c>
      <c r="E32" s="40" t="s">
        <v>507</v>
      </c>
      <c r="F32" s="141" t="s">
        <v>508</v>
      </c>
      <c r="G32" s="142" t="s">
        <v>509</v>
      </c>
      <c r="H32" s="143" t="s">
        <v>510</v>
      </c>
      <c r="I32" s="40"/>
      <c r="J32" s="12" t="s">
        <v>420</v>
      </c>
      <c r="K32" s="20" t="s">
        <v>511</v>
      </c>
      <c r="L32" s="21" t="s">
        <v>33</v>
      </c>
      <c r="M32" s="20"/>
      <c r="N32" s="109">
        <v>45911.0</v>
      </c>
      <c r="O32" s="109">
        <v>45911.0</v>
      </c>
      <c r="P32" s="110" t="s">
        <v>512</v>
      </c>
      <c r="Q32" s="111">
        <v>45932.0</v>
      </c>
      <c r="R32" s="112"/>
      <c r="S32" s="21" t="s">
        <v>423</v>
      </c>
      <c r="T32" s="21"/>
      <c r="U32" s="113"/>
      <c r="V32" s="113"/>
      <c r="W32" s="113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13"/>
      <c r="AN32" s="113"/>
      <c r="AO32" s="114"/>
      <c r="AP32" s="114"/>
      <c r="AQ32" s="114"/>
      <c r="AR32" s="114"/>
      <c r="AS32" s="114"/>
      <c r="AT32" s="121"/>
      <c r="AU32" s="137"/>
      <c r="AV32" s="114"/>
      <c r="AW32" s="114"/>
      <c r="AX32" s="114"/>
      <c r="AY32" s="114"/>
      <c r="AZ32" s="114"/>
      <c r="BA32" s="137"/>
      <c r="BB32" s="137"/>
      <c r="BC32" s="114">
        <v>49998.0</v>
      </c>
      <c r="BD32" s="114"/>
      <c r="BE32" s="114"/>
      <c r="BF32" s="121"/>
      <c r="BG32" s="114"/>
      <c r="BH32" s="137"/>
      <c r="BI32" s="137"/>
      <c r="BJ32" s="137"/>
      <c r="BK32" s="137"/>
      <c r="BL32" s="137"/>
      <c r="BM32" s="137"/>
      <c r="BN32" s="116">
        <f t="shared" si="1"/>
        <v>0</v>
      </c>
      <c r="BO32" s="117">
        <v>49998.0</v>
      </c>
      <c r="BP32" s="117">
        <v>0.0</v>
      </c>
      <c r="BQ32" s="118">
        <f t="shared" si="10"/>
        <v>49998</v>
      </c>
      <c r="BR32" s="119">
        <f t="shared" si="3"/>
        <v>49998</v>
      </c>
    </row>
    <row r="33" ht="27.0" customHeight="1">
      <c r="A33" s="12">
        <f t="shared" si="4"/>
        <v>31</v>
      </c>
      <c r="B33" s="71" t="s">
        <v>163</v>
      </c>
      <c r="C33" s="15">
        <v>6125.0</v>
      </c>
      <c r="D33" s="16" t="s">
        <v>165</v>
      </c>
      <c r="E33" s="16" t="s">
        <v>513</v>
      </c>
      <c r="F33" s="124">
        <v>9174.0</v>
      </c>
      <c r="G33" s="142" t="s">
        <v>509</v>
      </c>
      <c r="H33" s="16" t="s">
        <v>514</v>
      </c>
      <c r="I33" s="16"/>
      <c r="J33" s="15" t="s">
        <v>420</v>
      </c>
      <c r="K33" s="20" t="s">
        <v>421</v>
      </c>
      <c r="L33" s="21" t="s">
        <v>33</v>
      </c>
      <c r="M33" s="21"/>
      <c r="N33" s="109">
        <v>45075.0</v>
      </c>
      <c r="O33" s="109">
        <v>45108.0</v>
      </c>
      <c r="P33" s="110" t="s">
        <v>422</v>
      </c>
      <c r="Q33" s="111"/>
      <c r="R33" s="112"/>
      <c r="S33" s="21" t="s">
        <v>423</v>
      </c>
      <c r="T33" s="21"/>
      <c r="U33" s="113"/>
      <c r="V33" s="113"/>
      <c r="W33" s="113"/>
      <c r="X33" s="113"/>
      <c r="Y33" s="113"/>
      <c r="Z33" s="113"/>
      <c r="AA33" s="114">
        <v>150000.0</v>
      </c>
      <c r="AB33" s="114" t="s">
        <v>424</v>
      </c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26"/>
      <c r="AO33" s="126"/>
      <c r="AP33" s="126"/>
      <c r="AQ33" s="126"/>
      <c r="AR33" s="126"/>
      <c r="AS33" s="126"/>
      <c r="AT33" s="13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36"/>
      <c r="BG33" s="126"/>
      <c r="BH33" s="126"/>
      <c r="BI33" s="126"/>
      <c r="BJ33" s="126"/>
      <c r="BK33" s="126"/>
      <c r="BL33" s="126"/>
      <c r="BM33" s="126"/>
      <c r="BN33" s="116">
        <f t="shared" si="1"/>
        <v>0</v>
      </c>
      <c r="BO33" s="117">
        <v>0.0</v>
      </c>
      <c r="BP33" s="117">
        <v>0.0</v>
      </c>
      <c r="BQ33" s="118">
        <f t="shared" si="10"/>
        <v>150000</v>
      </c>
      <c r="BR33" s="119">
        <f t="shared" si="3"/>
        <v>150000</v>
      </c>
    </row>
    <row r="34" ht="27.0" customHeight="1">
      <c r="A34" s="12">
        <f t="shared" si="4"/>
        <v>32</v>
      </c>
      <c r="B34" s="71" t="s">
        <v>163</v>
      </c>
      <c r="C34" s="15">
        <v>6125.0</v>
      </c>
      <c r="D34" s="16" t="s">
        <v>165</v>
      </c>
      <c r="E34" s="16" t="s">
        <v>513</v>
      </c>
      <c r="F34" s="124">
        <v>9477.0</v>
      </c>
      <c r="G34" s="16" t="s">
        <v>515</v>
      </c>
      <c r="H34" s="16" t="s">
        <v>515</v>
      </c>
      <c r="I34" s="16"/>
      <c r="J34" s="15" t="s">
        <v>420</v>
      </c>
      <c r="K34" s="20" t="s">
        <v>421</v>
      </c>
      <c r="L34" s="21" t="s">
        <v>33</v>
      </c>
      <c r="M34" s="21"/>
      <c r="N34" s="109">
        <v>45112.0</v>
      </c>
      <c r="O34" s="109">
        <v>45127.0</v>
      </c>
      <c r="P34" s="110" t="s">
        <v>422</v>
      </c>
      <c r="Q34" s="111"/>
      <c r="R34" s="112"/>
      <c r="S34" s="21" t="s">
        <v>423</v>
      </c>
      <c r="T34" s="21"/>
      <c r="U34" s="113"/>
      <c r="V34" s="113"/>
      <c r="W34" s="113"/>
      <c r="X34" s="113"/>
      <c r="Y34" s="113"/>
      <c r="Z34" s="113"/>
      <c r="AA34" s="138"/>
      <c r="AB34" s="138"/>
      <c r="AC34" s="126">
        <v>150000.0</v>
      </c>
      <c r="AD34" s="114" t="s">
        <v>424</v>
      </c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21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21"/>
      <c r="BG34" s="114"/>
      <c r="BH34" s="114"/>
      <c r="BI34" s="114"/>
      <c r="BJ34" s="114"/>
      <c r="BK34" s="114"/>
      <c r="BL34" s="114"/>
      <c r="BM34" s="114"/>
      <c r="BN34" s="116">
        <f t="shared" si="1"/>
        <v>0</v>
      </c>
      <c r="BO34" s="117">
        <v>0.0</v>
      </c>
      <c r="BP34" s="117">
        <v>0.0</v>
      </c>
      <c r="BQ34" s="118">
        <f t="shared" si="10"/>
        <v>150000</v>
      </c>
      <c r="BR34" s="119">
        <f t="shared" si="3"/>
        <v>150000</v>
      </c>
    </row>
    <row r="35" ht="27.0" customHeight="1">
      <c r="A35" s="12">
        <f t="shared" si="4"/>
        <v>33</v>
      </c>
      <c r="B35" s="71" t="s">
        <v>163</v>
      </c>
      <c r="C35" s="15">
        <v>6125.0</v>
      </c>
      <c r="D35" s="16" t="s">
        <v>165</v>
      </c>
      <c r="E35" s="16" t="s">
        <v>513</v>
      </c>
      <c r="F35" s="124">
        <v>9621.0</v>
      </c>
      <c r="G35" s="30" t="s">
        <v>516</v>
      </c>
      <c r="H35" s="16" t="s">
        <v>517</v>
      </c>
      <c r="I35" s="16"/>
      <c r="J35" s="15" t="s">
        <v>420</v>
      </c>
      <c r="K35" s="20" t="s">
        <v>443</v>
      </c>
      <c r="L35" s="21" t="s">
        <v>33</v>
      </c>
      <c r="M35" s="21"/>
      <c r="N35" s="109">
        <v>45124.0</v>
      </c>
      <c r="O35" s="109">
        <v>45132.0</v>
      </c>
      <c r="P35" s="110" t="s">
        <v>422</v>
      </c>
      <c r="Q35" s="111"/>
      <c r="R35" s="112"/>
      <c r="S35" s="21" t="s">
        <v>450</v>
      </c>
      <c r="T35" s="21"/>
      <c r="U35" s="113"/>
      <c r="V35" s="113"/>
      <c r="W35" s="113"/>
      <c r="X35" s="113"/>
      <c r="Y35" s="113"/>
      <c r="Z35" s="113"/>
      <c r="AA35" s="138"/>
      <c r="AB35" s="138"/>
      <c r="AC35" s="126">
        <v>8333.0</v>
      </c>
      <c r="AD35" s="144">
        <v>8333.0</v>
      </c>
      <c r="AE35" s="113" t="s">
        <v>128</v>
      </c>
      <c r="AF35" s="144">
        <v>8333.0</v>
      </c>
      <c r="AG35" s="126" t="s">
        <v>440</v>
      </c>
      <c r="AH35" s="126" t="s">
        <v>440</v>
      </c>
      <c r="AI35" s="126" t="s">
        <v>440</v>
      </c>
      <c r="AJ35" s="126" t="s">
        <v>440</v>
      </c>
      <c r="AK35" s="126" t="s">
        <v>440</v>
      </c>
      <c r="AL35" s="126" t="s">
        <v>440</v>
      </c>
      <c r="AM35" s="126" t="s">
        <v>440</v>
      </c>
      <c r="AN35" s="126" t="s">
        <v>440</v>
      </c>
      <c r="AO35" s="114" t="s">
        <v>424</v>
      </c>
      <c r="AP35" s="126"/>
      <c r="AQ35" s="126"/>
      <c r="AR35" s="126"/>
      <c r="AS35" s="126"/>
      <c r="AT35" s="13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36"/>
      <c r="BG35" s="126"/>
      <c r="BH35" s="126"/>
      <c r="BI35" s="126"/>
      <c r="BJ35" s="126"/>
      <c r="BK35" s="126"/>
      <c r="BL35" s="126"/>
      <c r="BM35" s="126"/>
      <c r="BN35" s="145">
        <f t="shared" si="1"/>
        <v>16666</v>
      </c>
      <c r="BO35" s="117">
        <v>0.0</v>
      </c>
      <c r="BP35" s="117">
        <v>0.0</v>
      </c>
      <c r="BQ35" s="118">
        <f>sum(AC35)</f>
        <v>8333</v>
      </c>
      <c r="BR35" s="119">
        <f t="shared" si="3"/>
        <v>24999</v>
      </c>
    </row>
    <row r="36" ht="27.0" customHeight="1">
      <c r="A36" s="12">
        <f t="shared" si="4"/>
        <v>34</v>
      </c>
      <c r="B36" s="71" t="s">
        <v>163</v>
      </c>
      <c r="C36" s="15">
        <v>6125.0</v>
      </c>
      <c r="D36" s="16" t="s">
        <v>165</v>
      </c>
      <c r="E36" s="16" t="s">
        <v>513</v>
      </c>
      <c r="F36" s="124">
        <v>10156.0</v>
      </c>
      <c r="G36" s="16" t="s">
        <v>518</v>
      </c>
      <c r="H36" s="16" t="s">
        <v>518</v>
      </c>
      <c r="I36" s="16"/>
      <c r="J36" s="15" t="s">
        <v>420</v>
      </c>
      <c r="K36" s="20" t="s">
        <v>443</v>
      </c>
      <c r="L36" s="21" t="s">
        <v>33</v>
      </c>
      <c r="M36" s="21"/>
      <c r="N36" s="109">
        <v>45187.0</v>
      </c>
      <c r="O36" s="109">
        <v>45205.0</v>
      </c>
      <c r="P36" s="110" t="s">
        <v>422</v>
      </c>
      <c r="Q36" s="111"/>
      <c r="R36" s="112"/>
      <c r="S36" s="21" t="s">
        <v>433</v>
      </c>
      <c r="T36" s="21"/>
      <c r="U36" s="113"/>
      <c r="V36" s="113"/>
      <c r="W36" s="113"/>
      <c r="X36" s="113"/>
      <c r="Y36" s="113"/>
      <c r="Z36" s="113"/>
      <c r="AA36" s="138"/>
      <c r="AB36" s="138"/>
      <c r="AC36" s="146"/>
      <c r="AD36" s="146"/>
      <c r="AE36" s="144">
        <v>8333.0</v>
      </c>
      <c r="AF36" s="126" t="s">
        <v>440</v>
      </c>
      <c r="AG36" s="126" t="s">
        <v>440</v>
      </c>
      <c r="AH36" s="126" t="s">
        <v>440</v>
      </c>
      <c r="AI36" s="126" t="s">
        <v>440</v>
      </c>
      <c r="AJ36" s="126" t="s">
        <v>440</v>
      </c>
      <c r="AK36" s="126" t="s">
        <v>440</v>
      </c>
      <c r="AL36" s="126" t="s">
        <v>440</v>
      </c>
      <c r="AM36" s="126" t="s">
        <v>440</v>
      </c>
      <c r="AN36" s="126" t="s">
        <v>440</v>
      </c>
      <c r="AO36" s="126" t="s">
        <v>440</v>
      </c>
      <c r="AP36" s="126" t="s">
        <v>440</v>
      </c>
      <c r="AQ36" s="114" t="s">
        <v>424</v>
      </c>
      <c r="AR36" s="126"/>
      <c r="AS36" s="126"/>
      <c r="AT36" s="13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36"/>
      <c r="BG36" s="126"/>
      <c r="BH36" s="126"/>
      <c r="BI36" s="126"/>
      <c r="BJ36" s="126"/>
      <c r="BK36" s="126"/>
      <c r="BL36" s="126"/>
      <c r="BM36" s="126"/>
      <c r="BN36" s="145">
        <f t="shared" si="1"/>
        <v>8333</v>
      </c>
      <c r="BO36" s="117">
        <v>0.0</v>
      </c>
      <c r="BP36" s="117">
        <v>0.0</v>
      </c>
      <c r="BQ36" s="118">
        <v>0.0</v>
      </c>
      <c r="BR36" s="119">
        <f t="shared" si="3"/>
        <v>8333</v>
      </c>
    </row>
    <row r="37" ht="27.0" customHeight="1">
      <c r="A37" s="12">
        <f t="shared" si="4"/>
        <v>35</v>
      </c>
      <c r="B37" s="71" t="s">
        <v>163</v>
      </c>
      <c r="C37" s="15">
        <v>6125.0</v>
      </c>
      <c r="D37" s="16" t="s">
        <v>165</v>
      </c>
      <c r="E37" s="16" t="s">
        <v>513</v>
      </c>
      <c r="F37" s="124">
        <v>10254.0</v>
      </c>
      <c r="G37" s="30" t="s">
        <v>519</v>
      </c>
      <c r="H37" s="16" t="s">
        <v>520</v>
      </c>
      <c r="I37" s="16"/>
      <c r="J37" s="15" t="s">
        <v>420</v>
      </c>
      <c r="K37" s="20" t="s">
        <v>443</v>
      </c>
      <c r="L37" s="21" t="s">
        <v>33</v>
      </c>
      <c r="M37" s="21"/>
      <c r="N37" s="109">
        <v>45197.0</v>
      </c>
      <c r="O37" s="109">
        <v>45197.0</v>
      </c>
      <c r="P37" s="110" t="s">
        <v>422</v>
      </c>
      <c r="Q37" s="111">
        <v>45880.0</v>
      </c>
      <c r="R37" s="112"/>
      <c r="S37" s="21" t="s">
        <v>450</v>
      </c>
      <c r="T37" s="21" t="s">
        <v>434</v>
      </c>
      <c r="U37" s="113"/>
      <c r="V37" s="113"/>
      <c r="W37" s="113"/>
      <c r="X37" s="113"/>
      <c r="Y37" s="113"/>
      <c r="Z37" s="113"/>
      <c r="AA37" s="138"/>
      <c r="AB37" s="138"/>
      <c r="AC37" s="146"/>
      <c r="AD37" s="146"/>
      <c r="AE37" s="126">
        <v>8333.0</v>
      </c>
      <c r="AF37" s="126" t="s">
        <v>128</v>
      </c>
      <c r="AG37" s="126">
        <v>8333.0</v>
      </c>
      <c r="AH37" s="126">
        <v>8333.0</v>
      </c>
      <c r="AI37" s="126">
        <v>8333.0</v>
      </c>
      <c r="AJ37" s="126">
        <v>8333.0</v>
      </c>
      <c r="AK37" s="126">
        <v>8333.0</v>
      </c>
      <c r="AL37" s="126">
        <v>8333.0</v>
      </c>
      <c r="AM37" s="126">
        <v>8333.0</v>
      </c>
      <c r="AN37" s="126">
        <v>8333.0</v>
      </c>
      <c r="AO37" s="126">
        <v>8333.0</v>
      </c>
      <c r="AP37" s="126">
        <v>8333.0</v>
      </c>
      <c r="AQ37" s="126">
        <v>8333.0</v>
      </c>
      <c r="AR37" s="114" t="s">
        <v>424</v>
      </c>
      <c r="AS37" s="144"/>
      <c r="AT37" s="147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7"/>
      <c r="BG37" s="144"/>
      <c r="BH37" s="144"/>
      <c r="BI37" s="144"/>
      <c r="BJ37" s="144"/>
      <c r="BK37" s="144"/>
      <c r="BL37" s="144"/>
      <c r="BM37" s="144"/>
      <c r="BN37" s="123">
        <f t="shared" si="1"/>
        <v>8333</v>
      </c>
      <c r="BO37" s="117">
        <v>0.0</v>
      </c>
      <c r="BP37" s="117">
        <v>0.0</v>
      </c>
      <c r="BQ37" s="118">
        <f>sum(AG37:AQ37)</f>
        <v>91663</v>
      </c>
      <c r="BR37" s="119">
        <f t="shared" si="3"/>
        <v>99996</v>
      </c>
    </row>
    <row r="38" ht="27.0" customHeight="1">
      <c r="A38" s="12">
        <f t="shared" si="4"/>
        <v>36</v>
      </c>
      <c r="B38" s="71" t="s">
        <v>163</v>
      </c>
      <c r="C38" s="12" t="s">
        <v>128</v>
      </c>
      <c r="D38" s="16" t="s">
        <v>361</v>
      </c>
      <c r="E38" s="148" t="s">
        <v>362</v>
      </c>
      <c r="F38" s="124">
        <v>14813.0</v>
      </c>
      <c r="G38" s="30" t="s">
        <v>521</v>
      </c>
      <c r="H38" s="16" t="s">
        <v>522</v>
      </c>
      <c r="I38" s="16"/>
      <c r="J38" s="15" t="s">
        <v>420</v>
      </c>
      <c r="K38" s="20" t="s">
        <v>439</v>
      </c>
      <c r="L38" s="21" t="s">
        <v>33</v>
      </c>
      <c r="M38" s="21"/>
      <c r="N38" s="109">
        <v>45906.0</v>
      </c>
      <c r="O38" s="109">
        <v>46087.0</v>
      </c>
      <c r="P38" s="110" t="s">
        <v>449</v>
      </c>
      <c r="Q38" s="111">
        <v>45904.0</v>
      </c>
      <c r="R38" s="112"/>
      <c r="S38" s="21" t="s">
        <v>450</v>
      </c>
      <c r="T38" s="21" t="s">
        <v>434</v>
      </c>
      <c r="U38" s="113"/>
      <c r="V38" s="113"/>
      <c r="W38" s="113"/>
      <c r="X38" s="113"/>
      <c r="Y38" s="113"/>
      <c r="Z38" s="113"/>
      <c r="AA38" s="138"/>
      <c r="AB38" s="138"/>
      <c r="AC38" s="146"/>
      <c r="AD38" s="146"/>
      <c r="AE38" s="144"/>
      <c r="AF38" s="126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14"/>
      <c r="AR38" s="144"/>
      <c r="AS38" s="144"/>
      <c r="AT38" s="147"/>
      <c r="AU38" s="144"/>
      <c r="AV38" s="126">
        <f>150000/2</f>
        <v>75000</v>
      </c>
      <c r="AW38" s="129" t="s">
        <v>128</v>
      </c>
      <c r="AX38" s="129" t="s">
        <v>128</v>
      </c>
      <c r="AY38" s="129" t="s">
        <v>128</v>
      </c>
      <c r="AZ38" s="129" t="s">
        <v>128</v>
      </c>
      <c r="BA38" s="129" t="s">
        <v>128</v>
      </c>
      <c r="BB38" s="129" t="s">
        <v>128</v>
      </c>
      <c r="BC38" s="144">
        <v>75000.0</v>
      </c>
      <c r="BD38" s="114" t="s">
        <v>424</v>
      </c>
      <c r="BE38" s="126"/>
      <c r="BF38" s="136"/>
      <c r="BG38" s="126"/>
      <c r="BH38" s="137"/>
      <c r="BI38" s="137"/>
      <c r="BJ38" s="137"/>
      <c r="BK38" s="137"/>
      <c r="BL38" s="137"/>
      <c r="BM38" s="137"/>
      <c r="BN38" s="123">
        <f t="shared" si="1"/>
        <v>75000</v>
      </c>
      <c r="BO38" s="117">
        <f>sum(AV38:BB38)</f>
        <v>75000</v>
      </c>
      <c r="BP38" s="117">
        <v>0.0</v>
      </c>
      <c r="BQ38" s="118">
        <f>sum(AV38:BB38)</f>
        <v>75000</v>
      </c>
      <c r="BR38" s="119">
        <f t="shared" si="3"/>
        <v>150000</v>
      </c>
    </row>
    <row r="39" ht="27.0" customHeight="1">
      <c r="A39" s="12">
        <f t="shared" si="4"/>
        <v>37</v>
      </c>
      <c r="B39" s="71" t="s">
        <v>163</v>
      </c>
      <c r="C39" s="12" t="s">
        <v>128</v>
      </c>
      <c r="D39" s="16" t="s">
        <v>185</v>
      </c>
      <c r="E39" s="16" t="s">
        <v>185</v>
      </c>
      <c r="F39" s="124">
        <v>15129.0</v>
      </c>
      <c r="G39" s="30" t="s">
        <v>523</v>
      </c>
      <c r="H39" s="149" t="s">
        <v>524</v>
      </c>
      <c r="I39" s="16"/>
      <c r="J39" s="15" t="s">
        <v>420</v>
      </c>
      <c r="K39" s="20" t="s">
        <v>421</v>
      </c>
      <c r="L39" s="21" t="s">
        <v>33</v>
      </c>
      <c r="M39" s="21"/>
      <c r="N39" s="109">
        <v>45758.0</v>
      </c>
      <c r="O39" s="109">
        <v>45768.0</v>
      </c>
      <c r="P39" s="110" t="s">
        <v>422</v>
      </c>
      <c r="Q39" s="111"/>
      <c r="R39" s="112"/>
      <c r="S39" s="21" t="s">
        <v>433</v>
      </c>
      <c r="T39" s="21" t="s">
        <v>434</v>
      </c>
      <c r="U39" s="113"/>
      <c r="V39" s="113"/>
      <c r="W39" s="113"/>
      <c r="X39" s="113"/>
      <c r="Y39" s="113"/>
      <c r="Z39" s="113"/>
      <c r="AA39" s="138"/>
      <c r="AB39" s="138"/>
      <c r="AC39" s="146"/>
      <c r="AD39" s="146"/>
      <c r="AE39" s="144"/>
      <c r="AF39" s="126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14"/>
      <c r="AR39" s="144"/>
      <c r="AS39" s="144"/>
      <c r="AT39" s="147"/>
      <c r="AU39" s="144"/>
      <c r="AV39" s="144"/>
      <c r="AW39" s="144"/>
      <c r="AX39" s="144">
        <v>150000.0</v>
      </c>
      <c r="AY39" s="114" t="s">
        <v>424</v>
      </c>
      <c r="AZ39" s="144"/>
      <c r="BA39" s="144"/>
      <c r="BB39" s="144"/>
      <c r="BC39" s="144"/>
      <c r="BD39" s="144"/>
      <c r="BE39" s="144"/>
      <c r="BF39" s="147"/>
      <c r="BG39" s="144"/>
      <c r="BH39" s="144"/>
      <c r="BI39" s="144"/>
      <c r="BJ39" s="144"/>
      <c r="BK39" s="144"/>
      <c r="BL39" s="144"/>
      <c r="BM39" s="144"/>
      <c r="BN39" s="123">
        <f t="shared" si="1"/>
        <v>150000</v>
      </c>
      <c r="BO39" s="117">
        <f t="shared" ref="BO39:BO40" si="11">SUM(AR39)</f>
        <v>0</v>
      </c>
      <c r="BP39" s="117">
        <v>0.0</v>
      </c>
      <c r="BQ39" s="118">
        <v>0.0</v>
      </c>
      <c r="BR39" s="119">
        <f t="shared" si="3"/>
        <v>150000</v>
      </c>
    </row>
    <row r="40" ht="27.0" customHeight="1">
      <c r="A40" s="12">
        <f t="shared" si="4"/>
        <v>38</v>
      </c>
      <c r="B40" s="71" t="s">
        <v>163</v>
      </c>
      <c r="C40" s="12" t="s">
        <v>128</v>
      </c>
      <c r="D40" s="16" t="s">
        <v>185</v>
      </c>
      <c r="E40" s="16" t="s">
        <v>185</v>
      </c>
      <c r="F40" s="124">
        <v>15401.0</v>
      </c>
      <c r="G40" s="30" t="s">
        <v>525</v>
      </c>
      <c r="H40" s="149" t="s">
        <v>526</v>
      </c>
      <c r="I40" s="16"/>
      <c r="J40" s="15" t="s">
        <v>420</v>
      </c>
      <c r="K40" s="20" t="s">
        <v>439</v>
      </c>
      <c r="L40" s="21" t="s">
        <v>33</v>
      </c>
      <c r="M40" s="21"/>
      <c r="N40" s="109">
        <v>45782.0</v>
      </c>
      <c r="O40" s="109">
        <v>45782.0</v>
      </c>
      <c r="P40" s="110" t="s">
        <v>512</v>
      </c>
      <c r="Q40" s="111"/>
      <c r="R40" s="112"/>
      <c r="S40" s="21" t="s">
        <v>433</v>
      </c>
      <c r="T40" s="21" t="s">
        <v>434</v>
      </c>
      <c r="U40" s="113"/>
      <c r="V40" s="113"/>
      <c r="W40" s="113"/>
      <c r="X40" s="113"/>
      <c r="Y40" s="113"/>
      <c r="Z40" s="113"/>
      <c r="AA40" s="138"/>
      <c r="AB40" s="138"/>
      <c r="AC40" s="146"/>
      <c r="AD40" s="146"/>
      <c r="AE40" s="144"/>
      <c r="AF40" s="126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14"/>
      <c r="AR40" s="144"/>
      <c r="AS40" s="144"/>
      <c r="AT40" s="147"/>
      <c r="AU40" s="144"/>
      <c r="AV40" s="144"/>
      <c r="AW40" s="144"/>
      <c r="AX40" s="144"/>
      <c r="AY40" s="144">
        <v>75000.0</v>
      </c>
      <c r="AZ40" s="129" t="s">
        <v>128</v>
      </c>
      <c r="BA40" s="129" t="s">
        <v>128</v>
      </c>
      <c r="BB40" s="129" t="s">
        <v>128</v>
      </c>
      <c r="BC40" s="129" t="s">
        <v>128</v>
      </c>
      <c r="BD40" s="129" t="s">
        <v>128</v>
      </c>
      <c r="BE40" s="126" t="s">
        <v>440</v>
      </c>
      <c r="BF40" s="136" t="s">
        <v>440</v>
      </c>
      <c r="BG40" s="126" t="s">
        <v>440</v>
      </c>
      <c r="BH40" s="137"/>
      <c r="BI40" s="137"/>
      <c r="BJ40" s="137"/>
      <c r="BK40" s="137"/>
      <c r="BL40" s="137"/>
      <c r="BM40" s="137"/>
      <c r="BN40" s="123">
        <f t="shared" si="1"/>
        <v>75000</v>
      </c>
      <c r="BO40" s="117">
        <f t="shared" si="11"/>
        <v>0</v>
      </c>
      <c r="BP40" s="117">
        <v>0.0</v>
      </c>
      <c r="BQ40" s="118">
        <v>0.0</v>
      </c>
      <c r="BR40" s="119">
        <f t="shared" si="3"/>
        <v>75000</v>
      </c>
    </row>
    <row r="41" ht="27.0" customHeight="1">
      <c r="A41" s="12">
        <f t="shared" si="4"/>
        <v>39</v>
      </c>
      <c r="B41" s="71" t="s">
        <v>163</v>
      </c>
      <c r="C41" s="12" t="s">
        <v>128</v>
      </c>
      <c r="D41" s="16" t="s">
        <v>185</v>
      </c>
      <c r="E41" s="16" t="s">
        <v>185</v>
      </c>
      <c r="F41" s="25" t="s">
        <v>527</v>
      </c>
      <c r="G41" s="150" t="s">
        <v>528</v>
      </c>
      <c r="H41" s="151" t="s">
        <v>529</v>
      </c>
      <c r="I41" s="30"/>
      <c r="J41" s="15" t="s">
        <v>420</v>
      </c>
      <c r="K41" s="20" t="s">
        <v>530</v>
      </c>
      <c r="L41" s="21" t="s">
        <v>33</v>
      </c>
      <c r="M41" s="21"/>
      <c r="N41" s="109">
        <v>46051.0</v>
      </c>
      <c r="O41" s="109">
        <v>46231.0</v>
      </c>
      <c r="P41" s="110" t="s">
        <v>449</v>
      </c>
      <c r="Q41" s="111"/>
      <c r="R41" s="112"/>
      <c r="S41" s="21" t="s">
        <v>433</v>
      </c>
      <c r="T41" s="21" t="s">
        <v>434</v>
      </c>
      <c r="U41" s="113"/>
      <c r="V41" s="113"/>
      <c r="W41" s="113"/>
      <c r="X41" s="113"/>
      <c r="Y41" s="113"/>
      <c r="Z41" s="113"/>
      <c r="AA41" s="138"/>
      <c r="AB41" s="138"/>
      <c r="AC41" s="146"/>
      <c r="AD41" s="146"/>
      <c r="AE41" s="144"/>
      <c r="AF41" s="126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14"/>
      <c r="AR41" s="144"/>
      <c r="AS41" s="144"/>
      <c r="AT41" s="147"/>
      <c r="AU41" s="144"/>
      <c r="AV41" s="144"/>
      <c r="AW41" s="144"/>
      <c r="AX41" s="144"/>
      <c r="AY41" s="144"/>
      <c r="AZ41" s="144"/>
      <c r="BA41" s="144">
        <v>75000.0</v>
      </c>
      <c r="BB41" s="144" t="s">
        <v>128</v>
      </c>
      <c r="BC41" s="144" t="s">
        <v>128</v>
      </c>
      <c r="BD41" s="144" t="s">
        <v>128</v>
      </c>
      <c r="BE41" s="144" t="s">
        <v>128</v>
      </c>
      <c r="BF41" s="147" t="s">
        <v>128</v>
      </c>
      <c r="BG41" s="144">
        <f>(100000/12)*6</f>
        <v>50000</v>
      </c>
      <c r="BH41" s="114" t="s">
        <v>424</v>
      </c>
      <c r="BI41" s="114"/>
      <c r="BJ41" s="114"/>
      <c r="BK41" s="114"/>
      <c r="BL41" s="114"/>
      <c r="BM41" s="114"/>
      <c r="BN41" s="123">
        <f t="shared" si="1"/>
        <v>125000</v>
      </c>
      <c r="BO41" s="117">
        <v>0.0</v>
      </c>
      <c r="BP41" s="117">
        <v>0.0</v>
      </c>
      <c r="BQ41" s="118">
        <v>0.0</v>
      </c>
      <c r="BR41" s="119">
        <f t="shared" si="3"/>
        <v>125000</v>
      </c>
    </row>
    <row r="42" ht="27.0" customHeight="1">
      <c r="A42" s="12">
        <f t="shared" si="4"/>
        <v>40</v>
      </c>
      <c r="B42" s="71" t="s">
        <v>163</v>
      </c>
      <c r="C42" s="12" t="s">
        <v>128</v>
      </c>
      <c r="D42" s="16" t="s">
        <v>185</v>
      </c>
      <c r="E42" s="16" t="s">
        <v>185</v>
      </c>
      <c r="F42" s="25" t="s">
        <v>531</v>
      </c>
      <c r="G42" s="150" t="s">
        <v>532</v>
      </c>
      <c r="H42" s="152" t="s">
        <v>533</v>
      </c>
      <c r="I42" s="31"/>
      <c r="J42" s="15" t="s">
        <v>420</v>
      </c>
      <c r="K42" s="20" t="s">
        <v>421</v>
      </c>
      <c r="L42" s="21" t="s">
        <v>33</v>
      </c>
      <c r="M42" s="21"/>
      <c r="N42" s="109">
        <v>45931.0</v>
      </c>
      <c r="O42" s="109">
        <v>45931.0</v>
      </c>
      <c r="P42" s="110" t="s">
        <v>449</v>
      </c>
      <c r="Q42" s="111"/>
      <c r="R42" s="112"/>
      <c r="S42" s="21" t="s">
        <v>433</v>
      </c>
      <c r="T42" s="21" t="s">
        <v>434</v>
      </c>
      <c r="U42" s="113"/>
      <c r="V42" s="113"/>
      <c r="W42" s="113"/>
      <c r="X42" s="113"/>
      <c r="Y42" s="113"/>
      <c r="Z42" s="113"/>
      <c r="AA42" s="138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14"/>
      <c r="AO42" s="126"/>
      <c r="AP42" s="126"/>
      <c r="AQ42" s="126"/>
      <c r="AR42" s="126"/>
      <c r="AS42" s="126"/>
      <c r="AT42" s="13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9">
        <v>180000.0</v>
      </c>
      <c r="BE42" s="114" t="s">
        <v>424</v>
      </c>
      <c r="BF42" s="136"/>
      <c r="BG42" s="126"/>
      <c r="BH42" s="126"/>
      <c r="BI42" s="126"/>
      <c r="BJ42" s="126"/>
      <c r="BK42" s="126"/>
      <c r="BL42" s="126"/>
      <c r="BM42" s="126"/>
      <c r="BN42" s="123">
        <f t="shared" si="1"/>
        <v>180000</v>
      </c>
      <c r="BO42" s="117">
        <v>0.0</v>
      </c>
      <c r="BP42" s="117">
        <v>0.0</v>
      </c>
      <c r="BQ42" s="118">
        <v>0.0</v>
      </c>
      <c r="BR42" s="119">
        <f t="shared" si="3"/>
        <v>180000</v>
      </c>
    </row>
    <row r="43" ht="27.0" customHeight="1">
      <c r="A43" s="12">
        <f t="shared" si="4"/>
        <v>41</v>
      </c>
      <c r="B43" s="71" t="s">
        <v>163</v>
      </c>
      <c r="C43" s="12" t="s">
        <v>128</v>
      </c>
      <c r="D43" s="16" t="s">
        <v>185</v>
      </c>
      <c r="E43" s="16" t="s">
        <v>185</v>
      </c>
      <c r="F43" s="25" t="s">
        <v>534</v>
      </c>
      <c r="G43" s="53" t="s">
        <v>535</v>
      </c>
      <c r="H43" s="153" t="s">
        <v>536</v>
      </c>
      <c r="I43" s="154"/>
      <c r="J43" s="15" t="s">
        <v>420</v>
      </c>
      <c r="K43" s="20" t="s">
        <v>537</v>
      </c>
      <c r="L43" s="21" t="s">
        <v>33</v>
      </c>
      <c r="M43" s="21"/>
      <c r="N43" s="109">
        <v>46031.0</v>
      </c>
      <c r="O43" s="110" t="s">
        <v>538</v>
      </c>
      <c r="P43" s="110" t="s">
        <v>449</v>
      </c>
      <c r="Q43" s="111"/>
      <c r="R43" s="112"/>
      <c r="S43" s="21" t="s">
        <v>433</v>
      </c>
      <c r="T43" s="21" t="s">
        <v>434</v>
      </c>
      <c r="U43" s="113"/>
      <c r="V43" s="113"/>
      <c r="W43" s="113"/>
      <c r="X43" s="113"/>
      <c r="Y43" s="113"/>
      <c r="Z43" s="113"/>
      <c r="AA43" s="138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14"/>
      <c r="AO43" s="126"/>
      <c r="AP43" s="126"/>
      <c r="AQ43" s="126"/>
      <c r="AR43" s="126"/>
      <c r="AS43" s="126"/>
      <c r="AT43" s="13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  <c r="BE43" s="126"/>
      <c r="BF43" s="136"/>
      <c r="BG43" s="129">
        <v>220000.0</v>
      </c>
      <c r="BH43" s="114" t="s">
        <v>424</v>
      </c>
      <c r="BI43" s="126"/>
      <c r="BJ43" s="126"/>
      <c r="BK43" s="126"/>
      <c r="BL43" s="126"/>
      <c r="BM43" s="126"/>
      <c r="BN43" s="123">
        <f t="shared" si="1"/>
        <v>220000</v>
      </c>
      <c r="BO43" s="117">
        <v>0.0</v>
      </c>
      <c r="BP43" s="117">
        <v>0.0</v>
      </c>
      <c r="BQ43" s="118">
        <v>0.0</v>
      </c>
      <c r="BR43" s="119">
        <f t="shared" si="3"/>
        <v>220000</v>
      </c>
    </row>
    <row r="44" ht="27.0" customHeight="1">
      <c r="A44" s="12">
        <f t="shared" si="4"/>
        <v>42</v>
      </c>
      <c r="B44" s="71" t="s">
        <v>163</v>
      </c>
      <c r="C44" s="12" t="s">
        <v>128</v>
      </c>
      <c r="D44" s="16" t="s">
        <v>185</v>
      </c>
      <c r="E44" s="16" t="s">
        <v>185</v>
      </c>
      <c r="F44" s="15">
        <v>17409.0</v>
      </c>
      <c r="G44" s="16" t="s">
        <v>539</v>
      </c>
      <c r="H44" s="149" t="s">
        <v>539</v>
      </c>
      <c r="I44" s="16"/>
      <c r="J44" s="15" t="s">
        <v>420</v>
      </c>
      <c r="K44" s="20" t="s">
        <v>537</v>
      </c>
      <c r="L44" s="21" t="s">
        <v>33</v>
      </c>
      <c r="M44" s="21"/>
      <c r="N44" s="110" t="s">
        <v>540</v>
      </c>
      <c r="O44" s="110" t="s">
        <v>541</v>
      </c>
      <c r="P44" s="110" t="s">
        <v>449</v>
      </c>
      <c r="Q44" s="111"/>
      <c r="R44" s="112"/>
      <c r="S44" s="21" t="s">
        <v>433</v>
      </c>
      <c r="T44" s="21" t="s">
        <v>434</v>
      </c>
      <c r="U44" s="113"/>
      <c r="V44" s="113"/>
      <c r="W44" s="113"/>
      <c r="X44" s="113"/>
      <c r="Y44" s="113"/>
      <c r="Z44" s="113"/>
      <c r="AA44" s="138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14"/>
      <c r="AO44" s="126"/>
      <c r="AP44" s="126"/>
      <c r="AQ44" s="126"/>
      <c r="AR44" s="126"/>
      <c r="AS44" s="126"/>
      <c r="AT44" s="13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36"/>
      <c r="BG44" s="129">
        <v>220000.0</v>
      </c>
      <c r="BH44" s="114" t="s">
        <v>424</v>
      </c>
      <c r="BI44" s="126"/>
      <c r="BJ44" s="126"/>
      <c r="BK44" s="126"/>
      <c r="BL44" s="126"/>
      <c r="BM44" s="126"/>
      <c r="BN44" s="123">
        <f t="shared" si="1"/>
        <v>220000</v>
      </c>
      <c r="BO44" s="117">
        <v>0.0</v>
      </c>
      <c r="BP44" s="117">
        <v>0.0</v>
      </c>
      <c r="BQ44" s="118">
        <v>0.0</v>
      </c>
      <c r="BR44" s="119">
        <f t="shared" si="3"/>
        <v>220000</v>
      </c>
    </row>
    <row r="45" ht="27.0" customHeight="1">
      <c r="A45" s="12">
        <f t="shared" si="4"/>
        <v>43</v>
      </c>
      <c r="B45" s="71" t="s">
        <v>163</v>
      </c>
      <c r="C45" s="12" t="s">
        <v>128</v>
      </c>
      <c r="D45" s="16" t="s">
        <v>185</v>
      </c>
      <c r="E45" s="16" t="s">
        <v>185</v>
      </c>
      <c r="F45" s="15">
        <v>17725.0</v>
      </c>
      <c r="G45" s="16" t="s">
        <v>542</v>
      </c>
      <c r="H45" s="149" t="s">
        <v>543</v>
      </c>
      <c r="I45" s="16"/>
      <c r="J45" s="15" t="s">
        <v>420</v>
      </c>
      <c r="K45" s="20" t="s">
        <v>446</v>
      </c>
      <c r="L45" s="21" t="s">
        <v>33</v>
      </c>
      <c r="M45" s="21"/>
      <c r="N45" s="110" t="s">
        <v>544</v>
      </c>
      <c r="O45" s="110" t="s">
        <v>544</v>
      </c>
      <c r="P45" s="110" t="s">
        <v>449</v>
      </c>
      <c r="Q45" s="111"/>
      <c r="R45" s="112"/>
      <c r="S45" s="21" t="s">
        <v>433</v>
      </c>
      <c r="T45" s="21" t="s">
        <v>434</v>
      </c>
      <c r="U45" s="113"/>
      <c r="V45" s="113"/>
      <c r="W45" s="113"/>
      <c r="X45" s="113"/>
      <c r="Y45" s="113"/>
      <c r="Z45" s="113"/>
      <c r="AA45" s="138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14"/>
      <c r="AO45" s="126"/>
      <c r="AP45" s="126"/>
      <c r="AQ45" s="126"/>
      <c r="AR45" s="126"/>
      <c r="AS45" s="126"/>
      <c r="AT45" s="13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36"/>
      <c r="BG45" s="126"/>
      <c r="BH45" s="129">
        <v>120000.0</v>
      </c>
      <c r="BI45" s="114" t="s">
        <v>424</v>
      </c>
      <c r="BJ45" s="114"/>
      <c r="BK45" s="126"/>
      <c r="BL45" s="126"/>
      <c r="BM45" s="126"/>
      <c r="BN45" s="123">
        <f t="shared" si="1"/>
        <v>120000</v>
      </c>
      <c r="BO45" s="117">
        <v>0.0</v>
      </c>
      <c r="BP45" s="117">
        <v>0.0</v>
      </c>
      <c r="BQ45" s="118">
        <v>0.0</v>
      </c>
      <c r="BR45" s="119">
        <f t="shared" si="3"/>
        <v>120000</v>
      </c>
    </row>
    <row r="46" ht="27.0" customHeight="1">
      <c r="A46" s="12">
        <f t="shared" si="4"/>
        <v>44</v>
      </c>
      <c r="B46" s="71" t="s">
        <v>163</v>
      </c>
      <c r="C46" s="12" t="s">
        <v>128</v>
      </c>
      <c r="D46" s="16" t="s">
        <v>185</v>
      </c>
      <c r="E46" s="16" t="s">
        <v>185</v>
      </c>
      <c r="F46" s="15">
        <v>17818.0</v>
      </c>
      <c r="G46" s="16" t="s">
        <v>545</v>
      </c>
      <c r="H46" s="149" t="s">
        <v>545</v>
      </c>
      <c r="I46" s="16"/>
      <c r="J46" s="15" t="s">
        <v>546</v>
      </c>
      <c r="K46" s="20" t="s">
        <v>439</v>
      </c>
      <c r="L46" s="21" t="s">
        <v>33</v>
      </c>
      <c r="M46" s="21"/>
      <c r="N46" s="110" t="s">
        <v>547</v>
      </c>
      <c r="O46" s="110" t="s">
        <v>547</v>
      </c>
      <c r="P46" s="110" t="s">
        <v>470</v>
      </c>
      <c r="Q46" s="111"/>
      <c r="R46" s="112"/>
      <c r="S46" s="21" t="s">
        <v>433</v>
      </c>
      <c r="T46" s="21" t="s">
        <v>434</v>
      </c>
      <c r="U46" s="113"/>
      <c r="V46" s="113"/>
      <c r="W46" s="113"/>
      <c r="X46" s="113"/>
      <c r="Y46" s="113"/>
      <c r="Z46" s="113"/>
      <c r="AA46" s="138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14"/>
      <c r="AO46" s="126"/>
      <c r="AP46" s="126"/>
      <c r="AQ46" s="126"/>
      <c r="AR46" s="126"/>
      <c r="AS46" s="126"/>
      <c r="AT46" s="13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  <c r="BE46" s="126"/>
      <c r="BF46" s="136"/>
      <c r="BG46" s="126"/>
      <c r="BH46" s="129">
        <f>210000/2</f>
        <v>105000</v>
      </c>
      <c r="BI46" s="113" t="s">
        <v>128</v>
      </c>
      <c r="BJ46" s="113" t="s">
        <v>128</v>
      </c>
      <c r="BK46" s="113" t="s">
        <v>128</v>
      </c>
      <c r="BL46" s="113" t="s">
        <v>128</v>
      </c>
      <c r="BM46" s="113" t="s">
        <v>128</v>
      </c>
      <c r="BN46" s="123">
        <f t="shared" si="1"/>
        <v>105000</v>
      </c>
      <c r="BO46" s="117">
        <v>0.0</v>
      </c>
      <c r="BP46" s="117">
        <v>0.0</v>
      </c>
      <c r="BQ46" s="118">
        <v>0.0</v>
      </c>
      <c r="BR46" s="119">
        <f t="shared" si="3"/>
        <v>105000</v>
      </c>
    </row>
    <row r="47" ht="27.0" customHeight="1">
      <c r="A47" s="12">
        <f t="shared" si="4"/>
        <v>45</v>
      </c>
      <c r="B47" s="71" t="s">
        <v>163</v>
      </c>
      <c r="C47" s="12" t="s">
        <v>128</v>
      </c>
      <c r="D47" s="16" t="s">
        <v>185</v>
      </c>
      <c r="E47" s="16" t="s">
        <v>185</v>
      </c>
      <c r="F47" s="15">
        <v>17869.0</v>
      </c>
      <c r="G47" s="16" t="s">
        <v>548</v>
      </c>
      <c r="H47" s="149" t="s">
        <v>549</v>
      </c>
      <c r="I47" s="16"/>
      <c r="J47" s="15" t="s">
        <v>420</v>
      </c>
      <c r="K47" s="20" t="s">
        <v>537</v>
      </c>
      <c r="L47" s="21" t="s">
        <v>33</v>
      </c>
      <c r="M47" s="21"/>
      <c r="N47" s="110" t="s">
        <v>550</v>
      </c>
      <c r="O47" s="110" t="s">
        <v>551</v>
      </c>
      <c r="P47" s="110" t="s">
        <v>449</v>
      </c>
      <c r="Q47" s="111"/>
      <c r="R47" s="112"/>
      <c r="S47" s="21" t="s">
        <v>433</v>
      </c>
      <c r="T47" s="21" t="s">
        <v>434</v>
      </c>
      <c r="U47" s="113"/>
      <c r="V47" s="113"/>
      <c r="W47" s="113"/>
      <c r="X47" s="113"/>
      <c r="Y47" s="113"/>
      <c r="Z47" s="113"/>
      <c r="AA47" s="138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14"/>
      <c r="AO47" s="126"/>
      <c r="AP47" s="126"/>
      <c r="AQ47" s="126"/>
      <c r="AR47" s="126"/>
      <c r="AS47" s="126"/>
      <c r="AT47" s="13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  <c r="BE47" s="126"/>
      <c r="BF47" s="136"/>
      <c r="BG47" s="126"/>
      <c r="BH47" s="129">
        <v>220000.0</v>
      </c>
      <c r="BI47" s="114" t="s">
        <v>424</v>
      </c>
      <c r="BJ47" s="114"/>
      <c r="BK47" s="126"/>
      <c r="BL47" s="126"/>
      <c r="BM47" s="126"/>
      <c r="BN47" s="123">
        <f t="shared" si="1"/>
        <v>220000</v>
      </c>
      <c r="BO47" s="117">
        <v>0.0</v>
      </c>
      <c r="BP47" s="117">
        <v>0.0</v>
      </c>
      <c r="BQ47" s="118">
        <v>0.0</v>
      </c>
      <c r="BR47" s="119">
        <f t="shared" si="3"/>
        <v>220000</v>
      </c>
    </row>
    <row r="48" ht="27.0" customHeight="1">
      <c r="A48" s="12">
        <f t="shared" si="4"/>
        <v>46</v>
      </c>
      <c r="B48" s="71" t="s">
        <v>163</v>
      </c>
      <c r="C48" s="12" t="s">
        <v>128</v>
      </c>
      <c r="D48" s="16" t="s">
        <v>552</v>
      </c>
      <c r="E48" s="16" t="s">
        <v>173</v>
      </c>
      <c r="F48" s="108">
        <v>9230.0</v>
      </c>
      <c r="G48" s="16" t="s">
        <v>553</v>
      </c>
      <c r="H48" s="16" t="s">
        <v>554</v>
      </c>
      <c r="I48" s="16"/>
      <c r="J48" s="15" t="s">
        <v>420</v>
      </c>
      <c r="K48" s="20" t="s">
        <v>443</v>
      </c>
      <c r="L48" s="21" t="s">
        <v>33</v>
      </c>
      <c r="M48" s="21"/>
      <c r="N48" s="109">
        <v>45100.0</v>
      </c>
      <c r="O48" s="109">
        <v>45100.0</v>
      </c>
      <c r="P48" s="110" t="s">
        <v>422</v>
      </c>
      <c r="Q48" s="111">
        <v>45650.0</v>
      </c>
      <c r="R48" s="112"/>
      <c r="S48" s="21" t="s">
        <v>423</v>
      </c>
      <c r="T48" s="21"/>
      <c r="U48" s="113"/>
      <c r="V48" s="113"/>
      <c r="W48" s="113"/>
      <c r="X48" s="113"/>
      <c r="Y48" s="113"/>
      <c r="Z48" s="113"/>
      <c r="AA48" s="138"/>
      <c r="AB48" s="126">
        <v>12500.0</v>
      </c>
      <c r="AC48" s="126">
        <v>12500.0</v>
      </c>
      <c r="AD48" s="126">
        <v>12500.0</v>
      </c>
      <c r="AE48" s="126">
        <v>12500.0</v>
      </c>
      <c r="AF48" s="126">
        <v>12500.0</v>
      </c>
      <c r="AG48" s="126">
        <v>12500.0</v>
      </c>
      <c r="AH48" s="126">
        <v>12500.0</v>
      </c>
      <c r="AI48" s="126">
        <v>12500.0</v>
      </c>
      <c r="AJ48" s="126" t="s">
        <v>128</v>
      </c>
      <c r="AK48" s="126">
        <v>12500.0</v>
      </c>
      <c r="AL48" s="126">
        <v>12500.0</v>
      </c>
      <c r="AM48" s="126">
        <v>8333.0</v>
      </c>
      <c r="AN48" s="114" t="s">
        <v>424</v>
      </c>
      <c r="AO48" s="126"/>
      <c r="AP48" s="126"/>
      <c r="AQ48" s="126"/>
      <c r="AR48" s="126"/>
      <c r="AS48" s="126"/>
      <c r="AT48" s="13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36"/>
      <c r="BG48" s="126"/>
      <c r="BH48" s="126"/>
      <c r="BI48" s="126"/>
      <c r="BJ48" s="126"/>
      <c r="BK48" s="126"/>
      <c r="BL48" s="126"/>
      <c r="BM48" s="126"/>
      <c r="BN48" s="116">
        <f t="shared" si="1"/>
        <v>0</v>
      </c>
      <c r="BO48" s="117">
        <f>SUM(AB48:AM48)</f>
        <v>133333</v>
      </c>
      <c r="BP48" s="117">
        <v>0.0</v>
      </c>
      <c r="BQ48" s="118">
        <f>sum(U48:BH48)</f>
        <v>133333</v>
      </c>
      <c r="BR48" s="119">
        <f t="shared" si="3"/>
        <v>133333</v>
      </c>
    </row>
    <row r="49" ht="27.0" customHeight="1">
      <c r="A49" s="12">
        <f t="shared" si="4"/>
        <v>47</v>
      </c>
      <c r="B49" s="71" t="s">
        <v>163</v>
      </c>
      <c r="C49" s="12" t="s">
        <v>128</v>
      </c>
      <c r="D49" s="16" t="s">
        <v>552</v>
      </c>
      <c r="E49" s="16" t="s">
        <v>173</v>
      </c>
      <c r="F49" s="130" t="s">
        <v>555</v>
      </c>
      <c r="G49" s="16" t="s">
        <v>556</v>
      </c>
      <c r="H49" s="16" t="s">
        <v>557</v>
      </c>
      <c r="I49" s="16"/>
      <c r="J49" s="15" t="s">
        <v>420</v>
      </c>
      <c r="K49" s="20" t="s">
        <v>448</v>
      </c>
      <c r="L49" s="21" t="s">
        <v>33</v>
      </c>
      <c r="M49" s="21"/>
      <c r="N49" s="109">
        <v>45491.0</v>
      </c>
      <c r="O49" s="109">
        <v>45521.0</v>
      </c>
      <c r="P49" s="110" t="s">
        <v>512</v>
      </c>
      <c r="Q49" s="111"/>
      <c r="R49" s="112"/>
      <c r="S49" s="21" t="s">
        <v>433</v>
      </c>
      <c r="T49" s="21" t="s">
        <v>434</v>
      </c>
      <c r="U49" s="113"/>
      <c r="V49" s="113"/>
      <c r="W49" s="113"/>
      <c r="X49" s="113"/>
      <c r="Y49" s="113"/>
      <c r="Z49" s="113"/>
      <c r="AA49" s="138"/>
      <c r="AB49" s="126"/>
      <c r="AC49" s="126"/>
      <c r="AD49" s="126"/>
      <c r="AE49" s="126"/>
      <c r="AF49" s="126"/>
      <c r="AG49" s="126"/>
      <c r="AH49" s="126"/>
      <c r="AI49" s="144"/>
      <c r="AJ49" s="126"/>
      <c r="AK49" s="144"/>
      <c r="AL49" s="144"/>
      <c r="AM49" s="144">
        <v>12500.0</v>
      </c>
      <c r="AN49" s="144">
        <v>12500.0</v>
      </c>
      <c r="AO49" s="144">
        <v>12500.0</v>
      </c>
      <c r="AP49" s="126" t="s">
        <v>440</v>
      </c>
      <c r="AQ49" s="126" t="s">
        <v>440</v>
      </c>
      <c r="AR49" s="126" t="s">
        <v>440</v>
      </c>
      <c r="AS49" s="126" t="s">
        <v>440</v>
      </c>
      <c r="AT49" s="136" t="s">
        <v>440</v>
      </c>
      <c r="AU49" s="126" t="s">
        <v>440</v>
      </c>
      <c r="AV49" s="126" t="s">
        <v>440</v>
      </c>
      <c r="AW49" s="126" t="s">
        <v>440</v>
      </c>
      <c r="AX49" s="126" t="s">
        <v>440</v>
      </c>
      <c r="AY49" s="126" t="s">
        <v>440</v>
      </c>
      <c r="AZ49" s="126" t="s">
        <v>440</v>
      </c>
      <c r="BA49" s="126" t="s">
        <v>440</v>
      </c>
      <c r="BB49" s="126" t="s">
        <v>440</v>
      </c>
      <c r="BC49" s="126" t="s">
        <v>440</v>
      </c>
      <c r="BD49" s="126" t="s">
        <v>440</v>
      </c>
      <c r="BE49" s="126" t="s">
        <v>440</v>
      </c>
      <c r="BF49" s="136" t="s">
        <v>440</v>
      </c>
      <c r="BG49" s="126" t="s">
        <v>440</v>
      </c>
      <c r="BH49" s="144"/>
      <c r="BI49" s="144"/>
      <c r="BJ49" s="144"/>
      <c r="BK49" s="144"/>
      <c r="BL49" s="144"/>
      <c r="BM49" s="144"/>
      <c r="BN49" s="123">
        <f t="shared" si="1"/>
        <v>37500</v>
      </c>
      <c r="BO49" s="117">
        <v>0.0</v>
      </c>
      <c r="BP49" s="117">
        <v>0.0</v>
      </c>
      <c r="BQ49" s="118">
        <v>0.0</v>
      </c>
      <c r="BR49" s="119">
        <f t="shared" si="3"/>
        <v>37500</v>
      </c>
    </row>
    <row r="50" ht="27.0" customHeight="1">
      <c r="A50" s="12">
        <f t="shared" si="4"/>
        <v>48</v>
      </c>
      <c r="B50" s="71" t="s">
        <v>163</v>
      </c>
      <c r="C50" s="12" t="s">
        <v>128</v>
      </c>
      <c r="D50" s="16" t="s">
        <v>552</v>
      </c>
      <c r="E50" s="16" t="s">
        <v>173</v>
      </c>
      <c r="F50" s="122" t="s">
        <v>558</v>
      </c>
      <c r="G50" s="31" t="s">
        <v>559</v>
      </c>
      <c r="H50" s="155" t="s">
        <v>559</v>
      </c>
      <c r="I50" s="155"/>
      <c r="J50" s="15" t="s">
        <v>420</v>
      </c>
      <c r="K50" s="132" t="s">
        <v>421</v>
      </c>
      <c r="L50" s="21" t="s">
        <v>33</v>
      </c>
      <c r="M50" s="21"/>
      <c r="N50" s="109">
        <v>45446.0</v>
      </c>
      <c r="O50" s="109">
        <v>45448.0</v>
      </c>
      <c r="P50" s="110" t="s">
        <v>422</v>
      </c>
      <c r="Q50" s="111">
        <v>45650.0</v>
      </c>
      <c r="R50" s="112"/>
      <c r="S50" s="21" t="s">
        <v>423</v>
      </c>
      <c r="T50" s="21"/>
      <c r="U50" s="113"/>
      <c r="V50" s="113"/>
      <c r="W50" s="113"/>
      <c r="X50" s="113"/>
      <c r="Y50" s="113"/>
      <c r="Z50" s="113"/>
      <c r="AA50" s="138"/>
      <c r="AB50" s="126"/>
      <c r="AC50" s="126"/>
      <c r="AD50" s="126"/>
      <c r="AE50" s="126"/>
      <c r="AF50" s="126"/>
      <c r="AG50" s="126"/>
      <c r="AH50" s="126"/>
      <c r="AI50" s="144"/>
      <c r="AJ50" s="126"/>
      <c r="AK50" s="144"/>
      <c r="AL50" s="144"/>
      <c r="AM50" s="144"/>
      <c r="AN50" s="126">
        <v>150000.0</v>
      </c>
      <c r="AO50" s="114" t="s">
        <v>424</v>
      </c>
      <c r="AP50" s="113"/>
      <c r="AQ50" s="113"/>
      <c r="AR50" s="113"/>
      <c r="AS50" s="113"/>
      <c r="AT50" s="115"/>
      <c r="AU50" s="113"/>
      <c r="AV50" s="113"/>
      <c r="AW50" s="113"/>
      <c r="AX50" s="113"/>
      <c r="AY50" s="113"/>
      <c r="AZ50" s="113"/>
      <c r="BA50" s="113"/>
      <c r="BB50" s="113"/>
      <c r="BC50" s="113"/>
      <c r="BD50" s="113"/>
      <c r="BE50" s="113"/>
      <c r="BF50" s="115"/>
      <c r="BG50" s="113"/>
      <c r="BH50" s="113"/>
      <c r="BI50" s="113"/>
      <c r="BJ50" s="113"/>
      <c r="BK50" s="113"/>
      <c r="BL50" s="113"/>
      <c r="BM50" s="113"/>
      <c r="BN50" s="116">
        <f t="shared" si="1"/>
        <v>0</v>
      </c>
      <c r="BO50" s="117">
        <f>SUM(AN50)</f>
        <v>150000</v>
      </c>
      <c r="BP50" s="117">
        <v>0.0</v>
      </c>
      <c r="BQ50" s="118">
        <f t="shared" ref="BQ50:BQ52" si="12">sum(U50:BH50)</f>
        <v>150000</v>
      </c>
      <c r="BR50" s="119">
        <f t="shared" si="3"/>
        <v>150000</v>
      </c>
    </row>
    <row r="51" ht="27.0" customHeight="1">
      <c r="A51" s="12">
        <f t="shared" si="4"/>
        <v>49</v>
      </c>
      <c r="B51" s="71" t="s">
        <v>163</v>
      </c>
      <c r="C51" s="12" t="s">
        <v>128</v>
      </c>
      <c r="D51" s="16" t="s">
        <v>172</v>
      </c>
      <c r="E51" s="16" t="s">
        <v>180</v>
      </c>
      <c r="F51" s="124">
        <v>10218.0</v>
      </c>
      <c r="G51" s="30" t="s">
        <v>560</v>
      </c>
      <c r="H51" s="16" t="s">
        <v>561</v>
      </c>
      <c r="I51" s="16"/>
      <c r="J51" s="15" t="s">
        <v>420</v>
      </c>
      <c r="K51" s="20" t="s">
        <v>448</v>
      </c>
      <c r="L51" s="21" t="s">
        <v>33</v>
      </c>
      <c r="M51" s="21"/>
      <c r="N51" s="109">
        <v>45196.0</v>
      </c>
      <c r="O51" s="109">
        <v>45196.0</v>
      </c>
      <c r="P51" s="110" t="s">
        <v>422</v>
      </c>
      <c r="Q51" s="111">
        <v>45649.0</v>
      </c>
      <c r="R51" s="112"/>
      <c r="S51" s="21" t="s">
        <v>423</v>
      </c>
      <c r="T51" s="21"/>
      <c r="U51" s="113"/>
      <c r="V51" s="113"/>
      <c r="W51" s="113"/>
      <c r="X51" s="113"/>
      <c r="Y51" s="113"/>
      <c r="Z51" s="113"/>
      <c r="AA51" s="138"/>
      <c r="AB51" s="146"/>
      <c r="AC51" s="138"/>
      <c r="AD51" s="138"/>
      <c r="AE51" s="126">
        <v>12500.0</v>
      </c>
      <c r="AF51" s="126" t="s">
        <v>128</v>
      </c>
      <c r="AG51" s="126">
        <v>12500.0</v>
      </c>
      <c r="AH51" s="126">
        <v>12500.0</v>
      </c>
      <c r="AI51" s="126">
        <v>12500.0</v>
      </c>
      <c r="AJ51" s="126">
        <v>12500.0</v>
      </c>
      <c r="AK51" s="126">
        <v>12500.0</v>
      </c>
      <c r="AL51" s="126">
        <v>12500.0</v>
      </c>
      <c r="AM51" s="126">
        <v>12500.0</v>
      </c>
      <c r="AN51" s="126">
        <v>12500.0</v>
      </c>
      <c r="AO51" s="126">
        <v>12500.0</v>
      </c>
      <c r="AP51" s="126">
        <v>12500.0</v>
      </c>
      <c r="AQ51" s="126">
        <v>12500.0</v>
      </c>
      <c r="AR51" s="114" t="s">
        <v>424</v>
      </c>
      <c r="AS51" s="144"/>
      <c r="AT51" s="147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7"/>
      <c r="BG51" s="144"/>
      <c r="BH51" s="144"/>
      <c r="BI51" s="144"/>
      <c r="BJ51" s="144"/>
      <c r="BK51" s="144"/>
      <c r="BL51" s="144"/>
      <c r="BM51" s="144"/>
      <c r="BN51" s="116">
        <f t="shared" si="1"/>
        <v>0</v>
      </c>
      <c r="BO51" s="117">
        <f t="shared" ref="BO51:BO52" si="13">SUM(AE51:AQ51)</f>
        <v>150000</v>
      </c>
      <c r="BP51" s="117">
        <v>0.0</v>
      </c>
      <c r="BQ51" s="118">
        <f t="shared" si="12"/>
        <v>150000</v>
      </c>
      <c r="BR51" s="119">
        <f t="shared" si="3"/>
        <v>150000</v>
      </c>
    </row>
    <row r="52" ht="27.0" customHeight="1">
      <c r="A52" s="12">
        <f t="shared" si="4"/>
        <v>50</v>
      </c>
      <c r="B52" s="71" t="s">
        <v>163</v>
      </c>
      <c r="C52" s="12" t="s">
        <v>128</v>
      </c>
      <c r="D52" s="16" t="s">
        <v>172</v>
      </c>
      <c r="E52" s="16" t="s">
        <v>180</v>
      </c>
      <c r="F52" s="108">
        <v>10378.0</v>
      </c>
      <c r="G52" s="30" t="s">
        <v>562</v>
      </c>
      <c r="H52" s="16" t="s">
        <v>562</v>
      </c>
      <c r="I52" s="16"/>
      <c r="J52" s="15" t="s">
        <v>420</v>
      </c>
      <c r="K52" s="20" t="s">
        <v>443</v>
      </c>
      <c r="L52" s="21" t="s">
        <v>33</v>
      </c>
      <c r="M52" s="21"/>
      <c r="N52" s="109">
        <v>45212.0</v>
      </c>
      <c r="O52" s="109">
        <v>45212.0</v>
      </c>
      <c r="P52" s="110" t="s">
        <v>422</v>
      </c>
      <c r="Q52" s="111">
        <v>45649.0</v>
      </c>
      <c r="R52" s="112"/>
      <c r="S52" s="21" t="s">
        <v>423</v>
      </c>
      <c r="T52" s="21"/>
      <c r="U52" s="113"/>
      <c r="V52" s="113"/>
      <c r="W52" s="113"/>
      <c r="X52" s="113"/>
      <c r="Y52" s="113"/>
      <c r="Z52" s="113"/>
      <c r="AA52" s="138"/>
      <c r="AB52" s="146"/>
      <c r="AC52" s="138"/>
      <c r="AD52" s="138"/>
      <c r="AE52" s="156"/>
      <c r="AF52" s="126">
        <v>8333.0</v>
      </c>
      <c r="AG52" s="126">
        <v>8333.0</v>
      </c>
      <c r="AH52" s="126">
        <v>8333.0</v>
      </c>
      <c r="AI52" s="126">
        <v>8333.0</v>
      </c>
      <c r="AJ52" s="126">
        <v>8333.0</v>
      </c>
      <c r="AK52" s="126">
        <v>8333.0</v>
      </c>
      <c r="AL52" s="126">
        <v>8333.0</v>
      </c>
      <c r="AM52" s="126">
        <v>8333.0</v>
      </c>
      <c r="AN52" s="126">
        <v>8333.0</v>
      </c>
      <c r="AO52" s="126">
        <v>8333.0</v>
      </c>
      <c r="AP52" s="126">
        <v>8333.0</v>
      </c>
      <c r="AQ52" s="126">
        <v>8333.0</v>
      </c>
      <c r="AR52" s="114" t="s">
        <v>424</v>
      </c>
      <c r="AS52" s="114"/>
      <c r="AT52" s="121"/>
      <c r="AU52" s="114"/>
      <c r="AV52" s="114"/>
      <c r="AW52" s="114"/>
      <c r="AX52" s="114"/>
      <c r="AY52" s="114"/>
      <c r="AZ52" s="114"/>
      <c r="BA52" s="114"/>
      <c r="BB52" s="114"/>
      <c r="BC52" s="114"/>
      <c r="BD52" s="114"/>
      <c r="BE52" s="114"/>
      <c r="BF52" s="121"/>
      <c r="BG52" s="114"/>
      <c r="BH52" s="114"/>
      <c r="BI52" s="114"/>
      <c r="BJ52" s="114"/>
      <c r="BK52" s="114"/>
      <c r="BL52" s="114"/>
      <c r="BM52" s="114"/>
      <c r="BN52" s="116">
        <f t="shared" si="1"/>
        <v>0</v>
      </c>
      <c r="BO52" s="117">
        <f t="shared" si="13"/>
        <v>99996</v>
      </c>
      <c r="BP52" s="117">
        <v>0.0</v>
      </c>
      <c r="BQ52" s="118">
        <f t="shared" si="12"/>
        <v>99996</v>
      </c>
      <c r="BR52" s="119">
        <f t="shared" si="3"/>
        <v>99996</v>
      </c>
    </row>
    <row r="53" ht="27.0" customHeight="1">
      <c r="A53" s="12">
        <f t="shared" si="4"/>
        <v>51</v>
      </c>
      <c r="B53" s="71" t="s">
        <v>163</v>
      </c>
      <c r="C53" s="12" t="s">
        <v>128</v>
      </c>
      <c r="D53" s="16" t="s">
        <v>172</v>
      </c>
      <c r="E53" s="16" t="s">
        <v>180</v>
      </c>
      <c r="F53" s="124">
        <v>10931.0</v>
      </c>
      <c r="G53" s="30" t="s">
        <v>563</v>
      </c>
      <c r="H53" s="30" t="s">
        <v>564</v>
      </c>
      <c r="I53" s="30"/>
      <c r="J53" s="15" t="s">
        <v>420</v>
      </c>
      <c r="K53" s="20" t="s">
        <v>443</v>
      </c>
      <c r="L53" s="21" t="s">
        <v>33</v>
      </c>
      <c r="M53" s="21"/>
      <c r="N53" s="109">
        <v>45304.0</v>
      </c>
      <c r="O53" s="109">
        <v>45304.0</v>
      </c>
      <c r="P53" s="110" t="s">
        <v>422</v>
      </c>
      <c r="Q53" s="111">
        <v>45649.0</v>
      </c>
      <c r="R53" s="112"/>
      <c r="S53" s="21" t="s">
        <v>450</v>
      </c>
      <c r="T53" s="21" t="s">
        <v>434</v>
      </c>
      <c r="U53" s="113"/>
      <c r="V53" s="113"/>
      <c r="W53" s="113"/>
      <c r="X53" s="113"/>
      <c r="Y53" s="113"/>
      <c r="Z53" s="113"/>
      <c r="AA53" s="138"/>
      <c r="AB53" s="146"/>
      <c r="AC53" s="138"/>
      <c r="AD53" s="138"/>
      <c r="AE53" s="146"/>
      <c r="AF53" s="146"/>
      <c r="AG53" s="146"/>
      <c r="AH53" s="138"/>
      <c r="AI53" s="126">
        <v>8333.0</v>
      </c>
      <c r="AJ53" s="126">
        <v>8333.0</v>
      </c>
      <c r="AK53" s="126">
        <v>8333.0</v>
      </c>
      <c r="AL53" s="126">
        <v>8333.0</v>
      </c>
      <c r="AM53" s="126">
        <v>8333.0</v>
      </c>
      <c r="AN53" s="126">
        <v>8333.0</v>
      </c>
      <c r="AO53" s="144">
        <v>8333.0</v>
      </c>
      <c r="AP53" s="144">
        <v>8333.0</v>
      </c>
      <c r="AQ53" s="144">
        <v>8333.0</v>
      </c>
      <c r="AR53" s="126" t="s">
        <v>440</v>
      </c>
      <c r="AS53" s="144">
        <v>8333.0</v>
      </c>
      <c r="AT53" s="147">
        <v>8333.0</v>
      </c>
      <c r="AU53" s="114" t="s">
        <v>424</v>
      </c>
      <c r="AV53" s="114"/>
      <c r="AW53" s="114"/>
      <c r="AX53" s="114"/>
      <c r="AY53" s="114"/>
      <c r="AZ53" s="114"/>
      <c r="BA53" s="114"/>
      <c r="BB53" s="114"/>
      <c r="BC53" s="114"/>
      <c r="BD53" s="114"/>
      <c r="BE53" s="114"/>
      <c r="BF53" s="121"/>
      <c r="BG53" s="114"/>
      <c r="BH53" s="114"/>
      <c r="BI53" s="114"/>
      <c r="BJ53" s="114"/>
      <c r="BK53" s="114"/>
      <c r="BL53" s="114"/>
      <c r="BM53" s="114"/>
      <c r="BN53" s="123">
        <f t="shared" si="1"/>
        <v>41665</v>
      </c>
      <c r="BO53" s="117">
        <f t="shared" ref="BO53:BO54" si="14">SUM(AI53:AN53)</f>
        <v>49998</v>
      </c>
      <c r="BP53" s="117">
        <v>0.0</v>
      </c>
      <c r="BQ53" s="118">
        <f t="shared" ref="BQ53:BQ54" si="15">sum(AI53:AN53)</f>
        <v>49998</v>
      </c>
      <c r="BR53" s="119">
        <f t="shared" si="3"/>
        <v>91663</v>
      </c>
    </row>
    <row r="54" ht="27.0" customHeight="1">
      <c r="A54" s="12">
        <f t="shared" si="4"/>
        <v>52</v>
      </c>
      <c r="B54" s="71" t="s">
        <v>163</v>
      </c>
      <c r="C54" s="12" t="s">
        <v>128</v>
      </c>
      <c r="D54" s="16" t="s">
        <v>172</v>
      </c>
      <c r="E54" s="16" t="s">
        <v>180</v>
      </c>
      <c r="F54" s="124">
        <v>10964.0</v>
      </c>
      <c r="G54" s="30" t="s">
        <v>565</v>
      </c>
      <c r="H54" s="30" t="s">
        <v>566</v>
      </c>
      <c r="I54" s="30"/>
      <c r="J54" s="15" t="s">
        <v>420</v>
      </c>
      <c r="K54" s="20" t="s">
        <v>443</v>
      </c>
      <c r="L54" s="21" t="s">
        <v>33</v>
      </c>
      <c r="M54" s="21"/>
      <c r="N54" s="109">
        <v>45305.0</v>
      </c>
      <c r="O54" s="109">
        <v>45307.0</v>
      </c>
      <c r="P54" s="110" t="s">
        <v>422</v>
      </c>
      <c r="Q54" s="111">
        <v>45649.0</v>
      </c>
      <c r="R54" s="112"/>
      <c r="S54" s="21" t="s">
        <v>450</v>
      </c>
      <c r="T54" s="21" t="s">
        <v>434</v>
      </c>
      <c r="U54" s="113"/>
      <c r="V54" s="113"/>
      <c r="W54" s="113"/>
      <c r="X54" s="113"/>
      <c r="Y54" s="113"/>
      <c r="Z54" s="113"/>
      <c r="AA54" s="138"/>
      <c r="AB54" s="146"/>
      <c r="AC54" s="138"/>
      <c r="AD54" s="138"/>
      <c r="AE54" s="146"/>
      <c r="AF54" s="146"/>
      <c r="AG54" s="146"/>
      <c r="AH54" s="138"/>
      <c r="AI54" s="126">
        <v>8333.0</v>
      </c>
      <c r="AJ54" s="126">
        <v>8333.0</v>
      </c>
      <c r="AK54" s="126">
        <v>8333.0</v>
      </c>
      <c r="AL54" s="126">
        <v>8333.0</v>
      </c>
      <c r="AM54" s="126">
        <v>8333.0</v>
      </c>
      <c r="AN54" s="126">
        <v>8333.0</v>
      </c>
      <c r="AO54" s="144">
        <v>8333.0</v>
      </c>
      <c r="AP54" s="144">
        <v>8333.0</v>
      </c>
      <c r="AQ54" s="144">
        <v>8333.0</v>
      </c>
      <c r="AR54" s="144">
        <v>8333.0</v>
      </c>
      <c r="AS54" s="144">
        <v>8333.0</v>
      </c>
      <c r="AT54" s="147">
        <v>8333.0</v>
      </c>
      <c r="AU54" s="114" t="s">
        <v>424</v>
      </c>
      <c r="AV54" s="114"/>
      <c r="AW54" s="114"/>
      <c r="AX54" s="114"/>
      <c r="AY54" s="114"/>
      <c r="AZ54" s="114"/>
      <c r="BA54" s="114"/>
      <c r="BB54" s="114"/>
      <c r="BC54" s="114"/>
      <c r="BD54" s="114"/>
      <c r="BE54" s="114"/>
      <c r="BF54" s="121"/>
      <c r="BG54" s="114"/>
      <c r="BH54" s="114"/>
      <c r="BI54" s="114"/>
      <c r="BJ54" s="114"/>
      <c r="BK54" s="114"/>
      <c r="BL54" s="114"/>
      <c r="BM54" s="114"/>
      <c r="BN54" s="123">
        <f t="shared" si="1"/>
        <v>49998</v>
      </c>
      <c r="BO54" s="117">
        <f t="shared" si="14"/>
        <v>49998</v>
      </c>
      <c r="BP54" s="117">
        <v>0.0</v>
      </c>
      <c r="BQ54" s="118">
        <f t="shared" si="15"/>
        <v>49998</v>
      </c>
      <c r="BR54" s="119">
        <f t="shared" si="3"/>
        <v>99996</v>
      </c>
    </row>
    <row r="55" ht="27.0" customHeight="1">
      <c r="A55" s="12">
        <f t="shared" si="4"/>
        <v>53</v>
      </c>
      <c r="B55" s="71" t="s">
        <v>163</v>
      </c>
      <c r="C55" s="12" t="s">
        <v>128</v>
      </c>
      <c r="D55" s="16" t="s">
        <v>172</v>
      </c>
      <c r="E55" s="16" t="s">
        <v>180</v>
      </c>
      <c r="F55" s="124">
        <v>11154.0</v>
      </c>
      <c r="G55" s="30" t="s">
        <v>567</v>
      </c>
      <c r="H55" s="30" t="s">
        <v>568</v>
      </c>
      <c r="I55" s="30"/>
      <c r="J55" s="15" t="s">
        <v>420</v>
      </c>
      <c r="K55" s="20" t="s">
        <v>443</v>
      </c>
      <c r="L55" s="21" t="s">
        <v>33</v>
      </c>
      <c r="M55" s="21"/>
      <c r="N55" s="109">
        <v>45327.0</v>
      </c>
      <c r="O55" s="109">
        <v>45327.0</v>
      </c>
      <c r="P55" s="110" t="s">
        <v>422</v>
      </c>
      <c r="Q55" s="111">
        <v>45649.0</v>
      </c>
      <c r="R55" s="112"/>
      <c r="S55" s="21" t="s">
        <v>450</v>
      </c>
      <c r="T55" s="21" t="s">
        <v>434</v>
      </c>
      <c r="U55" s="113"/>
      <c r="V55" s="113"/>
      <c r="W55" s="113"/>
      <c r="X55" s="113"/>
      <c r="Y55" s="113"/>
      <c r="Z55" s="113"/>
      <c r="AA55" s="138"/>
      <c r="AB55" s="146"/>
      <c r="AC55" s="138"/>
      <c r="AD55" s="138"/>
      <c r="AE55" s="146"/>
      <c r="AF55" s="146"/>
      <c r="AG55" s="146"/>
      <c r="AH55" s="138"/>
      <c r="AI55" s="146"/>
      <c r="AJ55" s="126">
        <v>8333.0</v>
      </c>
      <c r="AK55" s="126">
        <v>8333.0</v>
      </c>
      <c r="AL55" s="126">
        <v>8333.0</v>
      </c>
      <c r="AM55" s="126">
        <v>8333.0</v>
      </c>
      <c r="AN55" s="126">
        <v>8333.0</v>
      </c>
      <c r="AO55" s="126">
        <v>8333.0</v>
      </c>
      <c r="AP55" s="144">
        <v>8333.0</v>
      </c>
      <c r="AQ55" s="144">
        <v>8333.0</v>
      </c>
      <c r="AR55" s="144">
        <v>8333.0</v>
      </c>
      <c r="AS55" s="144">
        <v>8333.0</v>
      </c>
      <c r="AT55" s="147">
        <v>8333.0</v>
      </c>
      <c r="AU55" s="144">
        <v>8333.0</v>
      </c>
      <c r="AV55" s="114" t="s">
        <v>424</v>
      </c>
      <c r="AW55" s="144"/>
      <c r="AX55" s="144"/>
      <c r="AY55" s="144"/>
      <c r="AZ55" s="144"/>
      <c r="BA55" s="144"/>
      <c r="BB55" s="144"/>
      <c r="BC55" s="144"/>
      <c r="BD55" s="144"/>
      <c r="BE55" s="144"/>
      <c r="BF55" s="147"/>
      <c r="BG55" s="144"/>
      <c r="BH55" s="144"/>
      <c r="BI55" s="144"/>
      <c r="BJ55" s="144"/>
      <c r="BK55" s="144"/>
      <c r="BL55" s="144"/>
      <c r="BM55" s="144"/>
      <c r="BN55" s="123">
        <f t="shared" si="1"/>
        <v>49998</v>
      </c>
      <c r="BO55" s="117">
        <f>SUM(AJ55:AO55)</f>
        <v>49998</v>
      </c>
      <c r="BP55" s="117">
        <v>0.0</v>
      </c>
      <c r="BQ55" s="118">
        <f>sum(AJ55:AO55)</f>
        <v>49998</v>
      </c>
      <c r="BR55" s="119">
        <f t="shared" si="3"/>
        <v>99996</v>
      </c>
    </row>
    <row r="56" ht="27.0" customHeight="1">
      <c r="A56" s="12">
        <f t="shared" si="4"/>
        <v>54</v>
      </c>
      <c r="B56" s="71" t="s">
        <v>163</v>
      </c>
      <c r="C56" s="12" t="s">
        <v>128</v>
      </c>
      <c r="D56" s="16" t="s">
        <v>172</v>
      </c>
      <c r="E56" s="16" t="s">
        <v>180</v>
      </c>
      <c r="F56" s="124">
        <v>11492.0</v>
      </c>
      <c r="G56" s="40" t="s">
        <v>569</v>
      </c>
      <c r="H56" s="30" t="s">
        <v>570</v>
      </c>
      <c r="I56" s="30"/>
      <c r="J56" s="15" t="s">
        <v>420</v>
      </c>
      <c r="K56" s="20" t="s">
        <v>421</v>
      </c>
      <c r="L56" s="21" t="s">
        <v>33</v>
      </c>
      <c r="M56" s="21"/>
      <c r="N56" s="109">
        <v>45355.0</v>
      </c>
      <c r="O56" s="109">
        <v>45737.0</v>
      </c>
      <c r="P56" s="110" t="s">
        <v>422</v>
      </c>
      <c r="Q56" s="111">
        <v>45649.0</v>
      </c>
      <c r="R56" s="112"/>
      <c r="S56" s="21" t="s">
        <v>423</v>
      </c>
      <c r="T56" s="21"/>
      <c r="U56" s="113"/>
      <c r="V56" s="113"/>
      <c r="W56" s="113"/>
      <c r="X56" s="113"/>
      <c r="Y56" s="113"/>
      <c r="Z56" s="113"/>
      <c r="AA56" s="138"/>
      <c r="AB56" s="146"/>
      <c r="AC56" s="138"/>
      <c r="AD56" s="138"/>
      <c r="AE56" s="146"/>
      <c r="AF56" s="146"/>
      <c r="AG56" s="146"/>
      <c r="AH56" s="138"/>
      <c r="AI56" s="146"/>
      <c r="AJ56" s="146"/>
      <c r="AK56" s="126">
        <v>150000.0</v>
      </c>
      <c r="AL56" s="114" t="s">
        <v>424</v>
      </c>
      <c r="AM56" s="113"/>
      <c r="AN56" s="113"/>
      <c r="AO56" s="113"/>
      <c r="AP56" s="113"/>
      <c r="AQ56" s="113"/>
      <c r="AR56" s="113"/>
      <c r="AS56" s="113"/>
      <c r="AT56" s="115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5"/>
      <c r="BG56" s="113"/>
      <c r="BH56" s="113"/>
      <c r="BI56" s="113"/>
      <c r="BJ56" s="113"/>
      <c r="BK56" s="113"/>
      <c r="BL56" s="113"/>
      <c r="BM56" s="113"/>
      <c r="BN56" s="116">
        <f t="shared" si="1"/>
        <v>0</v>
      </c>
      <c r="BO56" s="117">
        <f>SUM(AK56)</f>
        <v>150000</v>
      </c>
      <c r="BP56" s="117">
        <v>0.0</v>
      </c>
      <c r="BQ56" s="118">
        <f t="shared" ref="BQ56:BQ69" si="16">sum(U56:BH56)</f>
        <v>150000</v>
      </c>
      <c r="BR56" s="119">
        <f t="shared" si="3"/>
        <v>150000</v>
      </c>
    </row>
    <row r="57" ht="27.0" customHeight="1">
      <c r="A57" s="12">
        <f t="shared" si="4"/>
        <v>55</v>
      </c>
      <c r="B57" s="71" t="s">
        <v>163</v>
      </c>
      <c r="C57" s="12" t="s">
        <v>128</v>
      </c>
      <c r="D57" s="38" t="s">
        <v>194</v>
      </c>
      <c r="E57" s="157" t="s">
        <v>195</v>
      </c>
      <c r="F57" s="124">
        <v>8159.0</v>
      </c>
      <c r="G57" s="40" t="s">
        <v>571</v>
      </c>
      <c r="H57" s="30" t="s">
        <v>572</v>
      </c>
      <c r="I57" s="30"/>
      <c r="J57" s="15" t="s">
        <v>420</v>
      </c>
      <c r="K57" s="20" t="s">
        <v>443</v>
      </c>
      <c r="L57" s="21" t="s">
        <v>33</v>
      </c>
      <c r="M57" s="21"/>
      <c r="N57" s="109">
        <v>44965.0</v>
      </c>
      <c r="O57" s="109">
        <v>44965.0</v>
      </c>
      <c r="P57" s="110" t="s">
        <v>422</v>
      </c>
      <c r="Q57" s="111"/>
      <c r="R57" s="112">
        <v>45552.0</v>
      </c>
      <c r="S57" s="21" t="s">
        <v>423</v>
      </c>
      <c r="T57" s="21"/>
      <c r="U57" s="113"/>
      <c r="V57" s="113"/>
      <c r="W57" s="113"/>
      <c r="X57" s="114">
        <v>8333.0</v>
      </c>
      <c r="Y57" s="114">
        <v>8333.0</v>
      </c>
      <c r="Z57" s="114">
        <v>8333.0</v>
      </c>
      <c r="AA57" s="114">
        <v>8333.0</v>
      </c>
      <c r="AB57" s="114">
        <v>8333.0</v>
      </c>
      <c r="AC57" s="114">
        <v>8333.0</v>
      </c>
      <c r="AD57" s="114">
        <v>8333.0</v>
      </c>
      <c r="AE57" s="114">
        <v>8333.0</v>
      </c>
      <c r="AF57" s="114">
        <v>8333.0</v>
      </c>
      <c r="AG57" s="114">
        <v>8333.0</v>
      </c>
      <c r="AH57" s="114">
        <v>8333.0</v>
      </c>
      <c r="AI57" s="114">
        <v>8333.0</v>
      </c>
      <c r="AJ57" s="114" t="s">
        <v>424</v>
      </c>
      <c r="AK57" s="138"/>
      <c r="AL57" s="138"/>
      <c r="AM57" s="138"/>
      <c r="AN57" s="138"/>
      <c r="AO57" s="138"/>
      <c r="AP57" s="138"/>
      <c r="AQ57" s="138"/>
      <c r="AR57" s="138"/>
      <c r="AS57" s="138"/>
      <c r="AT57" s="158"/>
      <c r="AU57" s="138"/>
      <c r="AV57" s="138"/>
      <c r="AW57" s="138"/>
      <c r="AX57" s="138"/>
      <c r="AY57" s="138"/>
      <c r="AZ57" s="138"/>
      <c r="BA57" s="138"/>
      <c r="BB57" s="138"/>
      <c r="BC57" s="138"/>
      <c r="BD57" s="138"/>
      <c r="BE57" s="138"/>
      <c r="BF57" s="158"/>
      <c r="BG57" s="138"/>
      <c r="BH57" s="138"/>
      <c r="BI57" s="138"/>
      <c r="BJ57" s="138"/>
      <c r="BK57" s="138"/>
      <c r="BL57" s="138"/>
      <c r="BM57" s="138"/>
      <c r="BN57" s="116">
        <f t="shared" si="1"/>
        <v>0</v>
      </c>
      <c r="BO57" s="117">
        <f>sum(X57:AH57)</f>
        <v>91663</v>
      </c>
      <c r="BP57" s="117">
        <f>AI57</f>
        <v>8333</v>
      </c>
      <c r="BQ57" s="118">
        <f t="shared" si="16"/>
        <v>99996</v>
      </c>
      <c r="BR57" s="119">
        <f t="shared" si="3"/>
        <v>99996</v>
      </c>
    </row>
    <row r="58" ht="27.0" customHeight="1">
      <c r="A58" s="12">
        <f t="shared" si="4"/>
        <v>56</v>
      </c>
      <c r="B58" s="71" t="s">
        <v>163</v>
      </c>
      <c r="C58" s="12" t="s">
        <v>128</v>
      </c>
      <c r="D58" s="38" t="s">
        <v>194</v>
      </c>
      <c r="E58" s="157" t="s">
        <v>195</v>
      </c>
      <c r="F58" s="124">
        <v>8460.0</v>
      </c>
      <c r="G58" s="40" t="s">
        <v>573</v>
      </c>
      <c r="H58" s="30" t="s">
        <v>574</v>
      </c>
      <c r="I58" s="30"/>
      <c r="J58" s="15" t="s">
        <v>420</v>
      </c>
      <c r="K58" s="20" t="s">
        <v>443</v>
      </c>
      <c r="L58" s="21" t="s">
        <v>33</v>
      </c>
      <c r="M58" s="21"/>
      <c r="N58" s="109">
        <v>44988.0</v>
      </c>
      <c r="O58" s="109">
        <v>45001.0</v>
      </c>
      <c r="P58" s="110" t="s">
        <v>422</v>
      </c>
      <c r="Q58" s="111"/>
      <c r="R58" s="112"/>
      <c r="S58" s="21" t="s">
        <v>423</v>
      </c>
      <c r="T58" s="21"/>
      <c r="U58" s="113"/>
      <c r="V58" s="113"/>
      <c r="W58" s="113"/>
      <c r="X58" s="138"/>
      <c r="Y58" s="114">
        <v>8333.0</v>
      </c>
      <c r="Z58" s="114">
        <v>8333.0</v>
      </c>
      <c r="AA58" s="114">
        <v>8333.0</v>
      </c>
      <c r="AB58" s="126" t="s">
        <v>440</v>
      </c>
      <c r="AC58" s="114" t="s">
        <v>440</v>
      </c>
      <c r="AD58" s="114" t="s">
        <v>440</v>
      </c>
      <c r="AE58" s="159" t="s">
        <v>440</v>
      </c>
      <c r="AF58" s="159" t="s">
        <v>440</v>
      </c>
      <c r="AG58" s="159" t="s">
        <v>440</v>
      </c>
      <c r="AH58" s="159" t="s">
        <v>440</v>
      </c>
      <c r="AI58" s="159" t="s">
        <v>440</v>
      </c>
      <c r="AJ58" s="159" t="s">
        <v>440</v>
      </c>
      <c r="AK58" s="159" t="s">
        <v>424</v>
      </c>
      <c r="AL58" s="125"/>
      <c r="AM58" s="125"/>
      <c r="AN58" s="125"/>
      <c r="AO58" s="125"/>
      <c r="AP58" s="125"/>
      <c r="AQ58" s="125"/>
      <c r="AR58" s="125"/>
      <c r="AS58" s="125"/>
      <c r="AT58" s="160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60"/>
      <c r="BG58" s="125"/>
      <c r="BH58" s="125"/>
      <c r="BI58" s="125"/>
      <c r="BJ58" s="125"/>
      <c r="BK58" s="125"/>
      <c r="BL58" s="125"/>
      <c r="BM58" s="125"/>
      <c r="BN58" s="116">
        <f t="shared" si="1"/>
        <v>0</v>
      </c>
      <c r="BO58" s="117">
        <v>0.0</v>
      </c>
      <c r="BP58" s="117">
        <v>0.0</v>
      </c>
      <c r="BQ58" s="118">
        <f t="shared" si="16"/>
        <v>24999</v>
      </c>
      <c r="BR58" s="119">
        <f t="shared" si="3"/>
        <v>24999</v>
      </c>
    </row>
    <row r="59" ht="27.0" customHeight="1">
      <c r="A59" s="12">
        <f t="shared" si="4"/>
        <v>57</v>
      </c>
      <c r="B59" s="71" t="s">
        <v>163</v>
      </c>
      <c r="C59" s="12" t="s">
        <v>128</v>
      </c>
      <c r="D59" s="38" t="s">
        <v>194</v>
      </c>
      <c r="E59" s="157" t="s">
        <v>195</v>
      </c>
      <c r="F59" s="124">
        <v>8555.0</v>
      </c>
      <c r="G59" s="40" t="s">
        <v>129</v>
      </c>
      <c r="H59" s="69" t="s">
        <v>130</v>
      </c>
      <c r="I59" s="69"/>
      <c r="J59" s="15" t="s">
        <v>420</v>
      </c>
      <c r="K59" s="161" t="s">
        <v>421</v>
      </c>
      <c r="L59" s="21" t="s">
        <v>33</v>
      </c>
      <c r="M59" s="120" t="s">
        <v>494</v>
      </c>
      <c r="N59" s="109">
        <v>45006.0</v>
      </c>
      <c r="O59" s="109">
        <v>45018.0</v>
      </c>
      <c r="P59" s="110" t="s">
        <v>422</v>
      </c>
      <c r="Q59" s="111"/>
      <c r="R59" s="112"/>
      <c r="S59" s="21" t="s">
        <v>423</v>
      </c>
      <c r="T59" s="21"/>
      <c r="U59" s="113"/>
      <c r="V59" s="113"/>
      <c r="W59" s="113"/>
      <c r="X59" s="138"/>
      <c r="Y59" s="114">
        <v>150000.0</v>
      </c>
      <c r="Z59" s="114" t="s">
        <v>424</v>
      </c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38"/>
      <c r="AM59" s="138"/>
      <c r="AN59" s="138"/>
      <c r="AO59" s="138"/>
      <c r="AP59" s="138"/>
      <c r="AQ59" s="138"/>
      <c r="AR59" s="138"/>
      <c r="AS59" s="138"/>
      <c r="AT59" s="15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58"/>
      <c r="BG59" s="138"/>
      <c r="BH59" s="138"/>
      <c r="BI59" s="138"/>
      <c r="BJ59" s="138"/>
      <c r="BK59" s="138"/>
      <c r="BL59" s="138"/>
      <c r="BM59" s="138"/>
      <c r="BN59" s="116">
        <f t="shared" si="1"/>
        <v>0</v>
      </c>
      <c r="BO59" s="117">
        <v>0.0</v>
      </c>
      <c r="BP59" s="117">
        <v>0.0</v>
      </c>
      <c r="BQ59" s="118">
        <f t="shared" si="16"/>
        <v>150000</v>
      </c>
      <c r="BR59" s="119">
        <f t="shared" si="3"/>
        <v>150000</v>
      </c>
    </row>
    <row r="60" ht="27.0" customHeight="1">
      <c r="A60" s="12">
        <f t="shared" si="4"/>
        <v>58</v>
      </c>
      <c r="B60" s="71" t="s">
        <v>163</v>
      </c>
      <c r="C60" s="12" t="s">
        <v>128</v>
      </c>
      <c r="D60" s="38" t="s">
        <v>194</v>
      </c>
      <c r="E60" s="157" t="s">
        <v>195</v>
      </c>
      <c r="F60" s="124">
        <v>8793.0</v>
      </c>
      <c r="G60" s="40" t="s">
        <v>575</v>
      </c>
      <c r="H60" s="16" t="s">
        <v>576</v>
      </c>
      <c r="I60" s="16"/>
      <c r="J60" s="15" t="s">
        <v>420</v>
      </c>
      <c r="K60" s="20" t="s">
        <v>421</v>
      </c>
      <c r="L60" s="21" t="s">
        <v>33</v>
      </c>
      <c r="M60" s="21"/>
      <c r="N60" s="109">
        <v>45047.0</v>
      </c>
      <c r="O60" s="109">
        <v>45047.0</v>
      </c>
      <c r="P60" s="110" t="s">
        <v>422</v>
      </c>
      <c r="Q60" s="111"/>
      <c r="R60" s="112"/>
      <c r="S60" s="21" t="s">
        <v>423</v>
      </c>
      <c r="T60" s="21"/>
      <c r="U60" s="113"/>
      <c r="V60" s="113"/>
      <c r="W60" s="113"/>
      <c r="X60" s="138"/>
      <c r="Y60" s="138"/>
      <c r="Z60" s="138"/>
      <c r="AA60" s="114">
        <v>150000.0</v>
      </c>
      <c r="AB60" s="114" t="s">
        <v>424</v>
      </c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21"/>
      <c r="AU60" s="114"/>
      <c r="AV60" s="114"/>
      <c r="AW60" s="114"/>
      <c r="AX60" s="114"/>
      <c r="AY60" s="114"/>
      <c r="AZ60" s="114"/>
      <c r="BA60" s="114"/>
      <c r="BB60" s="114"/>
      <c r="BC60" s="114"/>
      <c r="BD60" s="114"/>
      <c r="BE60" s="114"/>
      <c r="BF60" s="121"/>
      <c r="BG60" s="114"/>
      <c r="BH60" s="114"/>
      <c r="BI60" s="114"/>
      <c r="BJ60" s="114"/>
      <c r="BK60" s="114"/>
      <c r="BL60" s="114"/>
      <c r="BM60" s="114"/>
      <c r="BN60" s="116">
        <f t="shared" si="1"/>
        <v>0</v>
      </c>
      <c r="BO60" s="117">
        <v>0.0</v>
      </c>
      <c r="BP60" s="117">
        <v>0.0</v>
      </c>
      <c r="BQ60" s="118">
        <f t="shared" si="16"/>
        <v>150000</v>
      </c>
      <c r="BR60" s="119">
        <f t="shared" si="3"/>
        <v>150000</v>
      </c>
    </row>
    <row r="61" ht="27.0" customHeight="1">
      <c r="A61" s="12">
        <f t="shared" si="4"/>
        <v>59</v>
      </c>
      <c r="B61" s="71" t="s">
        <v>163</v>
      </c>
      <c r="C61" s="12" t="s">
        <v>128</v>
      </c>
      <c r="D61" s="38" t="s">
        <v>194</v>
      </c>
      <c r="E61" s="157" t="s">
        <v>195</v>
      </c>
      <c r="F61" s="124">
        <v>8813.0</v>
      </c>
      <c r="G61" s="40" t="s">
        <v>577</v>
      </c>
      <c r="H61" s="16" t="s">
        <v>578</v>
      </c>
      <c r="I61" s="16"/>
      <c r="J61" s="15" t="s">
        <v>420</v>
      </c>
      <c r="K61" s="20" t="s">
        <v>421</v>
      </c>
      <c r="L61" s="21" t="s">
        <v>33</v>
      </c>
      <c r="M61" s="21"/>
      <c r="N61" s="109">
        <v>45037.0</v>
      </c>
      <c r="O61" s="109">
        <v>45037.0</v>
      </c>
      <c r="P61" s="110" t="s">
        <v>422</v>
      </c>
      <c r="Q61" s="111"/>
      <c r="R61" s="112"/>
      <c r="S61" s="21" t="s">
        <v>423</v>
      </c>
      <c r="T61" s="21"/>
      <c r="U61" s="113"/>
      <c r="V61" s="113"/>
      <c r="W61" s="113"/>
      <c r="X61" s="138"/>
      <c r="Y61" s="138"/>
      <c r="Z61" s="114">
        <v>150000.0</v>
      </c>
      <c r="AA61" s="114" t="s">
        <v>424</v>
      </c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21"/>
      <c r="AU61" s="114"/>
      <c r="AV61" s="114"/>
      <c r="AW61" s="114"/>
      <c r="AX61" s="114"/>
      <c r="AY61" s="114"/>
      <c r="AZ61" s="114"/>
      <c r="BA61" s="114"/>
      <c r="BB61" s="114"/>
      <c r="BC61" s="114"/>
      <c r="BD61" s="114"/>
      <c r="BE61" s="114"/>
      <c r="BF61" s="121"/>
      <c r="BG61" s="114"/>
      <c r="BH61" s="114"/>
      <c r="BI61" s="114"/>
      <c r="BJ61" s="114"/>
      <c r="BK61" s="114"/>
      <c r="BL61" s="114"/>
      <c r="BM61" s="114"/>
      <c r="BN61" s="116">
        <f t="shared" si="1"/>
        <v>0</v>
      </c>
      <c r="BO61" s="117">
        <v>0.0</v>
      </c>
      <c r="BP61" s="117">
        <v>0.0</v>
      </c>
      <c r="BQ61" s="118">
        <f t="shared" si="16"/>
        <v>150000</v>
      </c>
      <c r="BR61" s="119">
        <f t="shared" si="3"/>
        <v>150000</v>
      </c>
    </row>
    <row r="62" ht="27.0" customHeight="1">
      <c r="A62" s="12">
        <f t="shared" si="4"/>
        <v>60</v>
      </c>
      <c r="B62" s="71" t="s">
        <v>163</v>
      </c>
      <c r="C62" s="12" t="s">
        <v>128</v>
      </c>
      <c r="D62" s="38" t="s">
        <v>194</v>
      </c>
      <c r="E62" s="157" t="s">
        <v>195</v>
      </c>
      <c r="F62" s="124">
        <v>8946.0</v>
      </c>
      <c r="G62" s="40" t="s">
        <v>579</v>
      </c>
      <c r="H62" s="16" t="s">
        <v>580</v>
      </c>
      <c r="I62" s="16"/>
      <c r="J62" s="15" t="s">
        <v>420</v>
      </c>
      <c r="K62" s="20" t="s">
        <v>421</v>
      </c>
      <c r="L62" s="21" t="s">
        <v>33</v>
      </c>
      <c r="M62" s="21"/>
      <c r="N62" s="109">
        <v>45051.0</v>
      </c>
      <c r="O62" s="109">
        <v>45055.0</v>
      </c>
      <c r="P62" s="110" t="s">
        <v>422</v>
      </c>
      <c r="Q62" s="111"/>
      <c r="R62" s="112"/>
      <c r="S62" s="21" t="s">
        <v>423</v>
      </c>
      <c r="T62" s="21"/>
      <c r="U62" s="113"/>
      <c r="V62" s="113"/>
      <c r="W62" s="113"/>
      <c r="X62" s="138"/>
      <c r="Y62" s="138"/>
      <c r="Z62" s="138"/>
      <c r="AA62" s="114">
        <v>150000.0</v>
      </c>
      <c r="AB62" s="114" t="s">
        <v>424</v>
      </c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21"/>
      <c r="AU62" s="114"/>
      <c r="AV62" s="114"/>
      <c r="AW62" s="114"/>
      <c r="AX62" s="114"/>
      <c r="AY62" s="114"/>
      <c r="AZ62" s="114"/>
      <c r="BA62" s="114"/>
      <c r="BB62" s="114"/>
      <c r="BC62" s="114"/>
      <c r="BD62" s="114"/>
      <c r="BE62" s="114"/>
      <c r="BF62" s="121"/>
      <c r="BG62" s="114"/>
      <c r="BH62" s="114"/>
      <c r="BI62" s="114"/>
      <c r="BJ62" s="114"/>
      <c r="BK62" s="114"/>
      <c r="BL62" s="114"/>
      <c r="BM62" s="114"/>
      <c r="BN62" s="116">
        <f t="shared" si="1"/>
        <v>0</v>
      </c>
      <c r="BO62" s="117">
        <v>0.0</v>
      </c>
      <c r="BP62" s="117">
        <v>0.0</v>
      </c>
      <c r="BQ62" s="118">
        <f t="shared" si="16"/>
        <v>150000</v>
      </c>
      <c r="BR62" s="119">
        <f t="shared" si="3"/>
        <v>150000</v>
      </c>
    </row>
    <row r="63" ht="27.0" customHeight="1">
      <c r="A63" s="12">
        <f t="shared" si="4"/>
        <v>61</v>
      </c>
      <c r="B63" s="71" t="s">
        <v>163</v>
      </c>
      <c r="C63" s="12" t="s">
        <v>128</v>
      </c>
      <c r="D63" s="38" t="s">
        <v>194</v>
      </c>
      <c r="E63" s="157" t="s">
        <v>195</v>
      </c>
      <c r="F63" s="124">
        <v>9033.0</v>
      </c>
      <c r="G63" s="40" t="s">
        <v>581</v>
      </c>
      <c r="H63" s="30" t="s">
        <v>582</v>
      </c>
      <c r="I63" s="30"/>
      <c r="J63" s="15" t="s">
        <v>420</v>
      </c>
      <c r="K63" s="20" t="s">
        <v>421</v>
      </c>
      <c r="L63" s="21" t="s">
        <v>33</v>
      </c>
      <c r="M63" s="21"/>
      <c r="N63" s="109">
        <v>45059.0</v>
      </c>
      <c r="O63" s="109">
        <v>45070.0</v>
      </c>
      <c r="P63" s="110" t="s">
        <v>422</v>
      </c>
      <c r="Q63" s="111"/>
      <c r="R63" s="112"/>
      <c r="S63" s="21" t="s">
        <v>423</v>
      </c>
      <c r="T63" s="21"/>
      <c r="U63" s="113"/>
      <c r="V63" s="113"/>
      <c r="W63" s="113"/>
      <c r="X63" s="138"/>
      <c r="Y63" s="138"/>
      <c r="Z63" s="138"/>
      <c r="AA63" s="114">
        <v>150000.0</v>
      </c>
      <c r="AB63" s="114" t="s">
        <v>424</v>
      </c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21"/>
      <c r="AU63" s="114"/>
      <c r="AV63" s="114"/>
      <c r="AW63" s="114"/>
      <c r="AX63" s="114"/>
      <c r="AY63" s="114"/>
      <c r="AZ63" s="114"/>
      <c r="BA63" s="114"/>
      <c r="BB63" s="114"/>
      <c r="BC63" s="114"/>
      <c r="BD63" s="114"/>
      <c r="BE63" s="114"/>
      <c r="BF63" s="121"/>
      <c r="BG63" s="114"/>
      <c r="BH63" s="114"/>
      <c r="BI63" s="114"/>
      <c r="BJ63" s="114"/>
      <c r="BK63" s="114"/>
      <c r="BL63" s="114"/>
      <c r="BM63" s="114"/>
      <c r="BN63" s="116">
        <f t="shared" si="1"/>
        <v>0</v>
      </c>
      <c r="BO63" s="117">
        <v>0.0</v>
      </c>
      <c r="BP63" s="117">
        <v>0.0</v>
      </c>
      <c r="BQ63" s="118">
        <f t="shared" si="16"/>
        <v>150000</v>
      </c>
      <c r="BR63" s="119">
        <f t="shared" si="3"/>
        <v>150000</v>
      </c>
    </row>
    <row r="64" ht="27.0" customHeight="1">
      <c r="A64" s="12">
        <f t="shared" si="4"/>
        <v>62</v>
      </c>
      <c r="B64" s="71" t="s">
        <v>163</v>
      </c>
      <c r="C64" s="12" t="s">
        <v>128</v>
      </c>
      <c r="D64" s="38" t="s">
        <v>194</v>
      </c>
      <c r="E64" s="157" t="s">
        <v>195</v>
      </c>
      <c r="F64" s="124">
        <v>9039.0</v>
      </c>
      <c r="G64" s="40" t="s">
        <v>583</v>
      </c>
      <c r="H64" s="30" t="s">
        <v>584</v>
      </c>
      <c r="I64" s="30"/>
      <c r="J64" s="15" t="s">
        <v>420</v>
      </c>
      <c r="K64" s="20" t="s">
        <v>443</v>
      </c>
      <c r="L64" s="21" t="s">
        <v>33</v>
      </c>
      <c r="M64" s="21"/>
      <c r="N64" s="109">
        <v>45060.0</v>
      </c>
      <c r="O64" s="109">
        <v>45060.0</v>
      </c>
      <c r="P64" s="110" t="s">
        <v>422</v>
      </c>
      <c r="Q64" s="111"/>
      <c r="R64" s="112"/>
      <c r="S64" s="21" t="s">
        <v>423</v>
      </c>
      <c r="T64" s="21"/>
      <c r="U64" s="113"/>
      <c r="V64" s="113"/>
      <c r="W64" s="113"/>
      <c r="X64" s="138"/>
      <c r="Y64" s="138"/>
      <c r="Z64" s="138"/>
      <c r="AA64" s="114">
        <v>8333.0</v>
      </c>
      <c r="AB64" s="114" t="s">
        <v>440</v>
      </c>
      <c r="AC64" s="114" t="s">
        <v>440</v>
      </c>
      <c r="AD64" s="114" t="s">
        <v>440</v>
      </c>
      <c r="AE64" s="114" t="s">
        <v>440</v>
      </c>
      <c r="AF64" s="114" t="s">
        <v>440</v>
      </c>
      <c r="AG64" s="114" t="s">
        <v>440</v>
      </c>
      <c r="AH64" s="114" t="s">
        <v>440</v>
      </c>
      <c r="AI64" s="114" t="s">
        <v>440</v>
      </c>
      <c r="AJ64" s="114" t="s">
        <v>440</v>
      </c>
      <c r="AK64" s="114" t="s">
        <v>440</v>
      </c>
      <c r="AL64" s="114" t="s">
        <v>440</v>
      </c>
      <c r="AM64" s="114" t="s">
        <v>424</v>
      </c>
      <c r="AN64" s="138"/>
      <c r="AO64" s="138"/>
      <c r="AP64" s="138"/>
      <c r="AQ64" s="138"/>
      <c r="AR64" s="138"/>
      <c r="AS64" s="138"/>
      <c r="AT64" s="158"/>
      <c r="AU64" s="138"/>
      <c r="AV64" s="138"/>
      <c r="AW64" s="138"/>
      <c r="AX64" s="138"/>
      <c r="AY64" s="138"/>
      <c r="AZ64" s="138"/>
      <c r="BA64" s="138"/>
      <c r="BB64" s="138"/>
      <c r="BC64" s="138"/>
      <c r="BD64" s="138"/>
      <c r="BE64" s="138"/>
      <c r="BF64" s="158"/>
      <c r="BG64" s="138"/>
      <c r="BH64" s="138"/>
      <c r="BI64" s="138"/>
      <c r="BJ64" s="138"/>
      <c r="BK64" s="138"/>
      <c r="BL64" s="138"/>
      <c r="BM64" s="138"/>
      <c r="BN64" s="116">
        <f t="shared" si="1"/>
        <v>0</v>
      </c>
      <c r="BO64" s="117">
        <v>0.0</v>
      </c>
      <c r="BP64" s="117">
        <v>0.0</v>
      </c>
      <c r="BQ64" s="118">
        <f t="shared" si="16"/>
        <v>8333</v>
      </c>
      <c r="BR64" s="119">
        <f t="shared" si="3"/>
        <v>8333</v>
      </c>
    </row>
    <row r="65" ht="27.0" customHeight="1">
      <c r="A65" s="12">
        <f t="shared" si="4"/>
        <v>63</v>
      </c>
      <c r="B65" s="71" t="s">
        <v>163</v>
      </c>
      <c r="C65" s="12" t="s">
        <v>128</v>
      </c>
      <c r="D65" s="38" t="s">
        <v>194</v>
      </c>
      <c r="E65" s="157" t="s">
        <v>195</v>
      </c>
      <c r="F65" s="124">
        <v>8995.0</v>
      </c>
      <c r="G65" s="40" t="s">
        <v>585</v>
      </c>
      <c r="H65" s="30" t="s">
        <v>586</v>
      </c>
      <c r="I65" s="30"/>
      <c r="J65" s="15" t="s">
        <v>420</v>
      </c>
      <c r="K65" s="20" t="s">
        <v>448</v>
      </c>
      <c r="L65" s="21" t="s">
        <v>33</v>
      </c>
      <c r="M65" s="21"/>
      <c r="N65" s="109">
        <v>45060.0</v>
      </c>
      <c r="O65" s="109">
        <v>45064.0</v>
      </c>
      <c r="P65" s="110" t="s">
        <v>422</v>
      </c>
      <c r="Q65" s="111"/>
      <c r="R65" s="112">
        <v>45552.0</v>
      </c>
      <c r="S65" s="21" t="s">
        <v>423</v>
      </c>
      <c r="T65" s="21"/>
      <c r="U65" s="113"/>
      <c r="V65" s="113"/>
      <c r="W65" s="113"/>
      <c r="X65" s="138"/>
      <c r="Y65" s="138"/>
      <c r="Z65" s="138"/>
      <c r="AA65" s="114">
        <v>12500.0</v>
      </c>
      <c r="AB65" s="114">
        <v>12500.0</v>
      </c>
      <c r="AC65" s="114">
        <v>12500.0</v>
      </c>
      <c r="AD65" s="114">
        <v>12500.0</v>
      </c>
      <c r="AE65" s="114">
        <v>12500.0</v>
      </c>
      <c r="AF65" s="114">
        <v>12500.0</v>
      </c>
      <c r="AG65" s="114">
        <v>12500.0</v>
      </c>
      <c r="AH65" s="114">
        <v>12500.0</v>
      </c>
      <c r="AI65" s="114">
        <v>12500.0</v>
      </c>
      <c r="AJ65" s="114">
        <v>12500.0</v>
      </c>
      <c r="AK65" s="114">
        <v>12500.0</v>
      </c>
      <c r="AL65" s="114">
        <v>12500.0</v>
      </c>
      <c r="AM65" s="114" t="s">
        <v>424</v>
      </c>
      <c r="AN65" s="138"/>
      <c r="AO65" s="138"/>
      <c r="AP65" s="138"/>
      <c r="AQ65" s="138"/>
      <c r="AR65" s="138"/>
      <c r="AS65" s="138"/>
      <c r="AT65" s="158"/>
      <c r="AU65" s="138"/>
      <c r="AV65" s="138"/>
      <c r="AW65" s="138"/>
      <c r="AX65" s="138"/>
      <c r="AY65" s="138"/>
      <c r="AZ65" s="138"/>
      <c r="BA65" s="138"/>
      <c r="BB65" s="138"/>
      <c r="BC65" s="138"/>
      <c r="BD65" s="138"/>
      <c r="BE65" s="138"/>
      <c r="BF65" s="158"/>
      <c r="BG65" s="138"/>
      <c r="BH65" s="138"/>
      <c r="BI65" s="138"/>
      <c r="BJ65" s="138"/>
      <c r="BK65" s="138"/>
      <c r="BL65" s="138"/>
      <c r="BM65" s="138"/>
      <c r="BN65" s="116">
        <f t="shared" si="1"/>
        <v>0</v>
      </c>
      <c r="BO65" s="117">
        <v>0.0</v>
      </c>
      <c r="BP65" s="117">
        <f>sum(AI65:AL65)</f>
        <v>50000</v>
      </c>
      <c r="BQ65" s="118">
        <f t="shared" si="16"/>
        <v>150000</v>
      </c>
      <c r="BR65" s="119">
        <f t="shared" si="3"/>
        <v>150000</v>
      </c>
    </row>
    <row r="66" ht="27.0" customHeight="1">
      <c r="A66" s="12">
        <f t="shared" si="4"/>
        <v>64</v>
      </c>
      <c r="B66" s="71" t="s">
        <v>163</v>
      </c>
      <c r="C66" s="12" t="s">
        <v>128</v>
      </c>
      <c r="D66" s="38" t="s">
        <v>194</v>
      </c>
      <c r="E66" s="157" t="s">
        <v>195</v>
      </c>
      <c r="F66" s="124">
        <v>9045.0</v>
      </c>
      <c r="G66" s="40" t="s">
        <v>587</v>
      </c>
      <c r="H66" s="30" t="s">
        <v>588</v>
      </c>
      <c r="I66" s="30"/>
      <c r="J66" s="15" t="s">
        <v>420</v>
      </c>
      <c r="K66" s="20" t="s">
        <v>448</v>
      </c>
      <c r="L66" s="21" t="s">
        <v>33</v>
      </c>
      <c r="M66" s="21"/>
      <c r="N66" s="109">
        <v>45061.0</v>
      </c>
      <c r="O66" s="109">
        <v>45061.0</v>
      </c>
      <c r="P66" s="110" t="s">
        <v>422</v>
      </c>
      <c r="Q66" s="111"/>
      <c r="R66" s="112"/>
      <c r="S66" s="21" t="s">
        <v>423</v>
      </c>
      <c r="T66" s="21"/>
      <c r="U66" s="113"/>
      <c r="V66" s="113"/>
      <c r="W66" s="113"/>
      <c r="X66" s="138"/>
      <c r="Y66" s="138"/>
      <c r="Z66" s="138"/>
      <c r="AA66" s="114">
        <v>12500.0</v>
      </c>
      <c r="AB66" s="114" t="s">
        <v>440</v>
      </c>
      <c r="AC66" s="114" t="s">
        <v>440</v>
      </c>
      <c r="AD66" s="114" t="s">
        <v>440</v>
      </c>
      <c r="AE66" s="114" t="s">
        <v>440</v>
      </c>
      <c r="AF66" s="114" t="s">
        <v>440</v>
      </c>
      <c r="AG66" s="114" t="s">
        <v>440</v>
      </c>
      <c r="AH66" s="114" t="s">
        <v>440</v>
      </c>
      <c r="AI66" s="114" t="s">
        <v>440</v>
      </c>
      <c r="AJ66" s="114" t="s">
        <v>440</v>
      </c>
      <c r="AK66" s="114" t="s">
        <v>440</v>
      </c>
      <c r="AL66" s="114" t="s">
        <v>440</v>
      </c>
      <c r="AM66" s="114" t="s">
        <v>424</v>
      </c>
      <c r="AN66" s="138"/>
      <c r="AO66" s="138"/>
      <c r="AP66" s="138"/>
      <c r="AQ66" s="138"/>
      <c r="AR66" s="138"/>
      <c r="AS66" s="138"/>
      <c r="AT66" s="158"/>
      <c r="AU66" s="138"/>
      <c r="AV66" s="138"/>
      <c r="AW66" s="138"/>
      <c r="AX66" s="138"/>
      <c r="AY66" s="138"/>
      <c r="AZ66" s="138"/>
      <c r="BA66" s="138"/>
      <c r="BB66" s="138"/>
      <c r="BC66" s="138"/>
      <c r="BD66" s="138"/>
      <c r="BE66" s="138"/>
      <c r="BF66" s="158"/>
      <c r="BG66" s="138"/>
      <c r="BH66" s="138"/>
      <c r="BI66" s="138"/>
      <c r="BJ66" s="138"/>
      <c r="BK66" s="138"/>
      <c r="BL66" s="138"/>
      <c r="BM66" s="138"/>
      <c r="BN66" s="116">
        <f t="shared" si="1"/>
        <v>0</v>
      </c>
      <c r="BO66" s="117">
        <v>0.0</v>
      </c>
      <c r="BP66" s="117">
        <v>0.0</v>
      </c>
      <c r="BQ66" s="118">
        <f t="shared" si="16"/>
        <v>12500</v>
      </c>
      <c r="BR66" s="119">
        <f t="shared" si="3"/>
        <v>12500</v>
      </c>
    </row>
    <row r="67" ht="27.0" customHeight="1">
      <c r="A67" s="12">
        <f t="shared" si="4"/>
        <v>65</v>
      </c>
      <c r="B67" s="71" t="s">
        <v>163</v>
      </c>
      <c r="C67" s="12" t="s">
        <v>128</v>
      </c>
      <c r="D67" s="38" t="s">
        <v>194</v>
      </c>
      <c r="E67" s="157" t="s">
        <v>195</v>
      </c>
      <c r="F67" s="124">
        <v>9111.0</v>
      </c>
      <c r="G67" s="40" t="s">
        <v>589</v>
      </c>
      <c r="H67" s="30" t="s">
        <v>590</v>
      </c>
      <c r="I67" s="30"/>
      <c r="J67" s="15" t="s">
        <v>420</v>
      </c>
      <c r="K67" s="20" t="s">
        <v>443</v>
      </c>
      <c r="L67" s="21" t="s">
        <v>33</v>
      </c>
      <c r="M67" s="21"/>
      <c r="N67" s="109">
        <v>45069.0</v>
      </c>
      <c r="O67" s="109">
        <v>45077.0</v>
      </c>
      <c r="P67" s="110" t="s">
        <v>422</v>
      </c>
      <c r="Q67" s="111"/>
      <c r="R67" s="112">
        <v>45552.0</v>
      </c>
      <c r="S67" s="21" t="s">
        <v>423</v>
      </c>
      <c r="T67" s="21"/>
      <c r="U67" s="113"/>
      <c r="V67" s="113"/>
      <c r="W67" s="113"/>
      <c r="X67" s="138"/>
      <c r="Y67" s="138"/>
      <c r="Z67" s="138"/>
      <c r="AA67" s="114">
        <v>8333.0</v>
      </c>
      <c r="AB67" s="114" t="s">
        <v>440</v>
      </c>
      <c r="AC67" s="114">
        <v>8333.0</v>
      </c>
      <c r="AD67" s="114">
        <v>8333.0</v>
      </c>
      <c r="AE67" s="114">
        <v>8333.0</v>
      </c>
      <c r="AF67" s="114">
        <v>8333.0</v>
      </c>
      <c r="AG67" s="114">
        <v>8333.0</v>
      </c>
      <c r="AH67" s="114">
        <v>8333.0</v>
      </c>
      <c r="AI67" s="114">
        <v>8333.0</v>
      </c>
      <c r="AJ67" s="114">
        <v>8333.0</v>
      </c>
      <c r="AK67" s="114">
        <v>8333.0</v>
      </c>
      <c r="AL67" s="114">
        <v>8333.0</v>
      </c>
      <c r="AM67" s="114" t="s">
        <v>424</v>
      </c>
      <c r="AN67" s="138"/>
      <c r="AO67" s="138"/>
      <c r="AP67" s="138"/>
      <c r="AQ67" s="138"/>
      <c r="AR67" s="138"/>
      <c r="AS67" s="138"/>
      <c r="AT67" s="158"/>
      <c r="AU67" s="138"/>
      <c r="AV67" s="138"/>
      <c r="AW67" s="138"/>
      <c r="AX67" s="138"/>
      <c r="AY67" s="138"/>
      <c r="AZ67" s="138"/>
      <c r="BA67" s="138"/>
      <c r="BB67" s="138"/>
      <c r="BC67" s="138"/>
      <c r="BD67" s="138"/>
      <c r="BE67" s="138"/>
      <c r="BF67" s="158"/>
      <c r="BG67" s="138"/>
      <c r="BH67" s="138"/>
      <c r="BI67" s="138"/>
      <c r="BJ67" s="138"/>
      <c r="BK67" s="138"/>
      <c r="BL67" s="138"/>
      <c r="BM67" s="138"/>
      <c r="BN67" s="116">
        <f t="shared" si="1"/>
        <v>0</v>
      </c>
      <c r="BO67" s="117">
        <v>0.0</v>
      </c>
      <c r="BP67" s="117">
        <f>sum(AI67:AM67)</f>
        <v>33332</v>
      </c>
      <c r="BQ67" s="118">
        <f t="shared" si="16"/>
        <v>91663</v>
      </c>
      <c r="BR67" s="119">
        <f t="shared" si="3"/>
        <v>91663</v>
      </c>
    </row>
    <row r="68" ht="27.0" customHeight="1">
      <c r="A68" s="12">
        <f t="shared" si="4"/>
        <v>66</v>
      </c>
      <c r="B68" s="71" t="s">
        <v>163</v>
      </c>
      <c r="C68" s="12" t="s">
        <v>128</v>
      </c>
      <c r="D68" s="38" t="s">
        <v>194</v>
      </c>
      <c r="E68" s="157" t="s">
        <v>195</v>
      </c>
      <c r="F68" s="124">
        <v>9065.0</v>
      </c>
      <c r="G68" s="40" t="s">
        <v>591</v>
      </c>
      <c r="H68" s="30" t="s">
        <v>591</v>
      </c>
      <c r="I68" s="30"/>
      <c r="J68" s="15" t="s">
        <v>420</v>
      </c>
      <c r="K68" s="20" t="s">
        <v>443</v>
      </c>
      <c r="L68" s="21" t="s">
        <v>33</v>
      </c>
      <c r="M68" s="21"/>
      <c r="N68" s="109">
        <v>45075.0</v>
      </c>
      <c r="O68" s="109">
        <v>45075.0</v>
      </c>
      <c r="P68" s="110" t="s">
        <v>422</v>
      </c>
      <c r="Q68" s="111"/>
      <c r="R68" s="112"/>
      <c r="S68" s="21" t="s">
        <v>423</v>
      </c>
      <c r="T68" s="21"/>
      <c r="U68" s="113"/>
      <c r="V68" s="113"/>
      <c r="W68" s="113"/>
      <c r="X68" s="138"/>
      <c r="Y68" s="138"/>
      <c r="Z68" s="138"/>
      <c r="AA68" s="114">
        <v>8333.0</v>
      </c>
      <c r="AB68" s="126" t="s">
        <v>128</v>
      </c>
      <c r="AC68" s="114">
        <v>8333.0</v>
      </c>
      <c r="AD68" s="114">
        <v>8333.0</v>
      </c>
      <c r="AE68" s="114">
        <v>8333.0</v>
      </c>
      <c r="AF68" s="114" t="s">
        <v>440</v>
      </c>
      <c r="AG68" s="114" t="s">
        <v>440</v>
      </c>
      <c r="AH68" s="114" t="s">
        <v>440</v>
      </c>
      <c r="AI68" s="114" t="s">
        <v>440</v>
      </c>
      <c r="AJ68" s="114" t="s">
        <v>440</v>
      </c>
      <c r="AK68" s="114" t="s">
        <v>440</v>
      </c>
      <c r="AL68" s="114" t="s">
        <v>440</v>
      </c>
      <c r="AM68" s="114" t="s">
        <v>424</v>
      </c>
      <c r="AN68" s="138"/>
      <c r="AO68" s="138"/>
      <c r="AP68" s="138"/>
      <c r="AQ68" s="138"/>
      <c r="AR68" s="138"/>
      <c r="AS68" s="138"/>
      <c r="AT68" s="158"/>
      <c r="AU68" s="138"/>
      <c r="AV68" s="138"/>
      <c r="AW68" s="138"/>
      <c r="AX68" s="138"/>
      <c r="AY68" s="138"/>
      <c r="AZ68" s="138"/>
      <c r="BA68" s="138"/>
      <c r="BB68" s="138"/>
      <c r="BC68" s="138"/>
      <c r="BD68" s="138"/>
      <c r="BE68" s="138"/>
      <c r="BF68" s="158"/>
      <c r="BG68" s="138"/>
      <c r="BH68" s="138"/>
      <c r="BI68" s="138"/>
      <c r="BJ68" s="138"/>
      <c r="BK68" s="138"/>
      <c r="BL68" s="138"/>
      <c r="BM68" s="138"/>
      <c r="BN68" s="116">
        <f t="shared" si="1"/>
        <v>0</v>
      </c>
      <c r="BO68" s="117">
        <v>0.0</v>
      </c>
      <c r="BP68" s="117">
        <v>0.0</v>
      </c>
      <c r="BQ68" s="118">
        <f t="shared" si="16"/>
        <v>33332</v>
      </c>
      <c r="BR68" s="119">
        <f t="shared" si="3"/>
        <v>33332</v>
      </c>
    </row>
    <row r="69" ht="27.0" customHeight="1">
      <c r="A69" s="12">
        <f t="shared" si="4"/>
        <v>67</v>
      </c>
      <c r="B69" s="71" t="s">
        <v>163</v>
      </c>
      <c r="C69" s="12" t="s">
        <v>128</v>
      </c>
      <c r="D69" s="38" t="s">
        <v>194</v>
      </c>
      <c r="E69" s="157" t="s">
        <v>195</v>
      </c>
      <c r="F69" s="124">
        <v>9299.0</v>
      </c>
      <c r="G69" s="40" t="s">
        <v>592</v>
      </c>
      <c r="H69" s="16" t="s">
        <v>593</v>
      </c>
      <c r="I69" s="16"/>
      <c r="J69" s="15" t="s">
        <v>420</v>
      </c>
      <c r="K69" s="20" t="s">
        <v>443</v>
      </c>
      <c r="L69" s="21" t="s">
        <v>33</v>
      </c>
      <c r="M69" s="21"/>
      <c r="N69" s="109">
        <v>45101.0</v>
      </c>
      <c r="O69" s="109">
        <v>45102.0</v>
      </c>
      <c r="P69" s="110" t="s">
        <v>422</v>
      </c>
      <c r="Q69" s="111"/>
      <c r="R69" s="112">
        <v>45552.0</v>
      </c>
      <c r="S69" s="21" t="s">
        <v>423</v>
      </c>
      <c r="T69" s="21"/>
      <c r="U69" s="113"/>
      <c r="V69" s="113"/>
      <c r="W69" s="113"/>
      <c r="X69" s="138"/>
      <c r="Y69" s="138"/>
      <c r="Z69" s="162"/>
      <c r="AA69" s="162"/>
      <c r="AB69" s="114">
        <v>8333.0</v>
      </c>
      <c r="AC69" s="114">
        <v>8333.0</v>
      </c>
      <c r="AD69" s="114">
        <v>8333.0</v>
      </c>
      <c r="AE69" s="114">
        <v>8333.0</v>
      </c>
      <c r="AF69" s="114">
        <v>8333.0</v>
      </c>
      <c r="AG69" s="114">
        <v>8333.0</v>
      </c>
      <c r="AH69" s="114">
        <v>8333.0</v>
      </c>
      <c r="AI69" s="114">
        <v>8333.0</v>
      </c>
      <c r="AJ69" s="114">
        <v>8333.0</v>
      </c>
      <c r="AK69" s="114">
        <v>8333.0</v>
      </c>
      <c r="AL69" s="114">
        <v>8333.0</v>
      </c>
      <c r="AM69" s="114">
        <v>8333.0</v>
      </c>
      <c r="AN69" s="114" t="s">
        <v>424</v>
      </c>
      <c r="AO69" s="114"/>
      <c r="AP69" s="114"/>
      <c r="AQ69" s="114"/>
      <c r="AR69" s="114"/>
      <c r="AS69" s="114"/>
      <c r="AT69" s="121"/>
      <c r="AU69" s="114"/>
      <c r="AV69" s="114"/>
      <c r="AW69" s="114"/>
      <c r="AX69" s="114"/>
      <c r="AY69" s="114"/>
      <c r="AZ69" s="114"/>
      <c r="BA69" s="114"/>
      <c r="BB69" s="114"/>
      <c r="BC69" s="114"/>
      <c r="BD69" s="114"/>
      <c r="BE69" s="114"/>
      <c r="BF69" s="121"/>
      <c r="BG69" s="114"/>
      <c r="BH69" s="114"/>
      <c r="BI69" s="114"/>
      <c r="BJ69" s="114"/>
      <c r="BK69" s="114"/>
      <c r="BL69" s="114"/>
      <c r="BM69" s="114"/>
      <c r="BN69" s="116">
        <f t="shared" si="1"/>
        <v>0</v>
      </c>
      <c r="BO69" s="117">
        <v>0.0</v>
      </c>
      <c r="BP69" s="117">
        <f>sum(AI69:AM69)</f>
        <v>41665</v>
      </c>
      <c r="BQ69" s="118">
        <f t="shared" si="16"/>
        <v>99996</v>
      </c>
      <c r="BR69" s="119">
        <f t="shared" si="3"/>
        <v>99996</v>
      </c>
    </row>
    <row r="70" ht="27.0" customHeight="1">
      <c r="A70" s="12">
        <f t="shared" si="4"/>
        <v>68</v>
      </c>
      <c r="B70" s="71" t="s">
        <v>163</v>
      </c>
      <c r="C70" s="12" t="s">
        <v>128</v>
      </c>
      <c r="D70" s="38" t="s">
        <v>194</v>
      </c>
      <c r="E70" s="157" t="s">
        <v>195</v>
      </c>
      <c r="F70" s="163">
        <v>9219.0</v>
      </c>
      <c r="G70" s="164" t="s">
        <v>594</v>
      </c>
      <c r="H70" s="165" t="s">
        <v>595</v>
      </c>
      <c r="I70" s="30"/>
      <c r="J70" s="15" t="s">
        <v>420</v>
      </c>
      <c r="K70" s="20" t="s">
        <v>448</v>
      </c>
      <c r="L70" s="21" t="s">
        <v>33</v>
      </c>
      <c r="M70" s="21"/>
      <c r="N70" s="109">
        <v>45096.0</v>
      </c>
      <c r="O70" s="109">
        <v>45096.0</v>
      </c>
      <c r="P70" s="110" t="s">
        <v>422</v>
      </c>
      <c r="Q70" s="166"/>
      <c r="R70" s="166"/>
      <c r="S70" s="21" t="s">
        <v>450</v>
      </c>
      <c r="T70" s="21" t="s">
        <v>434</v>
      </c>
      <c r="U70" s="113"/>
      <c r="V70" s="113"/>
      <c r="W70" s="113"/>
      <c r="X70" s="138"/>
      <c r="Y70" s="138"/>
      <c r="Z70" s="162"/>
      <c r="AA70" s="162"/>
      <c r="AB70" s="114">
        <v>12500.0</v>
      </c>
      <c r="AC70" s="114">
        <v>8333.0</v>
      </c>
      <c r="AD70" s="114">
        <v>8333.0</v>
      </c>
      <c r="AE70" s="114" t="s">
        <v>440</v>
      </c>
      <c r="AF70" s="114" t="s">
        <v>440</v>
      </c>
      <c r="AG70" s="114" t="s">
        <v>440</v>
      </c>
      <c r="AH70" s="114">
        <v>8333.0</v>
      </c>
      <c r="AI70" s="114" t="s">
        <v>440</v>
      </c>
      <c r="AJ70" s="113">
        <v>8333.0</v>
      </c>
      <c r="AK70" s="114" t="s">
        <v>440</v>
      </c>
      <c r="AL70" s="114" t="s">
        <v>440</v>
      </c>
      <c r="AM70" s="114" t="s">
        <v>440</v>
      </c>
      <c r="AN70" s="114" t="s">
        <v>424</v>
      </c>
      <c r="AO70" s="114"/>
      <c r="AP70" s="114"/>
      <c r="AQ70" s="114"/>
      <c r="AR70" s="114"/>
      <c r="AS70" s="114"/>
      <c r="AT70" s="121"/>
      <c r="AU70" s="114"/>
      <c r="AV70" s="114"/>
      <c r="AW70" s="114"/>
      <c r="AX70" s="114"/>
      <c r="AY70" s="114"/>
      <c r="AZ70" s="114"/>
      <c r="BA70" s="114"/>
      <c r="BB70" s="114"/>
      <c r="BC70" s="114"/>
      <c r="BD70" s="114"/>
      <c r="BE70" s="114"/>
      <c r="BF70" s="121"/>
      <c r="BG70" s="114"/>
      <c r="BH70" s="114"/>
      <c r="BI70" s="114"/>
      <c r="BJ70" s="114"/>
      <c r="BK70" s="114"/>
      <c r="BL70" s="114"/>
      <c r="BM70" s="114"/>
      <c r="BN70" s="123">
        <f t="shared" si="1"/>
        <v>8333</v>
      </c>
      <c r="BO70" s="117">
        <v>0.0</v>
      </c>
      <c r="BP70" s="117">
        <v>0.0</v>
      </c>
      <c r="BQ70" s="118">
        <f>sum(AA70:AH70)</f>
        <v>37499</v>
      </c>
      <c r="BR70" s="119">
        <f t="shared" si="3"/>
        <v>45832</v>
      </c>
    </row>
    <row r="71" ht="27.0" customHeight="1">
      <c r="A71" s="12">
        <f t="shared" si="4"/>
        <v>69</v>
      </c>
      <c r="B71" s="71" t="s">
        <v>163</v>
      </c>
      <c r="C71" s="12" t="s">
        <v>128</v>
      </c>
      <c r="D71" s="38" t="s">
        <v>194</v>
      </c>
      <c r="E71" s="157" t="s">
        <v>195</v>
      </c>
      <c r="F71" s="124">
        <v>9288.0</v>
      </c>
      <c r="G71" s="40" t="s">
        <v>596</v>
      </c>
      <c r="H71" s="30" t="s">
        <v>597</v>
      </c>
      <c r="I71" s="30"/>
      <c r="J71" s="15" t="s">
        <v>420</v>
      </c>
      <c r="K71" s="20" t="s">
        <v>443</v>
      </c>
      <c r="L71" s="21" t="s">
        <v>33</v>
      </c>
      <c r="M71" s="21"/>
      <c r="N71" s="109">
        <v>45102.0</v>
      </c>
      <c r="O71" s="109">
        <v>45102.0</v>
      </c>
      <c r="P71" s="110" t="s">
        <v>422</v>
      </c>
      <c r="Q71" s="111"/>
      <c r="R71" s="112"/>
      <c r="S71" s="21" t="s">
        <v>423</v>
      </c>
      <c r="T71" s="21"/>
      <c r="U71" s="113"/>
      <c r="V71" s="113"/>
      <c r="W71" s="113"/>
      <c r="X71" s="138"/>
      <c r="Y71" s="138"/>
      <c r="Z71" s="162"/>
      <c r="AA71" s="162"/>
      <c r="AB71" s="114">
        <v>8333.0</v>
      </c>
      <c r="AC71" s="114" t="s">
        <v>440</v>
      </c>
      <c r="AD71" s="114" t="s">
        <v>440</v>
      </c>
      <c r="AE71" s="114" t="s">
        <v>440</v>
      </c>
      <c r="AF71" s="114" t="s">
        <v>440</v>
      </c>
      <c r="AG71" s="114" t="s">
        <v>440</v>
      </c>
      <c r="AH71" s="114" t="s">
        <v>440</v>
      </c>
      <c r="AI71" s="114" t="s">
        <v>440</v>
      </c>
      <c r="AJ71" s="114" t="s">
        <v>440</v>
      </c>
      <c r="AK71" s="114" t="s">
        <v>440</v>
      </c>
      <c r="AL71" s="114" t="s">
        <v>440</v>
      </c>
      <c r="AM71" s="114" t="s">
        <v>440</v>
      </c>
      <c r="AN71" s="114" t="s">
        <v>424</v>
      </c>
      <c r="AO71" s="114"/>
      <c r="AP71" s="114"/>
      <c r="AQ71" s="114"/>
      <c r="AR71" s="114"/>
      <c r="AS71" s="114"/>
      <c r="AT71" s="121"/>
      <c r="AU71" s="114"/>
      <c r="AV71" s="114"/>
      <c r="AW71" s="114"/>
      <c r="AX71" s="114"/>
      <c r="AY71" s="114"/>
      <c r="AZ71" s="114"/>
      <c r="BA71" s="114"/>
      <c r="BB71" s="114"/>
      <c r="BC71" s="114"/>
      <c r="BD71" s="114"/>
      <c r="BE71" s="114"/>
      <c r="BF71" s="121"/>
      <c r="BG71" s="114"/>
      <c r="BH71" s="114"/>
      <c r="BI71" s="114"/>
      <c r="BJ71" s="114"/>
      <c r="BK71" s="114"/>
      <c r="BL71" s="114"/>
      <c r="BM71" s="114"/>
      <c r="BN71" s="116">
        <f t="shared" si="1"/>
        <v>0</v>
      </c>
      <c r="BO71" s="117">
        <v>0.0</v>
      </c>
      <c r="BP71" s="117">
        <v>0.0</v>
      </c>
      <c r="BQ71" s="118">
        <f t="shared" ref="BQ71:BQ76" si="17">sum(U71:BH71)</f>
        <v>8333</v>
      </c>
      <c r="BR71" s="119">
        <f t="shared" si="3"/>
        <v>8333</v>
      </c>
    </row>
    <row r="72" ht="27.0" customHeight="1">
      <c r="A72" s="12">
        <f t="shared" si="4"/>
        <v>70</v>
      </c>
      <c r="B72" s="71" t="s">
        <v>163</v>
      </c>
      <c r="C72" s="12" t="s">
        <v>128</v>
      </c>
      <c r="D72" s="38" t="s">
        <v>194</v>
      </c>
      <c r="E72" s="157" t="s">
        <v>195</v>
      </c>
      <c r="F72" s="124">
        <v>9393.0</v>
      </c>
      <c r="G72" s="40" t="s">
        <v>598</v>
      </c>
      <c r="H72" s="16" t="s">
        <v>599</v>
      </c>
      <c r="I72" s="16"/>
      <c r="J72" s="15" t="s">
        <v>420</v>
      </c>
      <c r="K72" s="20" t="s">
        <v>443</v>
      </c>
      <c r="L72" s="21" t="s">
        <v>33</v>
      </c>
      <c r="M72" s="21"/>
      <c r="N72" s="109">
        <v>45100.0</v>
      </c>
      <c r="O72" s="109">
        <v>45113.0</v>
      </c>
      <c r="P72" s="110" t="s">
        <v>422</v>
      </c>
      <c r="Q72" s="111"/>
      <c r="R72" s="112">
        <v>45552.0</v>
      </c>
      <c r="S72" s="21" t="s">
        <v>423</v>
      </c>
      <c r="T72" s="21"/>
      <c r="U72" s="113"/>
      <c r="V72" s="113"/>
      <c r="W72" s="113"/>
      <c r="X72" s="138"/>
      <c r="Y72" s="138"/>
      <c r="Z72" s="162"/>
      <c r="AA72" s="162"/>
      <c r="AB72" s="114">
        <v>8333.0</v>
      </c>
      <c r="AC72" s="114">
        <v>8333.0</v>
      </c>
      <c r="AD72" s="114">
        <v>8333.0</v>
      </c>
      <c r="AE72" s="126" t="s">
        <v>128</v>
      </c>
      <c r="AF72" s="114">
        <v>8333.0</v>
      </c>
      <c r="AG72" s="114">
        <v>8333.0</v>
      </c>
      <c r="AH72" s="114">
        <v>8333.0</v>
      </c>
      <c r="AI72" s="114">
        <v>8333.0</v>
      </c>
      <c r="AJ72" s="114">
        <v>8333.0</v>
      </c>
      <c r="AK72" s="114">
        <v>8333.0</v>
      </c>
      <c r="AL72" s="114">
        <v>8333.0</v>
      </c>
      <c r="AM72" s="114">
        <v>8333.0</v>
      </c>
      <c r="AN72" s="114" t="s">
        <v>424</v>
      </c>
      <c r="AO72" s="114"/>
      <c r="AP72" s="114"/>
      <c r="AQ72" s="114"/>
      <c r="AR72" s="114"/>
      <c r="AS72" s="114"/>
      <c r="AT72" s="121"/>
      <c r="AU72" s="114"/>
      <c r="AV72" s="114"/>
      <c r="AW72" s="114"/>
      <c r="AX72" s="114"/>
      <c r="AY72" s="114"/>
      <c r="AZ72" s="114"/>
      <c r="BA72" s="114"/>
      <c r="BB72" s="114"/>
      <c r="BC72" s="114"/>
      <c r="BD72" s="114"/>
      <c r="BE72" s="114"/>
      <c r="BF72" s="121"/>
      <c r="BG72" s="114"/>
      <c r="BH72" s="114"/>
      <c r="BI72" s="114"/>
      <c r="BJ72" s="114"/>
      <c r="BK72" s="114"/>
      <c r="BL72" s="114"/>
      <c r="BM72" s="114"/>
      <c r="BN72" s="116">
        <f t="shared" si="1"/>
        <v>0</v>
      </c>
      <c r="BO72" s="117">
        <v>0.0</v>
      </c>
      <c r="BP72" s="117">
        <f>sum(AI72:AM72)</f>
        <v>41665</v>
      </c>
      <c r="BQ72" s="118">
        <f t="shared" si="17"/>
        <v>91663</v>
      </c>
      <c r="BR72" s="119">
        <f t="shared" si="3"/>
        <v>91663</v>
      </c>
    </row>
    <row r="73" ht="27.0" customHeight="1">
      <c r="A73" s="12">
        <f t="shared" si="4"/>
        <v>71</v>
      </c>
      <c r="B73" s="71" t="s">
        <v>163</v>
      </c>
      <c r="C73" s="12" t="s">
        <v>128</v>
      </c>
      <c r="D73" s="38" t="s">
        <v>194</v>
      </c>
      <c r="E73" s="157" t="s">
        <v>195</v>
      </c>
      <c r="F73" s="124">
        <v>9386.0</v>
      </c>
      <c r="G73" s="40" t="s">
        <v>600</v>
      </c>
      <c r="H73" s="16" t="s">
        <v>601</v>
      </c>
      <c r="I73" s="16"/>
      <c r="J73" s="15" t="s">
        <v>420</v>
      </c>
      <c r="K73" s="20" t="s">
        <v>448</v>
      </c>
      <c r="L73" s="21" t="s">
        <v>33</v>
      </c>
      <c r="M73" s="21"/>
      <c r="N73" s="109">
        <v>45114.0</v>
      </c>
      <c r="O73" s="109">
        <v>45114.0</v>
      </c>
      <c r="P73" s="110" t="s">
        <v>422</v>
      </c>
      <c r="Q73" s="111"/>
      <c r="R73" s="112">
        <v>45552.0</v>
      </c>
      <c r="S73" s="21" t="s">
        <v>423</v>
      </c>
      <c r="T73" s="21"/>
      <c r="U73" s="113"/>
      <c r="V73" s="113"/>
      <c r="W73" s="113"/>
      <c r="X73" s="138"/>
      <c r="Y73" s="138"/>
      <c r="Z73" s="138"/>
      <c r="AA73" s="138"/>
      <c r="AB73" s="167"/>
      <c r="AC73" s="114">
        <v>12500.0</v>
      </c>
      <c r="AD73" s="114">
        <v>12500.0</v>
      </c>
      <c r="AE73" s="114">
        <v>12500.0</v>
      </c>
      <c r="AF73" s="114">
        <v>12500.0</v>
      </c>
      <c r="AG73" s="114">
        <v>12500.0</v>
      </c>
      <c r="AH73" s="114">
        <v>12500.0</v>
      </c>
      <c r="AI73" s="114">
        <v>12500.0</v>
      </c>
      <c r="AJ73" s="114">
        <v>12500.0</v>
      </c>
      <c r="AK73" s="114">
        <v>12500.0</v>
      </c>
      <c r="AL73" s="114">
        <v>12500.0</v>
      </c>
      <c r="AM73" s="114">
        <v>12500.0</v>
      </c>
      <c r="AN73" s="114">
        <v>12500.0</v>
      </c>
      <c r="AO73" s="114" t="s">
        <v>424</v>
      </c>
      <c r="AP73" s="114"/>
      <c r="AQ73" s="114"/>
      <c r="AR73" s="114"/>
      <c r="AS73" s="114"/>
      <c r="AT73" s="121"/>
      <c r="AU73" s="114"/>
      <c r="AV73" s="114"/>
      <c r="AW73" s="114"/>
      <c r="AX73" s="114"/>
      <c r="AY73" s="114"/>
      <c r="AZ73" s="114"/>
      <c r="BA73" s="114"/>
      <c r="BB73" s="114"/>
      <c r="BC73" s="114"/>
      <c r="BD73" s="114"/>
      <c r="BE73" s="114"/>
      <c r="BF73" s="121"/>
      <c r="BG73" s="114"/>
      <c r="BH73" s="114"/>
      <c r="BI73" s="114"/>
      <c r="BJ73" s="114"/>
      <c r="BK73" s="114"/>
      <c r="BL73" s="114"/>
      <c r="BM73" s="114"/>
      <c r="BN73" s="116">
        <f t="shared" si="1"/>
        <v>0</v>
      </c>
      <c r="BO73" s="117">
        <v>0.0</v>
      </c>
      <c r="BP73" s="117">
        <f>sum(AI73:AN73)</f>
        <v>75000</v>
      </c>
      <c r="BQ73" s="118">
        <f t="shared" si="17"/>
        <v>150000</v>
      </c>
      <c r="BR73" s="119">
        <f t="shared" si="3"/>
        <v>150000</v>
      </c>
    </row>
    <row r="74" ht="27.0" customHeight="1">
      <c r="A74" s="12">
        <f t="shared" si="4"/>
        <v>72</v>
      </c>
      <c r="B74" s="71" t="s">
        <v>163</v>
      </c>
      <c r="C74" s="12" t="s">
        <v>128</v>
      </c>
      <c r="D74" s="38" t="s">
        <v>194</v>
      </c>
      <c r="E74" s="157" t="s">
        <v>195</v>
      </c>
      <c r="F74" s="124">
        <v>9346.0</v>
      </c>
      <c r="G74" s="40" t="s">
        <v>602</v>
      </c>
      <c r="H74" s="16" t="s">
        <v>603</v>
      </c>
      <c r="I74" s="16"/>
      <c r="J74" s="15" t="s">
        <v>420</v>
      </c>
      <c r="K74" s="20" t="s">
        <v>421</v>
      </c>
      <c r="L74" s="21" t="s">
        <v>33</v>
      </c>
      <c r="M74" s="21"/>
      <c r="N74" s="109">
        <v>45108.0</v>
      </c>
      <c r="O74" s="109">
        <v>45108.0</v>
      </c>
      <c r="P74" s="110" t="s">
        <v>422</v>
      </c>
      <c r="Q74" s="111"/>
      <c r="R74" s="112"/>
      <c r="S74" s="21" t="s">
        <v>423</v>
      </c>
      <c r="T74" s="21"/>
      <c r="U74" s="113"/>
      <c r="V74" s="113"/>
      <c r="W74" s="113"/>
      <c r="X74" s="138"/>
      <c r="Y74" s="138"/>
      <c r="Z74" s="138"/>
      <c r="AA74" s="138"/>
      <c r="AB74" s="167"/>
      <c r="AC74" s="114">
        <v>12500.0</v>
      </c>
      <c r="AD74" s="114">
        <f>150000-AC74</f>
        <v>137500</v>
      </c>
      <c r="AE74" s="114" t="s">
        <v>424</v>
      </c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21"/>
      <c r="AU74" s="114"/>
      <c r="AV74" s="114"/>
      <c r="AW74" s="114"/>
      <c r="AX74" s="114"/>
      <c r="AY74" s="114"/>
      <c r="AZ74" s="114"/>
      <c r="BA74" s="114"/>
      <c r="BB74" s="114"/>
      <c r="BC74" s="114"/>
      <c r="BD74" s="114"/>
      <c r="BE74" s="114"/>
      <c r="BF74" s="121"/>
      <c r="BG74" s="114"/>
      <c r="BH74" s="114"/>
      <c r="BI74" s="114"/>
      <c r="BJ74" s="114"/>
      <c r="BK74" s="114"/>
      <c r="BL74" s="114"/>
      <c r="BM74" s="114"/>
      <c r="BN74" s="116">
        <f t="shared" si="1"/>
        <v>0</v>
      </c>
      <c r="BO74" s="117">
        <v>0.0</v>
      </c>
      <c r="BP74" s="117">
        <v>0.0</v>
      </c>
      <c r="BQ74" s="118">
        <f t="shared" si="17"/>
        <v>150000</v>
      </c>
      <c r="BR74" s="119">
        <f t="shared" si="3"/>
        <v>150000</v>
      </c>
    </row>
    <row r="75" ht="27.0" customHeight="1">
      <c r="A75" s="12">
        <f t="shared" si="4"/>
        <v>73</v>
      </c>
      <c r="B75" s="71" t="s">
        <v>163</v>
      </c>
      <c r="C75" s="12" t="s">
        <v>128</v>
      </c>
      <c r="D75" s="38" t="s">
        <v>194</v>
      </c>
      <c r="E75" s="157" t="s">
        <v>195</v>
      </c>
      <c r="F75" s="124">
        <v>9646.0</v>
      </c>
      <c r="G75" s="40" t="s">
        <v>604</v>
      </c>
      <c r="H75" s="30" t="s">
        <v>605</v>
      </c>
      <c r="I75" s="30"/>
      <c r="J75" s="15" t="s">
        <v>420</v>
      </c>
      <c r="K75" s="20" t="s">
        <v>448</v>
      </c>
      <c r="L75" s="21" t="s">
        <v>33</v>
      </c>
      <c r="M75" s="21"/>
      <c r="N75" s="109">
        <v>45130.0</v>
      </c>
      <c r="O75" s="109">
        <v>45134.0</v>
      </c>
      <c r="P75" s="110" t="s">
        <v>422</v>
      </c>
      <c r="Q75" s="111"/>
      <c r="R75" s="112"/>
      <c r="S75" s="21" t="s">
        <v>423</v>
      </c>
      <c r="T75" s="21"/>
      <c r="U75" s="113"/>
      <c r="V75" s="113"/>
      <c r="W75" s="113"/>
      <c r="X75" s="138"/>
      <c r="Y75" s="138"/>
      <c r="Z75" s="138"/>
      <c r="AA75" s="138"/>
      <c r="AB75" s="167"/>
      <c r="AC75" s="114">
        <v>12500.0</v>
      </c>
      <c r="AD75" s="114" t="s">
        <v>440</v>
      </c>
      <c r="AE75" s="114">
        <v>12500.0</v>
      </c>
      <c r="AF75" s="114" t="s">
        <v>440</v>
      </c>
      <c r="AG75" s="114" t="s">
        <v>440</v>
      </c>
      <c r="AH75" s="114" t="s">
        <v>440</v>
      </c>
      <c r="AI75" s="114" t="s">
        <v>440</v>
      </c>
      <c r="AJ75" s="114" t="s">
        <v>440</v>
      </c>
      <c r="AK75" s="114" t="s">
        <v>440</v>
      </c>
      <c r="AL75" s="114" t="s">
        <v>440</v>
      </c>
      <c r="AM75" s="114" t="s">
        <v>440</v>
      </c>
      <c r="AN75" s="114" t="s">
        <v>440</v>
      </c>
      <c r="AO75" s="114" t="s">
        <v>424</v>
      </c>
      <c r="AP75" s="114"/>
      <c r="AQ75" s="114"/>
      <c r="AR75" s="114"/>
      <c r="AS75" s="114"/>
      <c r="AT75" s="121"/>
      <c r="AU75" s="114"/>
      <c r="AV75" s="114"/>
      <c r="AW75" s="114"/>
      <c r="AX75" s="114"/>
      <c r="AY75" s="114"/>
      <c r="AZ75" s="114"/>
      <c r="BA75" s="114"/>
      <c r="BB75" s="114"/>
      <c r="BC75" s="114"/>
      <c r="BD75" s="114"/>
      <c r="BE75" s="114"/>
      <c r="BF75" s="121"/>
      <c r="BG75" s="114"/>
      <c r="BH75" s="114"/>
      <c r="BI75" s="114"/>
      <c r="BJ75" s="114"/>
      <c r="BK75" s="114"/>
      <c r="BL75" s="114"/>
      <c r="BM75" s="114"/>
      <c r="BN75" s="116">
        <f t="shared" si="1"/>
        <v>0</v>
      </c>
      <c r="BO75" s="117">
        <v>0.0</v>
      </c>
      <c r="BP75" s="117">
        <v>0.0</v>
      </c>
      <c r="BQ75" s="118">
        <f t="shared" si="17"/>
        <v>25000</v>
      </c>
      <c r="BR75" s="119">
        <f t="shared" si="3"/>
        <v>25000</v>
      </c>
    </row>
    <row r="76" ht="27.0" customHeight="1">
      <c r="A76" s="12">
        <f t="shared" si="4"/>
        <v>74</v>
      </c>
      <c r="B76" s="71" t="s">
        <v>163</v>
      </c>
      <c r="C76" s="12" t="s">
        <v>128</v>
      </c>
      <c r="D76" s="38" t="s">
        <v>194</v>
      </c>
      <c r="E76" s="157" t="s">
        <v>195</v>
      </c>
      <c r="F76" s="124">
        <v>9766.0</v>
      </c>
      <c r="G76" s="40" t="s">
        <v>606</v>
      </c>
      <c r="H76" s="30" t="s">
        <v>607</v>
      </c>
      <c r="I76" s="30"/>
      <c r="J76" s="15" t="s">
        <v>420</v>
      </c>
      <c r="K76" s="20" t="s">
        <v>421</v>
      </c>
      <c r="L76" s="21" t="s">
        <v>33</v>
      </c>
      <c r="M76" s="21"/>
      <c r="N76" s="109">
        <v>45146.0</v>
      </c>
      <c r="O76" s="109">
        <v>45148.0</v>
      </c>
      <c r="P76" s="110" t="s">
        <v>422</v>
      </c>
      <c r="Q76" s="111"/>
      <c r="R76" s="112"/>
      <c r="S76" s="21" t="s">
        <v>423</v>
      </c>
      <c r="T76" s="21"/>
      <c r="U76" s="113"/>
      <c r="V76" s="113"/>
      <c r="W76" s="113"/>
      <c r="X76" s="138"/>
      <c r="Y76" s="138"/>
      <c r="Z76" s="138"/>
      <c r="AA76" s="138"/>
      <c r="AB76" s="167"/>
      <c r="AC76" s="167"/>
      <c r="AD76" s="114">
        <v>150000.0</v>
      </c>
      <c r="AE76" s="114" t="s">
        <v>424</v>
      </c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21"/>
      <c r="AU76" s="114"/>
      <c r="AV76" s="114"/>
      <c r="AW76" s="114"/>
      <c r="AX76" s="114"/>
      <c r="AY76" s="114"/>
      <c r="AZ76" s="114"/>
      <c r="BA76" s="114"/>
      <c r="BB76" s="114"/>
      <c r="BC76" s="114"/>
      <c r="BD76" s="114"/>
      <c r="BE76" s="114"/>
      <c r="BF76" s="121"/>
      <c r="BG76" s="114"/>
      <c r="BH76" s="114"/>
      <c r="BI76" s="114"/>
      <c r="BJ76" s="114"/>
      <c r="BK76" s="114"/>
      <c r="BL76" s="114"/>
      <c r="BM76" s="114"/>
      <c r="BN76" s="116">
        <f t="shared" si="1"/>
        <v>0</v>
      </c>
      <c r="BO76" s="117">
        <v>0.0</v>
      </c>
      <c r="BP76" s="117">
        <v>0.0</v>
      </c>
      <c r="BQ76" s="118">
        <f t="shared" si="17"/>
        <v>150000</v>
      </c>
      <c r="BR76" s="119">
        <f t="shared" si="3"/>
        <v>150000</v>
      </c>
    </row>
    <row r="77" ht="27.0" customHeight="1">
      <c r="A77" s="12">
        <f t="shared" si="4"/>
        <v>75</v>
      </c>
      <c r="B77" s="71" t="s">
        <v>163</v>
      </c>
      <c r="C77" s="12" t="s">
        <v>128</v>
      </c>
      <c r="D77" s="38" t="s">
        <v>194</v>
      </c>
      <c r="E77" s="157" t="s">
        <v>195</v>
      </c>
      <c r="F77" s="124">
        <v>9710.0</v>
      </c>
      <c r="G77" s="40" t="s">
        <v>608</v>
      </c>
      <c r="H77" s="30" t="s">
        <v>609</v>
      </c>
      <c r="I77" s="30"/>
      <c r="J77" s="15" t="s">
        <v>420</v>
      </c>
      <c r="K77" s="20" t="s">
        <v>448</v>
      </c>
      <c r="L77" s="21" t="s">
        <v>33</v>
      </c>
      <c r="M77" s="21"/>
      <c r="N77" s="109">
        <v>45149.0</v>
      </c>
      <c r="O77" s="109">
        <v>45149.0</v>
      </c>
      <c r="P77" s="110" t="s">
        <v>422</v>
      </c>
      <c r="Q77" s="111"/>
      <c r="R77" s="112"/>
      <c r="S77" s="21" t="s">
        <v>450</v>
      </c>
      <c r="T77" s="21" t="s">
        <v>434</v>
      </c>
      <c r="U77" s="113"/>
      <c r="V77" s="113"/>
      <c r="W77" s="113"/>
      <c r="X77" s="138"/>
      <c r="Y77" s="138"/>
      <c r="Z77" s="138"/>
      <c r="AA77" s="138"/>
      <c r="AB77" s="167"/>
      <c r="AC77" s="167"/>
      <c r="AD77" s="114">
        <v>12500.0</v>
      </c>
      <c r="AE77" s="114">
        <v>12500.0</v>
      </c>
      <c r="AF77" s="114">
        <v>12500.0</v>
      </c>
      <c r="AG77" s="114" t="s">
        <v>440</v>
      </c>
      <c r="AH77" s="114" t="s">
        <v>440</v>
      </c>
      <c r="AI77" s="114" t="s">
        <v>440</v>
      </c>
      <c r="AJ77" s="113">
        <v>12500.0</v>
      </c>
      <c r="AK77" s="114" t="s">
        <v>440</v>
      </c>
      <c r="AL77" s="113">
        <v>12500.0</v>
      </c>
      <c r="AM77" s="114" t="s">
        <v>440</v>
      </c>
      <c r="AN77" s="114" t="s">
        <v>440</v>
      </c>
      <c r="AO77" s="114" t="s">
        <v>440</v>
      </c>
      <c r="AP77" s="114" t="s">
        <v>424</v>
      </c>
      <c r="AQ77" s="114"/>
      <c r="AR77" s="114"/>
      <c r="AS77" s="114"/>
      <c r="AT77" s="121"/>
      <c r="AU77" s="114"/>
      <c r="AV77" s="114"/>
      <c r="AW77" s="114"/>
      <c r="AX77" s="114"/>
      <c r="AY77" s="114"/>
      <c r="AZ77" s="114"/>
      <c r="BA77" s="114"/>
      <c r="BB77" s="114"/>
      <c r="BC77" s="114"/>
      <c r="BD77" s="114"/>
      <c r="BE77" s="114"/>
      <c r="BF77" s="121"/>
      <c r="BG77" s="114"/>
      <c r="BH77" s="114"/>
      <c r="BI77" s="114"/>
      <c r="BJ77" s="114"/>
      <c r="BK77" s="114"/>
      <c r="BL77" s="114"/>
      <c r="BM77" s="114"/>
      <c r="BN77" s="123">
        <f t="shared" si="1"/>
        <v>25000</v>
      </c>
      <c r="BO77" s="117">
        <v>0.0</v>
      </c>
      <c r="BP77" s="117">
        <v>0.0</v>
      </c>
      <c r="BQ77" s="118">
        <f>sum(AD77:AI77)</f>
        <v>37500</v>
      </c>
      <c r="BR77" s="119">
        <f t="shared" si="3"/>
        <v>62500</v>
      </c>
    </row>
    <row r="78" ht="27.0" customHeight="1">
      <c r="A78" s="12">
        <f t="shared" si="4"/>
        <v>76</v>
      </c>
      <c r="B78" s="71" t="s">
        <v>163</v>
      </c>
      <c r="C78" s="12" t="s">
        <v>128</v>
      </c>
      <c r="D78" s="38" t="s">
        <v>194</v>
      </c>
      <c r="E78" s="157" t="s">
        <v>195</v>
      </c>
      <c r="F78" s="124">
        <v>9879.0</v>
      </c>
      <c r="G78" s="40" t="s">
        <v>610</v>
      </c>
      <c r="H78" s="16" t="s">
        <v>611</v>
      </c>
      <c r="I78" s="16"/>
      <c r="J78" s="15" t="s">
        <v>420</v>
      </c>
      <c r="K78" s="20" t="s">
        <v>448</v>
      </c>
      <c r="L78" s="21" t="s">
        <v>33</v>
      </c>
      <c r="M78" s="21"/>
      <c r="N78" s="109">
        <v>45180.0</v>
      </c>
      <c r="O78" s="109">
        <v>45180.0</v>
      </c>
      <c r="P78" s="110" t="s">
        <v>422</v>
      </c>
      <c r="Q78" s="111"/>
      <c r="R78" s="112"/>
      <c r="S78" s="21" t="s">
        <v>423</v>
      </c>
      <c r="T78" s="21"/>
      <c r="U78" s="113"/>
      <c r="V78" s="113"/>
      <c r="W78" s="113"/>
      <c r="X78" s="138"/>
      <c r="Y78" s="138"/>
      <c r="Z78" s="138"/>
      <c r="AA78" s="138"/>
      <c r="AB78" s="167"/>
      <c r="AC78" s="167"/>
      <c r="AD78" s="167"/>
      <c r="AE78" s="114">
        <v>12500.0</v>
      </c>
      <c r="AF78" s="114" t="s">
        <v>440</v>
      </c>
      <c r="AG78" s="114" t="s">
        <v>440</v>
      </c>
      <c r="AH78" s="114" t="s">
        <v>440</v>
      </c>
      <c r="AI78" s="114" t="s">
        <v>440</v>
      </c>
      <c r="AJ78" s="114" t="s">
        <v>440</v>
      </c>
      <c r="AK78" s="114" t="s">
        <v>440</v>
      </c>
      <c r="AL78" s="114" t="s">
        <v>440</v>
      </c>
      <c r="AM78" s="114" t="s">
        <v>440</v>
      </c>
      <c r="AN78" s="114" t="s">
        <v>440</v>
      </c>
      <c r="AO78" s="114" t="s">
        <v>440</v>
      </c>
      <c r="AP78" s="114" t="s">
        <v>440</v>
      </c>
      <c r="AQ78" s="114" t="s">
        <v>424</v>
      </c>
      <c r="AR78" s="114"/>
      <c r="AS78" s="114"/>
      <c r="AT78" s="121"/>
      <c r="AU78" s="114"/>
      <c r="AV78" s="114"/>
      <c r="AW78" s="114"/>
      <c r="AX78" s="114"/>
      <c r="AY78" s="114"/>
      <c r="AZ78" s="114"/>
      <c r="BA78" s="114"/>
      <c r="BB78" s="114"/>
      <c r="BC78" s="114"/>
      <c r="BD78" s="114"/>
      <c r="BE78" s="114"/>
      <c r="BF78" s="121"/>
      <c r="BG78" s="114"/>
      <c r="BH78" s="114"/>
      <c r="BI78" s="114"/>
      <c r="BJ78" s="114"/>
      <c r="BK78" s="114"/>
      <c r="BL78" s="114"/>
      <c r="BM78" s="114"/>
      <c r="BN78" s="116">
        <f t="shared" si="1"/>
        <v>0</v>
      </c>
      <c r="BO78" s="117">
        <v>0.0</v>
      </c>
      <c r="BP78" s="117">
        <v>0.0</v>
      </c>
      <c r="BQ78" s="118">
        <f t="shared" ref="BQ78:BQ83" si="18">sum(U78:BH78)</f>
        <v>12500</v>
      </c>
      <c r="BR78" s="119">
        <f t="shared" si="3"/>
        <v>12500</v>
      </c>
    </row>
    <row r="79" ht="27.0" customHeight="1">
      <c r="A79" s="12">
        <f t="shared" si="4"/>
        <v>77</v>
      </c>
      <c r="B79" s="71" t="s">
        <v>163</v>
      </c>
      <c r="C79" s="12" t="s">
        <v>128</v>
      </c>
      <c r="D79" s="38" t="s">
        <v>194</v>
      </c>
      <c r="E79" s="157" t="s">
        <v>195</v>
      </c>
      <c r="F79" s="124">
        <v>8623.0</v>
      </c>
      <c r="G79" s="40" t="s">
        <v>612</v>
      </c>
      <c r="H79" s="16" t="s">
        <v>613</v>
      </c>
      <c r="I79" s="16"/>
      <c r="J79" s="15" t="s">
        <v>420</v>
      </c>
      <c r="K79" s="20" t="s">
        <v>421</v>
      </c>
      <c r="L79" s="21" t="s">
        <v>33</v>
      </c>
      <c r="M79" s="21"/>
      <c r="N79" s="109">
        <v>45180.0</v>
      </c>
      <c r="O79" s="109">
        <v>45180.0</v>
      </c>
      <c r="P79" s="110" t="s">
        <v>422</v>
      </c>
      <c r="Q79" s="111"/>
      <c r="R79" s="112"/>
      <c r="S79" s="21" t="s">
        <v>423</v>
      </c>
      <c r="T79" s="21"/>
      <c r="U79" s="113"/>
      <c r="V79" s="113"/>
      <c r="W79" s="113"/>
      <c r="X79" s="138"/>
      <c r="Y79" s="138"/>
      <c r="Z79" s="138"/>
      <c r="AA79" s="138"/>
      <c r="AB79" s="167"/>
      <c r="AC79" s="167"/>
      <c r="AD79" s="167"/>
      <c r="AE79" s="114">
        <v>12500.0</v>
      </c>
      <c r="AF79" s="114" t="s">
        <v>440</v>
      </c>
      <c r="AG79" s="114" t="s">
        <v>440</v>
      </c>
      <c r="AH79" s="114" t="s">
        <v>440</v>
      </c>
      <c r="AI79" s="114" t="s">
        <v>440</v>
      </c>
      <c r="AJ79" s="114" t="s">
        <v>440</v>
      </c>
      <c r="AK79" s="114">
        <v>137500.0</v>
      </c>
      <c r="AL79" s="114" t="s">
        <v>424</v>
      </c>
      <c r="AM79" s="114"/>
      <c r="AN79" s="114"/>
      <c r="AO79" s="114"/>
      <c r="AP79" s="114"/>
      <c r="AQ79" s="114"/>
      <c r="AR79" s="114"/>
      <c r="AS79" s="114"/>
      <c r="AT79" s="121"/>
      <c r="AU79" s="114"/>
      <c r="AV79" s="114"/>
      <c r="AW79" s="114"/>
      <c r="AX79" s="114"/>
      <c r="AY79" s="114"/>
      <c r="AZ79" s="114"/>
      <c r="BA79" s="114"/>
      <c r="BB79" s="114"/>
      <c r="BC79" s="114"/>
      <c r="BD79" s="114"/>
      <c r="BE79" s="114"/>
      <c r="BF79" s="121"/>
      <c r="BG79" s="114"/>
      <c r="BH79" s="114"/>
      <c r="BI79" s="114"/>
      <c r="BJ79" s="114"/>
      <c r="BK79" s="114"/>
      <c r="BL79" s="114"/>
      <c r="BM79" s="114"/>
      <c r="BN79" s="116">
        <f t="shared" si="1"/>
        <v>0</v>
      </c>
      <c r="BO79" s="117">
        <v>0.0</v>
      </c>
      <c r="BP79" s="117">
        <v>0.0</v>
      </c>
      <c r="BQ79" s="118">
        <f t="shared" si="18"/>
        <v>150000</v>
      </c>
      <c r="BR79" s="119">
        <f t="shared" si="3"/>
        <v>150000</v>
      </c>
    </row>
    <row r="80" ht="27.0" customHeight="1">
      <c r="A80" s="12">
        <f t="shared" si="4"/>
        <v>78</v>
      </c>
      <c r="B80" s="71" t="s">
        <v>163</v>
      </c>
      <c r="C80" s="12" t="s">
        <v>128</v>
      </c>
      <c r="D80" s="38" t="s">
        <v>194</v>
      </c>
      <c r="E80" s="157" t="s">
        <v>195</v>
      </c>
      <c r="F80" s="124">
        <v>10027.0</v>
      </c>
      <c r="G80" s="40" t="s">
        <v>614</v>
      </c>
      <c r="H80" s="16" t="s">
        <v>615</v>
      </c>
      <c r="I80" s="16"/>
      <c r="J80" s="15" t="s">
        <v>420</v>
      </c>
      <c r="K80" s="20" t="s">
        <v>443</v>
      </c>
      <c r="L80" s="21" t="s">
        <v>33</v>
      </c>
      <c r="M80" s="21"/>
      <c r="N80" s="109">
        <v>45197.0</v>
      </c>
      <c r="O80" s="109">
        <v>45197.0</v>
      </c>
      <c r="P80" s="110" t="s">
        <v>422</v>
      </c>
      <c r="Q80" s="111"/>
      <c r="R80" s="112">
        <v>45552.0</v>
      </c>
      <c r="S80" s="21" t="s">
        <v>423</v>
      </c>
      <c r="T80" s="21"/>
      <c r="U80" s="113"/>
      <c r="V80" s="113"/>
      <c r="W80" s="113"/>
      <c r="X80" s="138"/>
      <c r="Y80" s="138"/>
      <c r="Z80" s="138"/>
      <c r="AA80" s="138"/>
      <c r="AB80" s="167"/>
      <c r="AC80" s="167"/>
      <c r="AD80" s="167"/>
      <c r="AE80" s="114">
        <v>8333.0</v>
      </c>
      <c r="AF80" s="114">
        <v>8333.0</v>
      </c>
      <c r="AG80" s="114">
        <v>8333.0</v>
      </c>
      <c r="AH80" s="114">
        <v>8333.0</v>
      </c>
      <c r="AI80" s="114">
        <v>8333.0</v>
      </c>
      <c r="AJ80" s="114">
        <v>8333.0</v>
      </c>
      <c r="AK80" s="114">
        <v>8333.0</v>
      </c>
      <c r="AL80" s="114">
        <v>8333.0</v>
      </c>
      <c r="AM80" s="114">
        <v>8333.0</v>
      </c>
      <c r="AN80" s="114">
        <v>8333.0</v>
      </c>
      <c r="AO80" s="114">
        <v>8333.0</v>
      </c>
      <c r="AP80" s="114">
        <v>8333.0</v>
      </c>
      <c r="AQ80" s="114" t="s">
        <v>424</v>
      </c>
      <c r="AR80" s="114"/>
      <c r="AS80" s="114"/>
      <c r="AT80" s="121"/>
      <c r="AU80" s="114"/>
      <c r="AV80" s="114"/>
      <c r="AW80" s="114"/>
      <c r="AX80" s="114"/>
      <c r="AY80" s="114"/>
      <c r="AZ80" s="114"/>
      <c r="BA80" s="114"/>
      <c r="BB80" s="114"/>
      <c r="BC80" s="114"/>
      <c r="BD80" s="114"/>
      <c r="BE80" s="114"/>
      <c r="BF80" s="121"/>
      <c r="BG80" s="114"/>
      <c r="BH80" s="114"/>
      <c r="BI80" s="114"/>
      <c r="BJ80" s="114"/>
      <c r="BK80" s="114"/>
      <c r="BL80" s="114"/>
      <c r="BM80" s="114"/>
      <c r="BN80" s="116">
        <f t="shared" si="1"/>
        <v>0</v>
      </c>
      <c r="BO80" s="117">
        <v>0.0</v>
      </c>
      <c r="BP80" s="117">
        <f>sum(AI80:AP80)</f>
        <v>66664</v>
      </c>
      <c r="BQ80" s="118">
        <f t="shared" si="18"/>
        <v>99996</v>
      </c>
      <c r="BR80" s="119">
        <f t="shared" si="3"/>
        <v>99996</v>
      </c>
    </row>
    <row r="81" ht="27.0" customHeight="1">
      <c r="A81" s="12">
        <f t="shared" si="4"/>
        <v>79</v>
      </c>
      <c r="B81" s="71" t="s">
        <v>163</v>
      </c>
      <c r="C81" s="12" t="s">
        <v>128</v>
      </c>
      <c r="D81" s="38" t="s">
        <v>194</v>
      </c>
      <c r="E81" s="157" t="s">
        <v>195</v>
      </c>
      <c r="F81" s="124">
        <v>10142.0</v>
      </c>
      <c r="G81" s="40" t="s">
        <v>616</v>
      </c>
      <c r="H81" s="16" t="s">
        <v>617</v>
      </c>
      <c r="I81" s="16"/>
      <c r="J81" s="15" t="s">
        <v>420</v>
      </c>
      <c r="K81" s="20" t="s">
        <v>439</v>
      </c>
      <c r="L81" s="21" t="s">
        <v>33</v>
      </c>
      <c r="M81" s="21"/>
      <c r="N81" s="109">
        <v>45202.0</v>
      </c>
      <c r="O81" s="109">
        <v>45202.0</v>
      </c>
      <c r="P81" s="110" t="s">
        <v>422</v>
      </c>
      <c r="Q81" s="111"/>
      <c r="R81" s="112">
        <v>45552.0</v>
      </c>
      <c r="S81" s="21" t="s">
        <v>423</v>
      </c>
      <c r="T81" s="21"/>
      <c r="U81" s="113"/>
      <c r="V81" s="113"/>
      <c r="W81" s="113"/>
      <c r="X81" s="138"/>
      <c r="Y81" s="138"/>
      <c r="Z81" s="138"/>
      <c r="AA81" s="138"/>
      <c r="AB81" s="167"/>
      <c r="AC81" s="167"/>
      <c r="AD81" s="167"/>
      <c r="AE81" s="167"/>
      <c r="AF81" s="114">
        <v>75000.0</v>
      </c>
      <c r="AG81" s="114" t="s">
        <v>128</v>
      </c>
      <c r="AH81" s="114" t="s">
        <v>128</v>
      </c>
      <c r="AI81" s="114" t="s">
        <v>128</v>
      </c>
      <c r="AJ81" s="114" t="s">
        <v>128</v>
      </c>
      <c r="AK81" s="114" t="s">
        <v>128</v>
      </c>
      <c r="AL81" s="114" t="s">
        <v>128</v>
      </c>
      <c r="AM81" s="114">
        <v>75000.0</v>
      </c>
      <c r="AN81" s="114" t="s">
        <v>424</v>
      </c>
      <c r="AO81" s="114"/>
      <c r="AP81" s="114"/>
      <c r="AQ81" s="114"/>
      <c r="AR81" s="114"/>
      <c r="AS81" s="114"/>
      <c r="AT81" s="121"/>
      <c r="AU81" s="114"/>
      <c r="AV81" s="114"/>
      <c r="AW81" s="114"/>
      <c r="AX81" s="114"/>
      <c r="AY81" s="114"/>
      <c r="AZ81" s="114"/>
      <c r="BA81" s="114"/>
      <c r="BB81" s="114"/>
      <c r="BC81" s="114"/>
      <c r="BD81" s="114"/>
      <c r="BE81" s="114"/>
      <c r="BF81" s="121"/>
      <c r="BG81" s="114"/>
      <c r="BH81" s="114"/>
      <c r="BI81" s="114"/>
      <c r="BJ81" s="114"/>
      <c r="BK81" s="114"/>
      <c r="BL81" s="114"/>
      <c r="BM81" s="114"/>
      <c r="BN81" s="116">
        <f t="shared" si="1"/>
        <v>0</v>
      </c>
      <c r="BO81" s="117">
        <v>0.0</v>
      </c>
      <c r="BP81" s="117">
        <f>sum(AM81)</f>
        <v>75000</v>
      </c>
      <c r="BQ81" s="118">
        <f t="shared" si="18"/>
        <v>150000</v>
      </c>
      <c r="BR81" s="119">
        <f t="shared" si="3"/>
        <v>150000</v>
      </c>
    </row>
    <row r="82" ht="27.0" customHeight="1">
      <c r="A82" s="12">
        <f t="shared" si="4"/>
        <v>80</v>
      </c>
      <c r="B82" s="71" t="s">
        <v>163</v>
      </c>
      <c r="C82" s="12" t="s">
        <v>128</v>
      </c>
      <c r="D82" s="38" t="s">
        <v>194</v>
      </c>
      <c r="E82" s="157" t="s">
        <v>195</v>
      </c>
      <c r="F82" s="124">
        <v>10213.0</v>
      </c>
      <c r="G82" s="40" t="s">
        <v>618</v>
      </c>
      <c r="H82" s="30" t="s">
        <v>619</v>
      </c>
      <c r="I82" s="30"/>
      <c r="J82" s="15" t="s">
        <v>420</v>
      </c>
      <c r="K82" s="20" t="s">
        <v>443</v>
      </c>
      <c r="L82" s="21" t="s">
        <v>33</v>
      </c>
      <c r="M82" s="21"/>
      <c r="N82" s="109">
        <v>45207.0</v>
      </c>
      <c r="O82" s="109">
        <v>45207.0</v>
      </c>
      <c r="P82" s="110" t="s">
        <v>422</v>
      </c>
      <c r="Q82" s="111"/>
      <c r="R82" s="112">
        <v>45552.0</v>
      </c>
      <c r="S82" s="21" t="s">
        <v>423</v>
      </c>
      <c r="T82" s="21"/>
      <c r="U82" s="113"/>
      <c r="V82" s="113"/>
      <c r="W82" s="113"/>
      <c r="X82" s="138"/>
      <c r="Y82" s="138"/>
      <c r="Z82" s="138"/>
      <c r="AA82" s="138"/>
      <c r="AB82" s="167"/>
      <c r="AC82" s="167"/>
      <c r="AD82" s="167"/>
      <c r="AE82" s="167"/>
      <c r="AF82" s="114">
        <v>8333.0</v>
      </c>
      <c r="AG82" s="114">
        <v>8333.0</v>
      </c>
      <c r="AH82" s="114">
        <v>8333.0</v>
      </c>
      <c r="AI82" s="114">
        <v>8333.0</v>
      </c>
      <c r="AJ82" s="114">
        <v>8333.0</v>
      </c>
      <c r="AK82" s="114">
        <v>8333.0</v>
      </c>
      <c r="AL82" s="114">
        <v>8333.0</v>
      </c>
      <c r="AM82" s="114">
        <v>8333.0</v>
      </c>
      <c r="AN82" s="114">
        <v>8333.0</v>
      </c>
      <c r="AO82" s="114" t="s">
        <v>440</v>
      </c>
      <c r="AP82" s="114" t="s">
        <v>440</v>
      </c>
      <c r="AQ82" s="114" t="s">
        <v>440</v>
      </c>
      <c r="AR82" s="114" t="s">
        <v>424</v>
      </c>
      <c r="AS82" s="114"/>
      <c r="AT82" s="121"/>
      <c r="AU82" s="114"/>
      <c r="AV82" s="114"/>
      <c r="AW82" s="114"/>
      <c r="AX82" s="114"/>
      <c r="AY82" s="114"/>
      <c r="AZ82" s="114"/>
      <c r="BA82" s="114"/>
      <c r="BB82" s="114"/>
      <c r="BC82" s="114"/>
      <c r="BD82" s="114"/>
      <c r="BE82" s="114"/>
      <c r="BF82" s="121"/>
      <c r="BG82" s="114"/>
      <c r="BH82" s="114"/>
      <c r="BI82" s="114"/>
      <c r="BJ82" s="114"/>
      <c r="BK82" s="114"/>
      <c r="BL82" s="114"/>
      <c r="BM82" s="114"/>
      <c r="BN82" s="116">
        <f t="shared" si="1"/>
        <v>0</v>
      </c>
      <c r="BO82" s="117">
        <v>0.0</v>
      </c>
      <c r="BP82" s="117">
        <f>sum(AI82:AQ82)</f>
        <v>49998</v>
      </c>
      <c r="BQ82" s="118">
        <f t="shared" si="18"/>
        <v>74997</v>
      </c>
      <c r="BR82" s="119">
        <f t="shared" si="3"/>
        <v>74997</v>
      </c>
    </row>
    <row r="83" ht="27.0" customHeight="1">
      <c r="A83" s="12">
        <f t="shared" si="4"/>
        <v>81</v>
      </c>
      <c r="B83" s="71" t="s">
        <v>163</v>
      </c>
      <c r="C83" s="12" t="s">
        <v>128</v>
      </c>
      <c r="D83" s="38" t="s">
        <v>194</v>
      </c>
      <c r="E83" s="157" t="s">
        <v>195</v>
      </c>
      <c r="F83" s="124">
        <v>10774.0</v>
      </c>
      <c r="G83" s="40" t="s">
        <v>620</v>
      </c>
      <c r="H83" s="168" t="s">
        <v>621</v>
      </c>
      <c r="I83" s="168"/>
      <c r="J83" s="15" t="s">
        <v>420</v>
      </c>
      <c r="K83" s="20" t="s">
        <v>421</v>
      </c>
      <c r="L83" s="21" t="s">
        <v>33</v>
      </c>
      <c r="M83" s="21"/>
      <c r="N83" s="109">
        <v>45268.0</v>
      </c>
      <c r="O83" s="109">
        <v>45274.0</v>
      </c>
      <c r="P83" s="110" t="s">
        <v>422</v>
      </c>
      <c r="Q83" s="111"/>
      <c r="R83" s="112"/>
      <c r="S83" s="21" t="s">
        <v>423</v>
      </c>
      <c r="T83" s="21"/>
      <c r="U83" s="113"/>
      <c r="V83" s="113"/>
      <c r="W83" s="113"/>
      <c r="X83" s="138"/>
      <c r="Y83" s="138"/>
      <c r="Z83" s="138"/>
      <c r="AA83" s="138"/>
      <c r="AB83" s="167"/>
      <c r="AC83" s="167"/>
      <c r="AD83" s="167"/>
      <c r="AE83" s="167"/>
      <c r="AF83" s="167"/>
      <c r="AG83" s="167"/>
      <c r="AH83" s="114">
        <v>150000.0</v>
      </c>
      <c r="AI83" s="114" t="s">
        <v>424</v>
      </c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21"/>
      <c r="AU83" s="114"/>
      <c r="AV83" s="114"/>
      <c r="AW83" s="114"/>
      <c r="AX83" s="114"/>
      <c r="AY83" s="114"/>
      <c r="AZ83" s="114"/>
      <c r="BA83" s="114"/>
      <c r="BB83" s="114"/>
      <c r="BC83" s="114"/>
      <c r="BD83" s="114"/>
      <c r="BE83" s="114"/>
      <c r="BF83" s="121"/>
      <c r="BG83" s="114"/>
      <c r="BH83" s="114"/>
      <c r="BI83" s="114"/>
      <c r="BJ83" s="114"/>
      <c r="BK83" s="114"/>
      <c r="BL83" s="114"/>
      <c r="BM83" s="114"/>
      <c r="BN83" s="116">
        <f t="shared" si="1"/>
        <v>0</v>
      </c>
      <c r="BO83" s="117">
        <v>0.0</v>
      </c>
      <c r="BP83" s="117">
        <v>0.0</v>
      </c>
      <c r="BQ83" s="118">
        <f t="shared" si="18"/>
        <v>150000</v>
      </c>
      <c r="BR83" s="119">
        <f t="shared" si="3"/>
        <v>150000</v>
      </c>
    </row>
    <row r="84" ht="27.0" customHeight="1">
      <c r="A84" s="12">
        <f t="shared" si="4"/>
        <v>82</v>
      </c>
      <c r="B84" s="71" t="s">
        <v>163</v>
      </c>
      <c r="C84" s="12" t="s">
        <v>128</v>
      </c>
      <c r="D84" s="38" t="s">
        <v>194</v>
      </c>
      <c r="E84" s="157" t="s">
        <v>195</v>
      </c>
      <c r="F84" s="124">
        <v>11004.0</v>
      </c>
      <c r="G84" s="169" t="s">
        <v>622</v>
      </c>
      <c r="H84" s="168" t="s">
        <v>623</v>
      </c>
      <c r="I84" s="168"/>
      <c r="J84" s="15" t="s">
        <v>420</v>
      </c>
      <c r="K84" s="20" t="s">
        <v>448</v>
      </c>
      <c r="L84" s="21" t="s">
        <v>33</v>
      </c>
      <c r="M84" s="21"/>
      <c r="N84" s="109">
        <v>45522.0</v>
      </c>
      <c r="O84" s="109">
        <v>45522.0</v>
      </c>
      <c r="P84" s="110" t="s">
        <v>422</v>
      </c>
      <c r="Q84" s="111"/>
      <c r="R84" s="112"/>
      <c r="S84" s="21" t="s">
        <v>433</v>
      </c>
      <c r="T84" s="21" t="s">
        <v>434</v>
      </c>
      <c r="U84" s="113"/>
      <c r="V84" s="113"/>
      <c r="W84" s="113"/>
      <c r="X84" s="138"/>
      <c r="Y84" s="138"/>
      <c r="Z84" s="138"/>
      <c r="AA84" s="138"/>
      <c r="AB84" s="167"/>
      <c r="AC84" s="167"/>
      <c r="AD84" s="167"/>
      <c r="AE84" s="167"/>
      <c r="AF84" s="167"/>
      <c r="AG84" s="167"/>
      <c r="AH84" s="167"/>
      <c r="AI84" s="113">
        <v>12500.0</v>
      </c>
      <c r="AJ84" s="114" t="s">
        <v>440</v>
      </c>
      <c r="AK84" s="114" t="s">
        <v>440</v>
      </c>
      <c r="AL84" s="114" t="s">
        <v>440</v>
      </c>
      <c r="AM84" s="114" t="s">
        <v>440</v>
      </c>
      <c r="AN84" s="114" t="s">
        <v>440</v>
      </c>
      <c r="AO84" s="114" t="s">
        <v>440</v>
      </c>
      <c r="AP84" s="137">
        <v>8333.0</v>
      </c>
      <c r="AQ84" s="137">
        <v>8333.0</v>
      </c>
      <c r="AR84" s="137">
        <v>8333.0</v>
      </c>
      <c r="AS84" s="137">
        <v>8333.0</v>
      </c>
      <c r="AT84" s="139">
        <v>8333.0</v>
      </c>
      <c r="AU84" s="114" t="s">
        <v>424</v>
      </c>
      <c r="AV84" s="114"/>
      <c r="AW84" s="114"/>
      <c r="AX84" s="114"/>
      <c r="AY84" s="114"/>
      <c r="AZ84" s="114"/>
      <c r="BA84" s="114"/>
      <c r="BB84" s="114"/>
      <c r="BC84" s="114"/>
      <c r="BD84" s="114"/>
      <c r="BE84" s="114"/>
      <c r="BF84" s="121"/>
      <c r="BG84" s="114"/>
      <c r="BH84" s="114"/>
      <c r="BI84" s="114"/>
      <c r="BJ84" s="114"/>
      <c r="BK84" s="114"/>
      <c r="BL84" s="114"/>
      <c r="BM84" s="114"/>
      <c r="BN84" s="123">
        <f t="shared" si="1"/>
        <v>54165</v>
      </c>
      <c r="BO84" s="117">
        <v>0.0</v>
      </c>
      <c r="BP84" s="117">
        <v>0.0</v>
      </c>
      <c r="BQ84" s="118">
        <v>0.0</v>
      </c>
      <c r="BR84" s="119">
        <f t="shared" si="3"/>
        <v>54165</v>
      </c>
    </row>
    <row r="85" ht="27.0" customHeight="1">
      <c r="A85" s="12">
        <f t="shared" si="4"/>
        <v>83</v>
      </c>
      <c r="B85" s="71" t="s">
        <v>163</v>
      </c>
      <c r="C85" s="12" t="s">
        <v>128</v>
      </c>
      <c r="D85" s="38" t="s">
        <v>194</v>
      </c>
      <c r="E85" s="157" t="s">
        <v>195</v>
      </c>
      <c r="F85" s="124">
        <v>10966.0</v>
      </c>
      <c r="G85" s="40" t="s">
        <v>624</v>
      </c>
      <c r="H85" s="168" t="s">
        <v>624</v>
      </c>
      <c r="I85" s="168"/>
      <c r="J85" s="15" t="s">
        <v>420</v>
      </c>
      <c r="K85" s="20" t="s">
        <v>448</v>
      </c>
      <c r="L85" s="21" t="s">
        <v>33</v>
      </c>
      <c r="M85" s="21"/>
      <c r="N85" s="109">
        <v>45314.0</v>
      </c>
      <c r="O85" s="109">
        <v>45314.0</v>
      </c>
      <c r="P85" s="110" t="s">
        <v>422</v>
      </c>
      <c r="Q85" s="111">
        <v>45552.0</v>
      </c>
      <c r="R85" s="112">
        <v>45911.0</v>
      </c>
      <c r="S85" s="21" t="s">
        <v>423</v>
      </c>
      <c r="T85" s="21"/>
      <c r="U85" s="113"/>
      <c r="V85" s="113"/>
      <c r="W85" s="113"/>
      <c r="X85" s="138"/>
      <c r="Y85" s="138"/>
      <c r="Z85" s="138"/>
      <c r="AA85" s="138"/>
      <c r="AB85" s="167"/>
      <c r="AC85" s="167"/>
      <c r="AD85" s="167"/>
      <c r="AE85" s="167"/>
      <c r="AF85" s="167"/>
      <c r="AG85" s="167"/>
      <c r="AH85" s="167"/>
      <c r="AI85" s="114">
        <v>12500.0</v>
      </c>
      <c r="AJ85" s="114">
        <v>12500.0</v>
      </c>
      <c r="AK85" s="114">
        <v>12500.0</v>
      </c>
      <c r="AL85" s="114">
        <v>12500.0</v>
      </c>
      <c r="AM85" s="114">
        <v>12500.0</v>
      </c>
      <c r="AN85" s="114">
        <v>12500.0</v>
      </c>
      <c r="AO85" s="114" t="s">
        <v>440</v>
      </c>
      <c r="AP85" s="114">
        <v>12500.0</v>
      </c>
      <c r="AQ85" s="114">
        <v>12500.0</v>
      </c>
      <c r="AR85" s="114">
        <v>12500.0</v>
      </c>
      <c r="AS85" s="114">
        <v>12500.0</v>
      </c>
      <c r="AT85" s="121">
        <v>12500.0</v>
      </c>
      <c r="AU85" s="114">
        <v>12500.0</v>
      </c>
      <c r="AV85" s="114" t="s">
        <v>424</v>
      </c>
      <c r="AW85" s="114"/>
      <c r="AX85" s="114"/>
      <c r="AY85" s="114"/>
      <c r="AZ85" s="114"/>
      <c r="BA85" s="114"/>
      <c r="BB85" s="114"/>
      <c r="BC85" s="114"/>
      <c r="BD85" s="114"/>
      <c r="BE85" s="114"/>
      <c r="BF85" s="121"/>
      <c r="BG85" s="114"/>
      <c r="BH85" s="114"/>
      <c r="BI85" s="114"/>
      <c r="BJ85" s="114"/>
      <c r="BK85" s="114"/>
      <c r="BL85" s="114"/>
      <c r="BM85" s="114"/>
      <c r="BN85" s="116">
        <f t="shared" si="1"/>
        <v>0</v>
      </c>
      <c r="BO85" s="117">
        <f>sum(AI85:AQ85)</f>
        <v>100000</v>
      </c>
      <c r="BP85" s="117">
        <v>50000.0</v>
      </c>
      <c r="BQ85" s="118">
        <f t="shared" ref="BQ85:BQ90" si="19">sum(U85:BH85)</f>
        <v>150000</v>
      </c>
      <c r="BR85" s="119">
        <f t="shared" si="3"/>
        <v>150000</v>
      </c>
    </row>
    <row r="86" ht="27.0" customHeight="1">
      <c r="A86" s="12">
        <f t="shared" si="4"/>
        <v>84</v>
      </c>
      <c r="B86" s="71" t="s">
        <v>163</v>
      </c>
      <c r="C86" s="12" t="s">
        <v>128</v>
      </c>
      <c r="D86" s="38" t="s">
        <v>194</v>
      </c>
      <c r="E86" s="157" t="s">
        <v>195</v>
      </c>
      <c r="F86" s="124">
        <v>11046.0</v>
      </c>
      <c r="G86" s="40" t="s">
        <v>625</v>
      </c>
      <c r="H86" s="30" t="s">
        <v>625</v>
      </c>
      <c r="I86" s="30"/>
      <c r="J86" s="15" t="s">
        <v>420</v>
      </c>
      <c r="K86" s="20" t="s">
        <v>421</v>
      </c>
      <c r="L86" s="21" t="s">
        <v>33</v>
      </c>
      <c r="M86" s="21"/>
      <c r="N86" s="109">
        <v>45316.0</v>
      </c>
      <c r="O86" s="109">
        <v>45316.0</v>
      </c>
      <c r="P86" s="110" t="s">
        <v>422</v>
      </c>
      <c r="Q86" s="111">
        <v>45552.0</v>
      </c>
      <c r="R86" s="112"/>
      <c r="S86" s="21" t="s">
        <v>423</v>
      </c>
      <c r="T86" s="21"/>
      <c r="U86" s="113"/>
      <c r="V86" s="113"/>
      <c r="W86" s="113"/>
      <c r="X86" s="138"/>
      <c r="Y86" s="138"/>
      <c r="Z86" s="138"/>
      <c r="AA86" s="138"/>
      <c r="AB86" s="167"/>
      <c r="AC86" s="167"/>
      <c r="AD86" s="167"/>
      <c r="AE86" s="167"/>
      <c r="AF86" s="167"/>
      <c r="AG86" s="167"/>
      <c r="AH86" s="167"/>
      <c r="AI86" s="114">
        <v>150000.0</v>
      </c>
      <c r="AJ86" s="114" t="s">
        <v>424</v>
      </c>
      <c r="AK86" s="113"/>
      <c r="AL86" s="113"/>
      <c r="AM86" s="113"/>
      <c r="AN86" s="113"/>
      <c r="AO86" s="113"/>
      <c r="AP86" s="113"/>
      <c r="AQ86" s="113"/>
      <c r="AR86" s="113"/>
      <c r="AS86" s="113"/>
      <c r="AT86" s="115"/>
      <c r="AU86" s="113"/>
      <c r="AV86" s="113"/>
      <c r="AW86" s="113"/>
      <c r="AX86" s="113"/>
      <c r="AY86" s="113"/>
      <c r="AZ86" s="113"/>
      <c r="BA86" s="113"/>
      <c r="BB86" s="113"/>
      <c r="BC86" s="113"/>
      <c r="BD86" s="113"/>
      <c r="BE86" s="113"/>
      <c r="BF86" s="115"/>
      <c r="BG86" s="113"/>
      <c r="BH86" s="113"/>
      <c r="BI86" s="113"/>
      <c r="BJ86" s="113"/>
      <c r="BK86" s="113"/>
      <c r="BL86" s="113"/>
      <c r="BM86" s="113"/>
      <c r="BN86" s="116">
        <f t="shared" si="1"/>
        <v>0</v>
      </c>
      <c r="BO86" s="117">
        <f t="shared" ref="BO86:BO88" si="20">SUM(AI86)</f>
        <v>150000</v>
      </c>
      <c r="BP86" s="117">
        <v>0.0</v>
      </c>
      <c r="BQ86" s="118">
        <f t="shared" si="19"/>
        <v>150000</v>
      </c>
      <c r="BR86" s="119">
        <f t="shared" si="3"/>
        <v>150000</v>
      </c>
    </row>
    <row r="87" ht="27.0" customHeight="1">
      <c r="A87" s="12">
        <f t="shared" si="4"/>
        <v>85</v>
      </c>
      <c r="B87" s="71" t="s">
        <v>163</v>
      </c>
      <c r="C87" s="12" t="s">
        <v>128</v>
      </c>
      <c r="D87" s="38" t="s">
        <v>194</v>
      </c>
      <c r="E87" s="157" t="s">
        <v>195</v>
      </c>
      <c r="F87" s="124">
        <v>11052.0</v>
      </c>
      <c r="G87" s="40" t="s">
        <v>626</v>
      </c>
      <c r="H87" s="30" t="s">
        <v>627</v>
      </c>
      <c r="I87" s="30"/>
      <c r="J87" s="15" t="s">
        <v>420</v>
      </c>
      <c r="K87" s="20" t="s">
        <v>439</v>
      </c>
      <c r="L87" s="21" t="s">
        <v>33</v>
      </c>
      <c r="M87" s="21"/>
      <c r="N87" s="109">
        <v>45313.0</v>
      </c>
      <c r="O87" s="109">
        <v>45313.0</v>
      </c>
      <c r="P87" s="110" t="s">
        <v>422</v>
      </c>
      <c r="Q87" s="111">
        <v>45552.0</v>
      </c>
      <c r="R87" s="112">
        <v>45650.0</v>
      </c>
      <c r="S87" s="21" t="s">
        <v>423</v>
      </c>
      <c r="T87" s="21"/>
      <c r="U87" s="113"/>
      <c r="V87" s="113"/>
      <c r="W87" s="113"/>
      <c r="X87" s="138"/>
      <c r="Y87" s="138"/>
      <c r="Z87" s="138"/>
      <c r="AA87" s="138"/>
      <c r="AB87" s="167"/>
      <c r="AC87" s="167"/>
      <c r="AD87" s="167"/>
      <c r="AE87" s="167"/>
      <c r="AF87" s="167"/>
      <c r="AG87" s="167"/>
      <c r="AH87" s="167"/>
      <c r="AI87" s="114">
        <v>75000.0</v>
      </c>
      <c r="AJ87" s="113" t="s">
        <v>128</v>
      </c>
      <c r="AK87" s="113" t="s">
        <v>128</v>
      </c>
      <c r="AL87" s="113" t="s">
        <v>128</v>
      </c>
      <c r="AM87" s="113" t="s">
        <v>128</v>
      </c>
      <c r="AN87" s="113" t="s">
        <v>128</v>
      </c>
      <c r="AO87" s="114">
        <v>75000.0</v>
      </c>
      <c r="AP87" s="114" t="s">
        <v>424</v>
      </c>
      <c r="AQ87" s="113"/>
      <c r="AR87" s="113"/>
      <c r="AS87" s="113"/>
      <c r="AT87" s="115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5"/>
      <c r="BG87" s="113"/>
      <c r="BH87" s="113"/>
      <c r="BI87" s="113"/>
      <c r="BJ87" s="113"/>
      <c r="BK87" s="113"/>
      <c r="BL87" s="113"/>
      <c r="BM87" s="113"/>
      <c r="BN87" s="116">
        <f t="shared" si="1"/>
        <v>0</v>
      </c>
      <c r="BO87" s="117">
        <f t="shared" si="20"/>
        <v>75000</v>
      </c>
      <c r="BP87" s="117">
        <f>sum(AO87)</f>
        <v>75000</v>
      </c>
      <c r="BQ87" s="118">
        <f t="shared" si="19"/>
        <v>150000</v>
      </c>
      <c r="BR87" s="119">
        <f t="shared" si="3"/>
        <v>150000</v>
      </c>
    </row>
    <row r="88" ht="27.0" customHeight="1">
      <c r="A88" s="12">
        <f t="shared" si="4"/>
        <v>86</v>
      </c>
      <c r="B88" s="71" t="s">
        <v>163</v>
      </c>
      <c r="C88" s="12" t="s">
        <v>128</v>
      </c>
      <c r="D88" s="38" t="s">
        <v>194</v>
      </c>
      <c r="E88" s="157" t="s">
        <v>195</v>
      </c>
      <c r="F88" s="124">
        <v>11165.0</v>
      </c>
      <c r="G88" s="40" t="s">
        <v>35</v>
      </c>
      <c r="H88" s="30" t="s">
        <v>36</v>
      </c>
      <c r="I88" s="30"/>
      <c r="J88" s="15" t="s">
        <v>420</v>
      </c>
      <c r="K88" s="20" t="s">
        <v>421</v>
      </c>
      <c r="L88" s="21" t="s">
        <v>33</v>
      </c>
      <c r="M88" s="21"/>
      <c r="N88" s="109">
        <v>45317.0</v>
      </c>
      <c r="O88" s="109">
        <v>45337.0</v>
      </c>
      <c r="P88" s="110" t="s">
        <v>422</v>
      </c>
      <c r="Q88" s="111">
        <v>45552.0</v>
      </c>
      <c r="R88" s="112"/>
      <c r="S88" s="21" t="s">
        <v>423</v>
      </c>
      <c r="T88" s="21"/>
      <c r="U88" s="113"/>
      <c r="V88" s="113"/>
      <c r="W88" s="113"/>
      <c r="X88" s="138"/>
      <c r="Y88" s="138"/>
      <c r="Z88" s="138"/>
      <c r="AA88" s="138"/>
      <c r="AB88" s="167"/>
      <c r="AC88" s="167"/>
      <c r="AD88" s="167"/>
      <c r="AE88" s="167"/>
      <c r="AF88" s="167"/>
      <c r="AG88" s="167"/>
      <c r="AH88" s="167"/>
      <c r="AI88" s="114">
        <v>150000.0</v>
      </c>
      <c r="AJ88" s="114" t="s">
        <v>424</v>
      </c>
      <c r="AK88" s="113"/>
      <c r="AL88" s="113"/>
      <c r="AM88" s="113"/>
      <c r="AN88" s="113"/>
      <c r="AO88" s="113"/>
      <c r="AP88" s="113"/>
      <c r="AQ88" s="113"/>
      <c r="AR88" s="113"/>
      <c r="AS88" s="113"/>
      <c r="AT88" s="115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5"/>
      <c r="BG88" s="113"/>
      <c r="BH88" s="113"/>
      <c r="BI88" s="113"/>
      <c r="BJ88" s="113"/>
      <c r="BK88" s="113"/>
      <c r="BL88" s="113"/>
      <c r="BM88" s="113"/>
      <c r="BN88" s="116">
        <f t="shared" si="1"/>
        <v>0</v>
      </c>
      <c r="BO88" s="117">
        <f t="shared" si="20"/>
        <v>150000</v>
      </c>
      <c r="BP88" s="117">
        <v>0.0</v>
      </c>
      <c r="BQ88" s="118">
        <f t="shared" si="19"/>
        <v>150000</v>
      </c>
      <c r="BR88" s="119">
        <f t="shared" si="3"/>
        <v>150000</v>
      </c>
    </row>
    <row r="89" ht="27.0" customHeight="1">
      <c r="A89" s="12">
        <f t="shared" si="4"/>
        <v>87</v>
      </c>
      <c r="B89" s="71" t="s">
        <v>163</v>
      </c>
      <c r="C89" s="12" t="s">
        <v>128</v>
      </c>
      <c r="D89" s="38" t="s">
        <v>194</v>
      </c>
      <c r="E89" s="157" t="s">
        <v>195</v>
      </c>
      <c r="F89" s="124">
        <v>11265.0</v>
      </c>
      <c r="G89" s="40" t="s">
        <v>628</v>
      </c>
      <c r="H89" s="30" t="s">
        <v>629</v>
      </c>
      <c r="I89" s="30"/>
      <c r="J89" s="15" t="s">
        <v>420</v>
      </c>
      <c r="K89" s="20" t="s">
        <v>421</v>
      </c>
      <c r="L89" s="21" t="s">
        <v>33</v>
      </c>
      <c r="M89" s="21"/>
      <c r="N89" s="109">
        <v>45340.0</v>
      </c>
      <c r="O89" s="109">
        <v>45340.0</v>
      </c>
      <c r="P89" s="110" t="s">
        <v>422</v>
      </c>
      <c r="Q89" s="111">
        <v>45552.0</v>
      </c>
      <c r="R89" s="112"/>
      <c r="S89" s="21" t="s">
        <v>423</v>
      </c>
      <c r="T89" s="21"/>
      <c r="U89" s="113"/>
      <c r="V89" s="113"/>
      <c r="W89" s="113"/>
      <c r="X89" s="138"/>
      <c r="Y89" s="138"/>
      <c r="Z89" s="138"/>
      <c r="AA89" s="138"/>
      <c r="AB89" s="167"/>
      <c r="AC89" s="167"/>
      <c r="AD89" s="167"/>
      <c r="AE89" s="167"/>
      <c r="AF89" s="167"/>
      <c r="AG89" s="167"/>
      <c r="AH89" s="167"/>
      <c r="AI89" s="167"/>
      <c r="AJ89" s="114">
        <v>150000.0</v>
      </c>
      <c r="AK89" s="114" t="s">
        <v>424</v>
      </c>
      <c r="AL89" s="113"/>
      <c r="AM89" s="113"/>
      <c r="AN89" s="113"/>
      <c r="AO89" s="113"/>
      <c r="AP89" s="113"/>
      <c r="AQ89" s="113"/>
      <c r="AR89" s="113"/>
      <c r="AS89" s="113"/>
      <c r="AT89" s="115"/>
      <c r="AU89" s="113"/>
      <c r="AV89" s="113"/>
      <c r="AW89" s="113"/>
      <c r="AX89" s="113"/>
      <c r="AY89" s="113"/>
      <c r="AZ89" s="113"/>
      <c r="BA89" s="113"/>
      <c r="BB89" s="113"/>
      <c r="BC89" s="113"/>
      <c r="BD89" s="113"/>
      <c r="BE89" s="113"/>
      <c r="BF89" s="115"/>
      <c r="BG89" s="113"/>
      <c r="BH89" s="113"/>
      <c r="BI89" s="113"/>
      <c r="BJ89" s="113"/>
      <c r="BK89" s="113"/>
      <c r="BL89" s="113"/>
      <c r="BM89" s="113"/>
      <c r="BN89" s="116">
        <f t="shared" si="1"/>
        <v>0</v>
      </c>
      <c r="BO89" s="117">
        <f>SUM(AJ89)</f>
        <v>150000</v>
      </c>
      <c r="BP89" s="117">
        <v>0.0</v>
      </c>
      <c r="BQ89" s="118">
        <f t="shared" si="19"/>
        <v>150000</v>
      </c>
      <c r="BR89" s="119">
        <f t="shared" si="3"/>
        <v>150000</v>
      </c>
    </row>
    <row r="90" ht="27.0" customHeight="1">
      <c r="A90" s="12">
        <f t="shared" si="4"/>
        <v>88</v>
      </c>
      <c r="B90" s="71" t="s">
        <v>163</v>
      </c>
      <c r="C90" s="12" t="s">
        <v>128</v>
      </c>
      <c r="D90" s="38" t="s">
        <v>194</v>
      </c>
      <c r="E90" s="157" t="s">
        <v>195</v>
      </c>
      <c r="F90" s="124">
        <v>11307.0</v>
      </c>
      <c r="G90" s="40" t="s">
        <v>630</v>
      </c>
      <c r="H90" s="30" t="s">
        <v>631</v>
      </c>
      <c r="I90" s="30"/>
      <c r="J90" s="15" t="s">
        <v>420</v>
      </c>
      <c r="K90" s="20" t="s">
        <v>443</v>
      </c>
      <c r="L90" s="21" t="s">
        <v>33</v>
      </c>
      <c r="M90" s="21"/>
      <c r="N90" s="109">
        <v>45345.0</v>
      </c>
      <c r="O90" s="109">
        <v>45346.0</v>
      </c>
      <c r="P90" s="110" t="s">
        <v>422</v>
      </c>
      <c r="Q90" s="111">
        <v>45552.0</v>
      </c>
      <c r="R90" s="112"/>
      <c r="S90" s="21" t="s">
        <v>423</v>
      </c>
      <c r="T90" s="21"/>
      <c r="U90" s="113"/>
      <c r="V90" s="113"/>
      <c r="W90" s="113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14">
        <v>12500.0</v>
      </c>
      <c r="AK90" s="114">
        <v>12500.0</v>
      </c>
      <c r="AL90" s="114">
        <v>12500.0</v>
      </c>
      <c r="AM90" s="114">
        <v>12500.0</v>
      </c>
      <c r="AN90" s="114" t="s">
        <v>440</v>
      </c>
      <c r="AO90" s="114">
        <v>8333.0</v>
      </c>
      <c r="AP90" s="114" t="s">
        <v>440</v>
      </c>
      <c r="AQ90" s="114" t="s">
        <v>440</v>
      </c>
      <c r="AR90" s="114" t="s">
        <v>440</v>
      </c>
      <c r="AS90" s="114" t="s">
        <v>440</v>
      </c>
      <c r="AT90" s="121" t="s">
        <v>440</v>
      </c>
      <c r="AU90" s="114" t="s">
        <v>440</v>
      </c>
      <c r="AV90" s="114" t="s">
        <v>632</v>
      </c>
      <c r="AW90" s="114"/>
      <c r="AX90" s="114"/>
      <c r="AY90" s="114"/>
      <c r="AZ90" s="114"/>
      <c r="BA90" s="114"/>
      <c r="BB90" s="114"/>
      <c r="BC90" s="114"/>
      <c r="BD90" s="114"/>
      <c r="BE90" s="114"/>
      <c r="BF90" s="121"/>
      <c r="BG90" s="114"/>
      <c r="BH90" s="114"/>
      <c r="BI90" s="114"/>
      <c r="BJ90" s="114"/>
      <c r="BK90" s="114"/>
      <c r="BL90" s="114"/>
      <c r="BM90" s="114"/>
      <c r="BN90" s="116">
        <f t="shared" si="1"/>
        <v>0</v>
      </c>
      <c r="BO90" s="117">
        <f>SUM(AJ90:AU90)</f>
        <v>58333</v>
      </c>
      <c r="BP90" s="117">
        <v>0.0</v>
      </c>
      <c r="BQ90" s="118">
        <f t="shared" si="19"/>
        <v>58333</v>
      </c>
      <c r="BR90" s="119">
        <f t="shared" si="3"/>
        <v>58333</v>
      </c>
    </row>
    <row r="91" ht="27.75" customHeight="1">
      <c r="A91" s="12">
        <f t="shared" si="4"/>
        <v>89</v>
      </c>
      <c r="B91" s="71" t="s">
        <v>163</v>
      </c>
      <c r="C91" s="12" t="s">
        <v>128</v>
      </c>
      <c r="D91" s="38" t="s">
        <v>194</v>
      </c>
      <c r="E91" s="157" t="s">
        <v>195</v>
      </c>
      <c r="F91" s="163">
        <v>11378.0</v>
      </c>
      <c r="G91" s="164" t="s">
        <v>633</v>
      </c>
      <c r="H91" s="165" t="s">
        <v>634</v>
      </c>
      <c r="I91" s="30"/>
      <c r="J91" s="15" t="s">
        <v>420</v>
      </c>
      <c r="K91" s="20" t="s">
        <v>448</v>
      </c>
      <c r="L91" s="21" t="s">
        <v>33</v>
      </c>
      <c r="M91" s="21"/>
      <c r="N91" s="109">
        <v>45348.0</v>
      </c>
      <c r="O91" s="109">
        <v>45351.0</v>
      </c>
      <c r="P91" s="110" t="s">
        <v>422</v>
      </c>
      <c r="Q91" s="111">
        <v>45552.0</v>
      </c>
      <c r="R91" s="112"/>
      <c r="S91" s="21" t="s">
        <v>450</v>
      </c>
      <c r="T91" s="21" t="s">
        <v>434</v>
      </c>
      <c r="U91" s="113"/>
      <c r="V91" s="113"/>
      <c r="W91" s="113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14">
        <v>12500.0</v>
      </c>
      <c r="AK91" s="114">
        <v>12500.0</v>
      </c>
      <c r="AL91" s="114">
        <v>12500.0</v>
      </c>
      <c r="AM91" s="114">
        <v>12500.0</v>
      </c>
      <c r="AN91" s="114">
        <v>12500.0</v>
      </c>
      <c r="AO91" s="114">
        <v>12500.0</v>
      </c>
      <c r="AP91" s="114" t="s">
        <v>440</v>
      </c>
      <c r="AQ91" s="114" t="s">
        <v>440</v>
      </c>
      <c r="AR91" s="114" t="s">
        <v>440</v>
      </c>
      <c r="AS91" s="137">
        <v>8333.0</v>
      </c>
      <c r="AT91" s="121" t="s">
        <v>440</v>
      </c>
      <c r="AU91" s="114" t="s">
        <v>440</v>
      </c>
      <c r="AV91" s="114" t="s">
        <v>632</v>
      </c>
      <c r="AW91" s="137"/>
      <c r="AX91" s="137"/>
      <c r="AY91" s="137"/>
      <c r="AZ91" s="137"/>
      <c r="BA91" s="137"/>
      <c r="BB91" s="137"/>
      <c r="BC91" s="137"/>
      <c r="BD91" s="137"/>
      <c r="BE91" s="137"/>
      <c r="BF91" s="139"/>
      <c r="BG91" s="137"/>
      <c r="BH91" s="137"/>
      <c r="BI91" s="137"/>
      <c r="BJ91" s="137"/>
      <c r="BK91" s="137"/>
      <c r="BL91" s="137"/>
      <c r="BM91" s="137"/>
      <c r="BN91" s="123">
        <f t="shared" si="1"/>
        <v>8333</v>
      </c>
      <c r="BO91" s="117">
        <f>SUM(AJ91:AR91)</f>
        <v>75000</v>
      </c>
      <c r="BP91" s="117">
        <v>0.0</v>
      </c>
      <c r="BQ91" s="118">
        <f>sum(AJ91:AO91)</f>
        <v>75000</v>
      </c>
      <c r="BR91" s="119">
        <f t="shared" si="3"/>
        <v>83333</v>
      </c>
    </row>
    <row r="92" ht="27.0" customHeight="1">
      <c r="A92" s="12">
        <f t="shared" si="4"/>
        <v>90</v>
      </c>
      <c r="B92" s="71" t="s">
        <v>163</v>
      </c>
      <c r="C92" s="12" t="s">
        <v>128</v>
      </c>
      <c r="D92" s="38" t="s">
        <v>194</v>
      </c>
      <c r="E92" s="157" t="s">
        <v>195</v>
      </c>
      <c r="F92" s="124">
        <v>11375.0</v>
      </c>
      <c r="G92" s="40" t="s">
        <v>635</v>
      </c>
      <c r="H92" s="30" t="s">
        <v>636</v>
      </c>
      <c r="I92" s="30"/>
      <c r="J92" s="15" t="s">
        <v>420</v>
      </c>
      <c r="K92" s="20" t="s">
        <v>443</v>
      </c>
      <c r="L92" s="21" t="s">
        <v>33</v>
      </c>
      <c r="M92" s="21"/>
      <c r="N92" s="109">
        <v>45353.0</v>
      </c>
      <c r="O92" s="109">
        <v>45353.0</v>
      </c>
      <c r="P92" s="110" t="s">
        <v>422</v>
      </c>
      <c r="Q92" s="111">
        <v>45552.0</v>
      </c>
      <c r="R92" s="112">
        <v>45911.0</v>
      </c>
      <c r="S92" s="21" t="s">
        <v>423</v>
      </c>
      <c r="T92" s="21"/>
      <c r="U92" s="113"/>
      <c r="V92" s="113"/>
      <c r="W92" s="113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14">
        <v>8333.0</v>
      </c>
      <c r="AL92" s="114">
        <v>8333.0</v>
      </c>
      <c r="AM92" s="114">
        <v>8333.0</v>
      </c>
      <c r="AN92" s="114">
        <v>8333.0</v>
      </c>
      <c r="AO92" s="114">
        <v>8333.0</v>
      </c>
      <c r="AP92" s="114">
        <v>8333.0</v>
      </c>
      <c r="AQ92" s="114">
        <v>8333.0</v>
      </c>
      <c r="AR92" s="114">
        <v>8333.0</v>
      </c>
      <c r="AS92" s="114">
        <v>8333.0</v>
      </c>
      <c r="AT92" s="121">
        <v>8333.0</v>
      </c>
      <c r="AU92" s="114">
        <v>8333.0</v>
      </c>
      <c r="AV92" s="114">
        <v>8333.0</v>
      </c>
      <c r="AW92" s="114" t="s">
        <v>632</v>
      </c>
      <c r="AX92" s="114"/>
      <c r="AY92" s="114"/>
      <c r="AZ92" s="114"/>
      <c r="BA92" s="114"/>
      <c r="BB92" s="114"/>
      <c r="BC92" s="114"/>
      <c r="BD92" s="114"/>
      <c r="BE92" s="114"/>
      <c r="BF92" s="121"/>
      <c r="BG92" s="114"/>
      <c r="BH92" s="114"/>
      <c r="BI92" s="114"/>
      <c r="BJ92" s="114"/>
      <c r="BK92" s="114"/>
      <c r="BL92" s="114"/>
      <c r="BM92" s="114"/>
      <c r="BN92" s="116">
        <f t="shared" si="1"/>
        <v>0</v>
      </c>
      <c r="BO92" s="117">
        <f>SUM(AK92:AP92)</f>
        <v>49998</v>
      </c>
      <c r="BP92" s="117">
        <f>SUM(AQ92:AV92)</f>
        <v>49998</v>
      </c>
      <c r="BQ92" s="118">
        <f t="shared" ref="BQ92:BQ109" si="21">sum(U92:BH92)</f>
        <v>99996</v>
      </c>
      <c r="BR92" s="119">
        <f t="shared" si="3"/>
        <v>99996</v>
      </c>
    </row>
    <row r="93" ht="27.0" customHeight="1">
      <c r="A93" s="12">
        <f t="shared" si="4"/>
        <v>91</v>
      </c>
      <c r="B93" s="71" t="s">
        <v>163</v>
      </c>
      <c r="C93" s="12" t="s">
        <v>128</v>
      </c>
      <c r="D93" s="38" t="s">
        <v>194</v>
      </c>
      <c r="E93" s="157" t="s">
        <v>195</v>
      </c>
      <c r="F93" s="124">
        <v>11494.0</v>
      </c>
      <c r="G93" s="40" t="s">
        <v>637</v>
      </c>
      <c r="H93" s="30" t="s">
        <v>638</v>
      </c>
      <c r="I93" s="30"/>
      <c r="J93" s="15" t="s">
        <v>420</v>
      </c>
      <c r="K93" s="20" t="s">
        <v>421</v>
      </c>
      <c r="L93" s="21" t="s">
        <v>33</v>
      </c>
      <c r="M93" s="21"/>
      <c r="N93" s="109">
        <v>45355.0</v>
      </c>
      <c r="O93" s="109">
        <v>45355.0</v>
      </c>
      <c r="P93" s="110" t="s">
        <v>422</v>
      </c>
      <c r="Q93" s="111">
        <v>45552.0</v>
      </c>
      <c r="R93" s="112"/>
      <c r="S93" s="21" t="s">
        <v>423</v>
      </c>
      <c r="T93" s="21"/>
      <c r="U93" s="113"/>
      <c r="V93" s="113"/>
      <c r="W93" s="113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14">
        <v>150000.0</v>
      </c>
      <c r="AL93" s="114" t="s">
        <v>424</v>
      </c>
      <c r="AM93" s="114"/>
      <c r="AN93" s="114"/>
      <c r="AO93" s="114"/>
      <c r="AP93" s="114"/>
      <c r="AQ93" s="114"/>
      <c r="AR93" s="114"/>
      <c r="AS93" s="114"/>
      <c r="AT93" s="121"/>
      <c r="AU93" s="114"/>
      <c r="AV93" s="114"/>
      <c r="AW93" s="114"/>
      <c r="AX93" s="114"/>
      <c r="AY93" s="114"/>
      <c r="AZ93" s="114"/>
      <c r="BA93" s="114"/>
      <c r="BB93" s="114"/>
      <c r="BC93" s="114"/>
      <c r="BD93" s="114"/>
      <c r="BE93" s="114"/>
      <c r="BF93" s="121"/>
      <c r="BG93" s="114"/>
      <c r="BH93" s="114"/>
      <c r="BI93" s="114"/>
      <c r="BJ93" s="114"/>
      <c r="BK93" s="114"/>
      <c r="BL93" s="114"/>
      <c r="BM93" s="114"/>
      <c r="BN93" s="116">
        <f t="shared" si="1"/>
        <v>0</v>
      </c>
      <c r="BO93" s="117">
        <f t="shared" ref="BO93:BO94" si="22">SUM(AK93)</f>
        <v>150000</v>
      </c>
      <c r="BP93" s="117">
        <v>0.0</v>
      </c>
      <c r="BQ93" s="118">
        <f t="shared" si="21"/>
        <v>150000</v>
      </c>
      <c r="BR93" s="119">
        <f t="shared" si="3"/>
        <v>150000</v>
      </c>
    </row>
    <row r="94" ht="27.0" customHeight="1">
      <c r="A94" s="12">
        <f t="shared" si="4"/>
        <v>92</v>
      </c>
      <c r="B94" s="71" t="s">
        <v>163</v>
      </c>
      <c r="C94" s="12" t="s">
        <v>128</v>
      </c>
      <c r="D94" s="38" t="s">
        <v>194</v>
      </c>
      <c r="E94" s="157" t="s">
        <v>195</v>
      </c>
      <c r="F94" s="124">
        <v>11515.0</v>
      </c>
      <c r="G94" s="40" t="s">
        <v>639</v>
      </c>
      <c r="H94" s="30" t="s">
        <v>89</v>
      </c>
      <c r="I94" s="30"/>
      <c r="J94" s="15" t="s">
        <v>420</v>
      </c>
      <c r="K94" s="20" t="s">
        <v>421</v>
      </c>
      <c r="L94" s="21" t="s">
        <v>33</v>
      </c>
      <c r="M94" s="21"/>
      <c r="N94" s="109">
        <v>45355.0</v>
      </c>
      <c r="O94" s="109">
        <v>45362.0</v>
      </c>
      <c r="P94" s="110" t="s">
        <v>422</v>
      </c>
      <c r="Q94" s="111">
        <v>45552.0</v>
      </c>
      <c r="R94" s="112"/>
      <c r="S94" s="21" t="s">
        <v>423</v>
      </c>
      <c r="T94" s="21"/>
      <c r="U94" s="113"/>
      <c r="V94" s="113"/>
      <c r="W94" s="113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38"/>
      <c r="AK94" s="114">
        <v>150000.0</v>
      </c>
      <c r="AL94" s="114" t="s">
        <v>424</v>
      </c>
      <c r="AM94" s="114"/>
      <c r="AN94" s="114"/>
      <c r="AO94" s="114"/>
      <c r="AP94" s="114"/>
      <c r="AQ94" s="114"/>
      <c r="AR94" s="114"/>
      <c r="AS94" s="114"/>
      <c r="AT94" s="121"/>
      <c r="AU94" s="114"/>
      <c r="AV94" s="114"/>
      <c r="AW94" s="114"/>
      <c r="AX94" s="114"/>
      <c r="AY94" s="114"/>
      <c r="AZ94" s="114"/>
      <c r="BA94" s="114"/>
      <c r="BB94" s="114"/>
      <c r="BC94" s="114"/>
      <c r="BD94" s="114"/>
      <c r="BE94" s="114"/>
      <c r="BF94" s="121"/>
      <c r="BG94" s="114"/>
      <c r="BH94" s="114"/>
      <c r="BI94" s="114"/>
      <c r="BJ94" s="114"/>
      <c r="BK94" s="114"/>
      <c r="BL94" s="114"/>
      <c r="BM94" s="114"/>
      <c r="BN94" s="116">
        <f t="shared" si="1"/>
        <v>0</v>
      </c>
      <c r="BO94" s="117">
        <f t="shared" si="22"/>
        <v>150000</v>
      </c>
      <c r="BP94" s="117">
        <v>0.0</v>
      </c>
      <c r="BQ94" s="118">
        <f t="shared" si="21"/>
        <v>150000</v>
      </c>
      <c r="BR94" s="119">
        <f t="shared" si="3"/>
        <v>150000</v>
      </c>
    </row>
    <row r="95" ht="27.0" customHeight="1">
      <c r="A95" s="12">
        <f t="shared" si="4"/>
        <v>93</v>
      </c>
      <c r="B95" s="71" t="s">
        <v>163</v>
      </c>
      <c r="C95" s="12" t="s">
        <v>128</v>
      </c>
      <c r="D95" s="38" t="s">
        <v>194</v>
      </c>
      <c r="E95" s="157" t="s">
        <v>195</v>
      </c>
      <c r="F95" s="124">
        <v>11499.0</v>
      </c>
      <c r="G95" s="40" t="s">
        <v>640</v>
      </c>
      <c r="H95" s="30" t="s">
        <v>641</v>
      </c>
      <c r="I95" s="30"/>
      <c r="J95" s="15" t="s">
        <v>420</v>
      </c>
      <c r="K95" s="20" t="s">
        <v>443</v>
      </c>
      <c r="L95" s="21" t="s">
        <v>33</v>
      </c>
      <c r="M95" s="21"/>
      <c r="N95" s="109">
        <v>45365.0</v>
      </c>
      <c r="O95" s="109">
        <v>45365.0</v>
      </c>
      <c r="P95" s="110" t="s">
        <v>422</v>
      </c>
      <c r="Q95" s="111">
        <v>45552.0</v>
      </c>
      <c r="R95" s="112">
        <v>45911.0</v>
      </c>
      <c r="S95" s="21" t="s">
        <v>423</v>
      </c>
      <c r="T95" s="21"/>
      <c r="U95" s="113"/>
      <c r="V95" s="113"/>
      <c r="W95" s="113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14">
        <v>8333.0</v>
      </c>
      <c r="AL95" s="114">
        <v>8333.0</v>
      </c>
      <c r="AM95" s="114">
        <v>8333.0</v>
      </c>
      <c r="AN95" s="114">
        <v>8333.0</v>
      </c>
      <c r="AO95" s="114">
        <v>8333.0</v>
      </c>
      <c r="AP95" s="114">
        <v>8333.0</v>
      </c>
      <c r="AQ95" s="114">
        <v>8333.0</v>
      </c>
      <c r="AR95" s="114">
        <v>8333.0</v>
      </c>
      <c r="AS95" s="114">
        <v>8333.0</v>
      </c>
      <c r="AT95" s="121">
        <v>8333.0</v>
      </c>
      <c r="AU95" s="114">
        <v>8333.0</v>
      </c>
      <c r="AV95" s="114">
        <v>8333.0</v>
      </c>
      <c r="AW95" s="114" t="s">
        <v>632</v>
      </c>
      <c r="AX95" s="114"/>
      <c r="AY95" s="114"/>
      <c r="AZ95" s="114"/>
      <c r="BA95" s="114"/>
      <c r="BB95" s="114"/>
      <c r="BC95" s="114"/>
      <c r="BD95" s="114"/>
      <c r="BE95" s="114"/>
      <c r="BF95" s="121"/>
      <c r="BG95" s="114"/>
      <c r="BH95" s="114"/>
      <c r="BI95" s="114"/>
      <c r="BJ95" s="114"/>
      <c r="BK95" s="114"/>
      <c r="BL95" s="114"/>
      <c r="BM95" s="114"/>
      <c r="BN95" s="116">
        <f t="shared" si="1"/>
        <v>0</v>
      </c>
      <c r="BO95" s="117">
        <f t="shared" ref="BO95:BP95" si="23">SUM(AK95:AP95)</f>
        <v>49998</v>
      </c>
      <c r="BP95" s="117">
        <f t="shared" si="23"/>
        <v>49998</v>
      </c>
      <c r="BQ95" s="118">
        <f t="shared" si="21"/>
        <v>99996</v>
      </c>
      <c r="BR95" s="119">
        <f t="shared" si="3"/>
        <v>99996</v>
      </c>
    </row>
    <row r="96" ht="27.0" customHeight="1">
      <c r="A96" s="12">
        <f t="shared" si="4"/>
        <v>94</v>
      </c>
      <c r="B96" s="71" t="s">
        <v>163</v>
      </c>
      <c r="C96" s="12" t="s">
        <v>128</v>
      </c>
      <c r="D96" s="38" t="s">
        <v>194</v>
      </c>
      <c r="E96" s="157" t="s">
        <v>195</v>
      </c>
      <c r="F96" s="124">
        <v>11654.0</v>
      </c>
      <c r="G96" s="40" t="s">
        <v>642</v>
      </c>
      <c r="H96" s="30" t="s">
        <v>643</v>
      </c>
      <c r="I96" s="30"/>
      <c r="J96" s="15" t="s">
        <v>420</v>
      </c>
      <c r="K96" s="20" t="s">
        <v>421</v>
      </c>
      <c r="L96" s="21" t="s">
        <v>33</v>
      </c>
      <c r="M96" s="21"/>
      <c r="N96" s="109">
        <v>45373.0</v>
      </c>
      <c r="O96" s="109">
        <v>45385.0</v>
      </c>
      <c r="P96" s="110" t="s">
        <v>422</v>
      </c>
      <c r="Q96" s="111">
        <v>45552.0</v>
      </c>
      <c r="R96" s="112"/>
      <c r="S96" s="21" t="s">
        <v>423</v>
      </c>
      <c r="T96" s="21"/>
      <c r="U96" s="113"/>
      <c r="V96" s="113"/>
      <c r="W96" s="113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  <c r="AK96" s="114">
        <v>150000.0</v>
      </c>
      <c r="AL96" s="114" t="s">
        <v>424</v>
      </c>
      <c r="AM96" s="114"/>
      <c r="AN96" s="114"/>
      <c r="AO96" s="114"/>
      <c r="AP96" s="114"/>
      <c r="AQ96" s="114"/>
      <c r="AR96" s="114"/>
      <c r="AS96" s="114"/>
      <c r="AT96" s="121"/>
      <c r="AU96" s="114"/>
      <c r="AV96" s="114"/>
      <c r="AW96" s="114"/>
      <c r="AX96" s="114"/>
      <c r="AY96" s="114"/>
      <c r="AZ96" s="114"/>
      <c r="BA96" s="114"/>
      <c r="BB96" s="114"/>
      <c r="BC96" s="114"/>
      <c r="BD96" s="114"/>
      <c r="BE96" s="114"/>
      <c r="BF96" s="121"/>
      <c r="BG96" s="114"/>
      <c r="BH96" s="114"/>
      <c r="BI96" s="114"/>
      <c r="BJ96" s="114"/>
      <c r="BK96" s="114"/>
      <c r="BL96" s="114"/>
      <c r="BM96" s="114"/>
      <c r="BN96" s="116">
        <f t="shared" si="1"/>
        <v>0</v>
      </c>
      <c r="BO96" s="117">
        <f>SUM(AK96)</f>
        <v>150000</v>
      </c>
      <c r="BP96" s="117">
        <v>0.0</v>
      </c>
      <c r="BQ96" s="118">
        <f t="shared" si="21"/>
        <v>150000</v>
      </c>
      <c r="BR96" s="119">
        <f t="shared" si="3"/>
        <v>150000</v>
      </c>
    </row>
    <row r="97" ht="27.0" customHeight="1">
      <c r="A97" s="12">
        <f t="shared" si="4"/>
        <v>95</v>
      </c>
      <c r="B97" s="71" t="s">
        <v>163</v>
      </c>
      <c r="C97" s="12" t="s">
        <v>128</v>
      </c>
      <c r="D97" s="38" t="s">
        <v>194</v>
      </c>
      <c r="E97" s="157" t="s">
        <v>195</v>
      </c>
      <c r="F97" s="124">
        <v>11903.0</v>
      </c>
      <c r="G97" s="40" t="s">
        <v>644</v>
      </c>
      <c r="H97" s="30" t="s">
        <v>645</v>
      </c>
      <c r="I97" s="30"/>
      <c r="J97" s="15" t="s">
        <v>420</v>
      </c>
      <c r="K97" s="20" t="s">
        <v>446</v>
      </c>
      <c r="L97" s="21" t="s">
        <v>33</v>
      </c>
      <c r="M97" s="21"/>
      <c r="N97" s="109">
        <v>45413.0</v>
      </c>
      <c r="O97" s="109">
        <v>45414.0</v>
      </c>
      <c r="P97" s="110" t="s">
        <v>422</v>
      </c>
      <c r="Q97" s="111">
        <v>45649.0</v>
      </c>
      <c r="R97" s="112"/>
      <c r="S97" s="21" t="s">
        <v>423</v>
      </c>
      <c r="T97" s="21"/>
      <c r="U97" s="113"/>
      <c r="V97" s="113"/>
      <c r="W97" s="113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  <c r="AM97" s="114">
        <v>100000.0</v>
      </c>
      <c r="AN97" s="114" t="s">
        <v>424</v>
      </c>
      <c r="AO97" s="113"/>
      <c r="AP97" s="113"/>
      <c r="AQ97" s="113"/>
      <c r="AR97" s="113"/>
      <c r="AS97" s="113"/>
      <c r="AT97" s="115"/>
      <c r="AU97" s="113"/>
      <c r="AV97" s="113"/>
      <c r="AW97" s="113"/>
      <c r="AX97" s="113"/>
      <c r="AY97" s="113"/>
      <c r="AZ97" s="113"/>
      <c r="BA97" s="113"/>
      <c r="BB97" s="113"/>
      <c r="BC97" s="113"/>
      <c r="BD97" s="113"/>
      <c r="BE97" s="113"/>
      <c r="BF97" s="115"/>
      <c r="BG97" s="113"/>
      <c r="BH97" s="113"/>
      <c r="BI97" s="113"/>
      <c r="BJ97" s="113"/>
      <c r="BK97" s="113"/>
      <c r="BL97" s="113"/>
      <c r="BM97" s="113"/>
      <c r="BN97" s="116">
        <f t="shared" si="1"/>
        <v>0</v>
      </c>
      <c r="BO97" s="117">
        <f>SUM(AM97)</f>
        <v>100000</v>
      </c>
      <c r="BP97" s="117">
        <v>0.0</v>
      </c>
      <c r="BQ97" s="118">
        <f t="shared" si="21"/>
        <v>100000</v>
      </c>
      <c r="BR97" s="119">
        <f t="shared" si="3"/>
        <v>100000</v>
      </c>
    </row>
    <row r="98" ht="27.0" customHeight="1">
      <c r="A98" s="12">
        <f t="shared" si="4"/>
        <v>96</v>
      </c>
      <c r="B98" s="71" t="s">
        <v>163</v>
      </c>
      <c r="C98" s="12" t="s">
        <v>128</v>
      </c>
      <c r="D98" s="30" t="s">
        <v>194</v>
      </c>
      <c r="E98" s="157" t="s">
        <v>195</v>
      </c>
      <c r="F98" s="122">
        <v>11972.0</v>
      </c>
      <c r="G98" s="69" t="s">
        <v>646</v>
      </c>
      <c r="H98" s="30" t="s">
        <v>647</v>
      </c>
      <c r="I98" s="30"/>
      <c r="J98" s="15" t="s">
        <v>420</v>
      </c>
      <c r="K98" s="20" t="s">
        <v>443</v>
      </c>
      <c r="L98" s="21" t="s">
        <v>33</v>
      </c>
      <c r="M98" s="21"/>
      <c r="N98" s="109">
        <v>45420.0</v>
      </c>
      <c r="O98" s="109">
        <v>45423.0</v>
      </c>
      <c r="P98" s="110" t="s">
        <v>422</v>
      </c>
      <c r="Q98" s="111">
        <v>45649.0</v>
      </c>
      <c r="R98" s="112">
        <v>45911.0</v>
      </c>
      <c r="S98" s="21" t="s">
        <v>423</v>
      </c>
      <c r="T98" s="21"/>
      <c r="U98" s="113"/>
      <c r="V98" s="113"/>
      <c r="W98" s="113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  <c r="AK98" s="138"/>
      <c r="AL98" s="138"/>
      <c r="AM98" s="114">
        <v>8333.0</v>
      </c>
      <c r="AN98" s="114">
        <v>8333.0</v>
      </c>
      <c r="AO98" s="114">
        <v>8333.0</v>
      </c>
      <c r="AP98" s="114">
        <v>12500.0</v>
      </c>
      <c r="AQ98" s="114">
        <v>8333.0</v>
      </c>
      <c r="AR98" s="114">
        <v>8333.0</v>
      </c>
      <c r="AS98" s="114">
        <v>8333.0</v>
      </c>
      <c r="AT98" s="121">
        <v>8333.0</v>
      </c>
      <c r="AU98" s="114">
        <v>8333.0</v>
      </c>
      <c r="AV98" s="114">
        <v>8333.0</v>
      </c>
      <c r="AW98" s="114">
        <v>8333.0</v>
      </c>
      <c r="AX98" s="114">
        <v>8333.0</v>
      </c>
      <c r="AY98" s="114" t="s">
        <v>632</v>
      </c>
      <c r="AZ98" s="114"/>
      <c r="BA98" s="114"/>
      <c r="BB98" s="114"/>
      <c r="BC98" s="113"/>
      <c r="BD98" s="113"/>
      <c r="BE98" s="113"/>
      <c r="BF98" s="115"/>
      <c r="BG98" s="113"/>
      <c r="BH98" s="113"/>
      <c r="BI98" s="113"/>
      <c r="BJ98" s="113"/>
      <c r="BK98" s="113"/>
      <c r="BL98" s="113"/>
      <c r="BM98" s="113"/>
      <c r="BN98" s="116">
        <f t="shared" si="1"/>
        <v>0</v>
      </c>
      <c r="BO98" s="117">
        <f>SUM(AM98:AR98)</f>
        <v>54165</v>
      </c>
      <c r="BP98" s="117">
        <f>SUM(AS98:AX98)</f>
        <v>49998</v>
      </c>
      <c r="BQ98" s="118">
        <f t="shared" si="21"/>
        <v>104163</v>
      </c>
      <c r="BR98" s="119">
        <f t="shared" si="3"/>
        <v>104163</v>
      </c>
    </row>
    <row r="99" ht="27.0" customHeight="1">
      <c r="A99" s="12">
        <f t="shared" si="4"/>
        <v>97</v>
      </c>
      <c r="B99" s="71" t="s">
        <v>163</v>
      </c>
      <c r="C99" s="12" t="s">
        <v>128</v>
      </c>
      <c r="D99" s="30" t="s">
        <v>194</v>
      </c>
      <c r="E99" s="157" t="s">
        <v>195</v>
      </c>
      <c r="F99" s="122" t="s">
        <v>648</v>
      </c>
      <c r="G99" s="69" t="s">
        <v>649</v>
      </c>
      <c r="H99" s="30" t="s">
        <v>649</v>
      </c>
      <c r="I99" s="30"/>
      <c r="J99" s="15" t="s">
        <v>420</v>
      </c>
      <c r="K99" s="20" t="s">
        <v>421</v>
      </c>
      <c r="L99" s="21" t="s">
        <v>33</v>
      </c>
      <c r="M99" s="21"/>
      <c r="N99" s="109">
        <v>45463.0</v>
      </c>
      <c r="O99" s="109">
        <v>45463.0</v>
      </c>
      <c r="P99" s="110" t="s">
        <v>422</v>
      </c>
      <c r="Q99" s="111">
        <v>45649.0</v>
      </c>
      <c r="R99" s="112"/>
      <c r="S99" s="21" t="s">
        <v>423</v>
      </c>
      <c r="T99" s="21"/>
      <c r="U99" s="113"/>
      <c r="V99" s="113"/>
      <c r="W99" s="113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8"/>
      <c r="AM99" s="134"/>
      <c r="AN99" s="114">
        <v>150000.0</v>
      </c>
      <c r="AO99" s="114" t="s">
        <v>424</v>
      </c>
      <c r="AP99" s="113"/>
      <c r="AQ99" s="113"/>
      <c r="AR99" s="113"/>
      <c r="AS99" s="113"/>
      <c r="AT99" s="115"/>
      <c r="AU99" s="113"/>
      <c r="AV99" s="113"/>
      <c r="AW99" s="113"/>
      <c r="AX99" s="113"/>
      <c r="AY99" s="113"/>
      <c r="AZ99" s="113"/>
      <c r="BA99" s="113"/>
      <c r="BB99" s="113"/>
      <c r="BC99" s="113"/>
      <c r="BD99" s="113"/>
      <c r="BE99" s="113"/>
      <c r="BF99" s="115"/>
      <c r="BG99" s="113"/>
      <c r="BH99" s="113"/>
      <c r="BI99" s="113"/>
      <c r="BJ99" s="113"/>
      <c r="BK99" s="113"/>
      <c r="BL99" s="113"/>
      <c r="BM99" s="113"/>
      <c r="BN99" s="116">
        <f t="shared" si="1"/>
        <v>0</v>
      </c>
      <c r="BO99" s="117">
        <f>SUM(AN99)</f>
        <v>150000</v>
      </c>
      <c r="BP99" s="117">
        <v>0.0</v>
      </c>
      <c r="BQ99" s="118">
        <f t="shared" si="21"/>
        <v>150000</v>
      </c>
      <c r="BR99" s="119">
        <f t="shared" si="3"/>
        <v>150000</v>
      </c>
    </row>
    <row r="100" ht="27.0" customHeight="1">
      <c r="A100" s="12">
        <f t="shared" si="4"/>
        <v>98</v>
      </c>
      <c r="B100" s="71" t="s">
        <v>163</v>
      </c>
      <c r="C100" s="12" t="s">
        <v>128</v>
      </c>
      <c r="D100" s="30" t="s">
        <v>194</v>
      </c>
      <c r="E100" s="157" t="s">
        <v>195</v>
      </c>
      <c r="F100" s="122">
        <v>12199.0</v>
      </c>
      <c r="G100" s="69" t="s">
        <v>650</v>
      </c>
      <c r="H100" s="30" t="s">
        <v>651</v>
      </c>
      <c r="I100" s="30"/>
      <c r="J100" s="15" t="s">
        <v>420</v>
      </c>
      <c r="K100" s="20" t="s">
        <v>443</v>
      </c>
      <c r="L100" s="21" t="s">
        <v>33</v>
      </c>
      <c r="M100" s="21"/>
      <c r="N100" s="109">
        <v>45437.0</v>
      </c>
      <c r="O100" s="109">
        <v>45441.0</v>
      </c>
      <c r="P100" s="110" t="s">
        <v>422</v>
      </c>
      <c r="Q100" s="111">
        <v>45649.0</v>
      </c>
      <c r="R100" s="112">
        <v>45911.0</v>
      </c>
      <c r="S100" s="21" t="s">
        <v>423</v>
      </c>
      <c r="T100" s="21"/>
      <c r="U100" s="113"/>
      <c r="V100" s="113"/>
      <c r="W100" s="113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  <c r="AM100" s="114">
        <v>8333.0</v>
      </c>
      <c r="AN100" s="114">
        <v>8333.0</v>
      </c>
      <c r="AO100" s="114">
        <v>8333.0</v>
      </c>
      <c r="AP100" s="114">
        <v>8333.0</v>
      </c>
      <c r="AQ100" s="114">
        <v>8333.0</v>
      </c>
      <c r="AR100" s="114">
        <v>8333.0</v>
      </c>
      <c r="AS100" s="114">
        <v>8333.0</v>
      </c>
      <c r="AT100" s="121">
        <v>8333.0</v>
      </c>
      <c r="AU100" s="114">
        <v>8333.0</v>
      </c>
      <c r="AV100" s="114">
        <v>8333.0</v>
      </c>
      <c r="AW100" s="114" t="s">
        <v>128</v>
      </c>
      <c r="AX100" s="114">
        <v>8333.0</v>
      </c>
      <c r="AY100" s="114">
        <v>8333.0</v>
      </c>
      <c r="AZ100" s="114" t="s">
        <v>424</v>
      </c>
      <c r="BA100" s="114"/>
      <c r="BB100" s="114"/>
      <c r="BC100" s="113"/>
      <c r="BD100" s="113"/>
      <c r="BE100" s="113"/>
      <c r="BF100" s="115"/>
      <c r="BG100" s="113"/>
      <c r="BH100" s="113"/>
      <c r="BI100" s="113"/>
      <c r="BJ100" s="113"/>
      <c r="BK100" s="113"/>
      <c r="BL100" s="113"/>
      <c r="BM100" s="113"/>
      <c r="BN100" s="116">
        <f t="shared" si="1"/>
        <v>0</v>
      </c>
      <c r="BO100" s="117">
        <f>SUM(AM100:AR100)</f>
        <v>49998</v>
      </c>
      <c r="BP100" s="117">
        <f>SUM(AS100:AY100)</f>
        <v>49998</v>
      </c>
      <c r="BQ100" s="118">
        <f t="shared" si="21"/>
        <v>99996</v>
      </c>
      <c r="BR100" s="119">
        <f t="shared" si="3"/>
        <v>99996</v>
      </c>
    </row>
    <row r="101" ht="27.0" customHeight="1">
      <c r="A101" s="12">
        <f t="shared" si="4"/>
        <v>99</v>
      </c>
      <c r="B101" s="71" t="s">
        <v>163</v>
      </c>
      <c r="C101" s="12" t="s">
        <v>128</v>
      </c>
      <c r="D101" s="30" t="s">
        <v>194</v>
      </c>
      <c r="E101" s="157" t="s">
        <v>195</v>
      </c>
      <c r="F101" s="122" t="s">
        <v>652</v>
      </c>
      <c r="G101" s="31" t="s">
        <v>653</v>
      </c>
      <c r="H101" s="131" t="s">
        <v>654</v>
      </c>
      <c r="I101" s="131"/>
      <c r="J101" s="15" t="s">
        <v>420</v>
      </c>
      <c r="K101" s="132" t="s">
        <v>448</v>
      </c>
      <c r="L101" s="21" t="s">
        <v>33</v>
      </c>
      <c r="M101" s="21"/>
      <c r="N101" s="109">
        <v>46046.0</v>
      </c>
      <c r="O101" s="109">
        <v>46076.0</v>
      </c>
      <c r="P101" s="110" t="s">
        <v>449</v>
      </c>
      <c r="Q101" s="111">
        <v>45649.0</v>
      </c>
      <c r="R101" s="112">
        <v>45911.0</v>
      </c>
      <c r="S101" s="21" t="s">
        <v>423</v>
      </c>
      <c r="T101" s="21"/>
      <c r="U101" s="113"/>
      <c r="V101" s="113"/>
      <c r="W101" s="113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13"/>
      <c r="AN101" s="114">
        <v>12500.0</v>
      </c>
      <c r="AO101" s="114">
        <v>12500.0</v>
      </c>
      <c r="AP101" s="114">
        <v>12500.0</v>
      </c>
      <c r="AQ101" s="114">
        <v>12500.0</v>
      </c>
      <c r="AR101" s="114">
        <v>12500.0</v>
      </c>
      <c r="AS101" s="114">
        <v>12500.0</v>
      </c>
      <c r="AT101" s="121">
        <v>12500.0</v>
      </c>
      <c r="AU101" s="114">
        <v>12500.0</v>
      </c>
      <c r="AV101" s="114">
        <v>12500.0</v>
      </c>
      <c r="AW101" s="114">
        <v>12500.0</v>
      </c>
      <c r="AX101" s="114">
        <v>12500.0</v>
      </c>
      <c r="AY101" s="114">
        <v>12500.0</v>
      </c>
      <c r="AZ101" s="114" t="s">
        <v>424</v>
      </c>
      <c r="BA101" s="114"/>
      <c r="BB101" s="114"/>
      <c r="BC101" s="114"/>
      <c r="BD101" s="114"/>
      <c r="BE101" s="114"/>
      <c r="BF101" s="121"/>
      <c r="BG101" s="114"/>
      <c r="BH101" s="114"/>
      <c r="BI101" s="114"/>
      <c r="BJ101" s="114"/>
      <c r="BK101" s="114"/>
      <c r="BL101" s="114"/>
      <c r="BM101" s="114"/>
      <c r="BN101" s="116">
        <f t="shared" si="1"/>
        <v>0</v>
      </c>
      <c r="BO101" s="117">
        <f t="shared" ref="BO101:BP101" si="24">SUM(AN101:AS101)</f>
        <v>75000</v>
      </c>
      <c r="BP101" s="117">
        <f t="shared" si="24"/>
        <v>75000</v>
      </c>
      <c r="BQ101" s="118">
        <f t="shared" si="21"/>
        <v>150000</v>
      </c>
      <c r="BR101" s="119">
        <f t="shared" si="3"/>
        <v>150000</v>
      </c>
    </row>
    <row r="102" ht="27.0" customHeight="1">
      <c r="A102" s="12">
        <f t="shared" si="4"/>
        <v>100</v>
      </c>
      <c r="B102" s="71" t="s">
        <v>163</v>
      </c>
      <c r="C102" s="12" t="s">
        <v>128</v>
      </c>
      <c r="D102" s="30" t="s">
        <v>194</v>
      </c>
      <c r="E102" s="157" t="s">
        <v>195</v>
      </c>
      <c r="F102" s="122" t="s">
        <v>655</v>
      </c>
      <c r="G102" s="69" t="s">
        <v>656</v>
      </c>
      <c r="H102" s="69" t="s">
        <v>657</v>
      </c>
      <c r="I102" s="69"/>
      <c r="J102" s="15" t="s">
        <v>420</v>
      </c>
      <c r="K102" s="161" t="s">
        <v>421</v>
      </c>
      <c r="L102" s="21" t="s">
        <v>33</v>
      </c>
      <c r="M102" s="21"/>
      <c r="N102" s="109">
        <v>45455.0</v>
      </c>
      <c r="O102" s="109">
        <v>45455.0</v>
      </c>
      <c r="P102" s="110" t="s">
        <v>422</v>
      </c>
      <c r="Q102" s="111">
        <v>45649.0</v>
      </c>
      <c r="R102" s="112"/>
      <c r="S102" s="21" t="s">
        <v>423</v>
      </c>
      <c r="T102" s="21"/>
      <c r="U102" s="113"/>
      <c r="V102" s="113"/>
      <c r="W102" s="113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  <c r="AM102" s="113"/>
      <c r="AN102" s="114">
        <v>150000.0</v>
      </c>
      <c r="AO102" s="114" t="s">
        <v>424</v>
      </c>
      <c r="AP102" s="113"/>
      <c r="AQ102" s="113"/>
      <c r="AR102" s="113"/>
      <c r="AS102" s="113"/>
      <c r="AT102" s="115"/>
      <c r="AU102" s="113"/>
      <c r="AV102" s="113"/>
      <c r="AW102" s="113"/>
      <c r="AX102" s="113"/>
      <c r="AY102" s="113"/>
      <c r="AZ102" s="113"/>
      <c r="BA102" s="113"/>
      <c r="BB102" s="113"/>
      <c r="BC102" s="113"/>
      <c r="BD102" s="113"/>
      <c r="BE102" s="113"/>
      <c r="BF102" s="115"/>
      <c r="BG102" s="113"/>
      <c r="BH102" s="113"/>
      <c r="BI102" s="113"/>
      <c r="BJ102" s="113"/>
      <c r="BK102" s="113"/>
      <c r="BL102" s="113"/>
      <c r="BM102" s="113"/>
      <c r="BN102" s="116">
        <f t="shared" si="1"/>
        <v>0</v>
      </c>
      <c r="BO102" s="117">
        <f t="shared" ref="BO102:BO104" si="25">SUM(AN102)</f>
        <v>150000</v>
      </c>
      <c r="BP102" s="117">
        <v>0.0</v>
      </c>
      <c r="BQ102" s="118">
        <f t="shared" si="21"/>
        <v>150000</v>
      </c>
      <c r="BR102" s="119">
        <f t="shared" si="3"/>
        <v>150000</v>
      </c>
    </row>
    <row r="103" ht="27.0" customHeight="1">
      <c r="A103" s="12">
        <f t="shared" si="4"/>
        <v>101</v>
      </c>
      <c r="B103" s="71" t="s">
        <v>163</v>
      </c>
      <c r="C103" s="12" t="s">
        <v>128</v>
      </c>
      <c r="D103" s="30" t="s">
        <v>194</v>
      </c>
      <c r="E103" s="157" t="s">
        <v>195</v>
      </c>
      <c r="F103" s="170" t="s">
        <v>658</v>
      </c>
      <c r="G103" s="69" t="s">
        <v>659</v>
      </c>
      <c r="H103" s="69" t="s">
        <v>660</v>
      </c>
      <c r="I103" s="69"/>
      <c r="J103" s="15" t="s">
        <v>420</v>
      </c>
      <c r="K103" s="161" t="s">
        <v>421</v>
      </c>
      <c r="L103" s="21" t="s">
        <v>33</v>
      </c>
      <c r="M103" s="21"/>
      <c r="N103" s="109">
        <v>45466.0</v>
      </c>
      <c r="O103" s="109">
        <v>45468.0</v>
      </c>
      <c r="P103" s="110" t="s">
        <v>422</v>
      </c>
      <c r="Q103" s="111">
        <v>45649.0</v>
      </c>
      <c r="R103" s="112"/>
      <c r="S103" s="21" t="s">
        <v>423</v>
      </c>
      <c r="T103" s="21"/>
      <c r="U103" s="113"/>
      <c r="V103" s="113"/>
      <c r="W103" s="113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  <c r="AM103" s="113"/>
      <c r="AN103" s="114">
        <v>150000.0</v>
      </c>
      <c r="AO103" s="114" t="s">
        <v>424</v>
      </c>
      <c r="AP103" s="113"/>
      <c r="AQ103" s="113"/>
      <c r="AR103" s="113"/>
      <c r="AS103" s="113"/>
      <c r="AT103" s="115"/>
      <c r="AU103" s="113"/>
      <c r="AV103" s="113"/>
      <c r="AW103" s="113"/>
      <c r="AX103" s="113"/>
      <c r="AY103" s="113"/>
      <c r="AZ103" s="113"/>
      <c r="BA103" s="113"/>
      <c r="BB103" s="113"/>
      <c r="BC103" s="113"/>
      <c r="BD103" s="113"/>
      <c r="BE103" s="113"/>
      <c r="BF103" s="115"/>
      <c r="BG103" s="113"/>
      <c r="BH103" s="113"/>
      <c r="BI103" s="113"/>
      <c r="BJ103" s="113"/>
      <c r="BK103" s="113"/>
      <c r="BL103" s="113"/>
      <c r="BM103" s="113"/>
      <c r="BN103" s="116">
        <f t="shared" si="1"/>
        <v>0</v>
      </c>
      <c r="BO103" s="117">
        <f t="shared" si="25"/>
        <v>150000</v>
      </c>
      <c r="BP103" s="117">
        <v>0.0</v>
      </c>
      <c r="BQ103" s="118">
        <f t="shared" si="21"/>
        <v>150000</v>
      </c>
      <c r="BR103" s="119">
        <f t="shared" si="3"/>
        <v>150000</v>
      </c>
    </row>
    <row r="104" ht="27.0" customHeight="1">
      <c r="A104" s="12">
        <f t="shared" si="4"/>
        <v>102</v>
      </c>
      <c r="B104" s="71" t="s">
        <v>163</v>
      </c>
      <c r="C104" s="12" t="s">
        <v>128</v>
      </c>
      <c r="D104" s="30" t="s">
        <v>194</v>
      </c>
      <c r="E104" s="157" t="s">
        <v>195</v>
      </c>
      <c r="F104" s="122" t="s">
        <v>661</v>
      </c>
      <c r="G104" s="31" t="s">
        <v>662</v>
      </c>
      <c r="H104" s="69" t="s">
        <v>663</v>
      </c>
      <c r="I104" s="69"/>
      <c r="J104" s="15" t="s">
        <v>420</v>
      </c>
      <c r="K104" s="161" t="s">
        <v>421</v>
      </c>
      <c r="L104" s="21" t="s">
        <v>33</v>
      </c>
      <c r="M104" s="21"/>
      <c r="N104" s="109">
        <v>45463.0</v>
      </c>
      <c r="O104" s="109">
        <v>45468.0</v>
      </c>
      <c r="P104" s="110" t="s">
        <v>422</v>
      </c>
      <c r="Q104" s="111">
        <v>45649.0</v>
      </c>
      <c r="R104" s="112"/>
      <c r="S104" s="21" t="s">
        <v>423</v>
      </c>
      <c r="T104" s="21"/>
      <c r="U104" s="113"/>
      <c r="V104" s="113"/>
      <c r="W104" s="113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  <c r="AI104" s="138"/>
      <c r="AJ104" s="138"/>
      <c r="AK104" s="138"/>
      <c r="AL104" s="138"/>
      <c r="AM104" s="113"/>
      <c r="AN104" s="114">
        <v>150000.0</v>
      </c>
      <c r="AO104" s="114" t="s">
        <v>424</v>
      </c>
      <c r="AP104" s="113"/>
      <c r="AQ104" s="113"/>
      <c r="AR104" s="113"/>
      <c r="AS104" s="113"/>
      <c r="AT104" s="115"/>
      <c r="AU104" s="113"/>
      <c r="AV104" s="113"/>
      <c r="AW104" s="113"/>
      <c r="AX104" s="113"/>
      <c r="AY104" s="113"/>
      <c r="AZ104" s="113"/>
      <c r="BA104" s="113"/>
      <c r="BB104" s="113"/>
      <c r="BC104" s="113"/>
      <c r="BD104" s="113"/>
      <c r="BE104" s="113"/>
      <c r="BF104" s="115"/>
      <c r="BG104" s="113"/>
      <c r="BH104" s="113"/>
      <c r="BI104" s="113"/>
      <c r="BJ104" s="113"/>
      <c r="BK104" s="113"/>
      <c r="BL104" s="113"/>
      <c r="BM104" s="113"/>
      <c r="BN104" s="116">
        <f t="shared" si="1"/>
        <v>0</v>
      </c>
      <c r="BO104" s="117">
        <f t="shared" si="25"/>
        <v>150000</v>
      </c>
      <c r="BP104" s="117">
        <v>0.0</v>
      </c>
      <c r="BQ104" s="118">
        <f t="shared" si="21"/>
        <v>150000</v>
      </c>
      <c r="BR104" s="119">
        <f t="shared" si="3"/>
        <v>150000</v>
      </c>
    </row>
    <row r="105" ht="27.0" customHeight="1">
      <c r="A105" s="12">
        <f t="shared" si="4"/>
        <v>103</v>
      </c>
      <c r="B105" s="71" t="s">
        <v>163</v>
      </c>
      <c r="C105" s="12" t="s">
        <v>128</v>
      </c>
      <c r="D105" s="30" t="s">
        <v>194</v>
      </c>
      <c r="E105" s="157" t="s">
        <v>195</v>
      </c>
      <c r="F105" s="171" t="s">
        <v>664</v>
      </c>
      <c r="G105" s="69" t="s">
        <v>665</v>
      </c>
      <c r="H105" s="69" t="s">
        <v>666</v>
      </c>
      <c r="I105" s="69"/>
      <c r="J105" s="15" t="s">
        <v>420</v>
      </c>
      <c r="K105" s="161" t="s">
        <v>448</v>
      </c>
      <c r="L105" s="21" t="s">
        <v>33</v>
      </c>
      <c r="M105" s="21"/>
      <c r="N105" s="109">
        <v>45481.0</v>
      </c>
      <c r="O105" s="109">
        <v>45488.0</v>
      </c>
      <c r="P105" s="110" t="s">
        <v>422</v>
      </c>
      <c r="Q105" s="111">
        <v>45911.0</v>
      </c>
      <c r="R105" s="112"/>
      <c r="S105" s="21" t="s">
        <v>423</v>
      </c>
      <c r="T105" s="21"/>
      <c r="U105" s="113"/>
      <c r="V105" s="113"/>
      <c r="W105" s="113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  <c r="AM105" s="113"/>
      <c r="AN105" s="114"/>
      <c r="AO105" s="114">
        <v>12500.0</v>
      </c>
      <c r="AP105" s="114">
        <v>12500.0</v>
      </c>
      <c r="AQ105" s="114">
        <v>12500.0</v>
      </c>
      <c r="AR105" s="114">
        <v>12500.0</v>
      </c>
      <c r="AS105" s="114">
        <v>12500.0</v>
      </c>
      <c r="AT105" s="121">
        <v>12500.0</v>
      </c>
      <c r="AU105" s="114">
        <v>12500.0</v>
      </c>
      <c r="AV105" s="114">
        <v>12500.0</v>
      </c>
      <c r="AW105" s="114">
        <v>12500.0</v>
      </c>
      <c r="AX105" s="114">
        <v>12500.0</v>
      </c>
      <c r="AY105" s="114" t="s">
        <v>128</v>
      </c>
      <c r="AZ105" s="114">
        <v>12500.0</v>
      </c>
      <c r="BA105" s="114">
        <v>12500.0</v>
      </c>
      <c r="BB105" s="114" t="s">
        <v>632</v>
      </c>
      <c r="BC105" s="114"/>
      <c r="BD105" s="114"/>
      <c r="BE105" s="114"/>
      <c r="BF105" s="121"/>
      <c r="BG105" s="114"/>
      <c r="BH105" s="114"/>
      <c r="BI105" s="114"/>
      <c r="BJ105" s="114"/>
      <c r="BK105" s="114"/>
      <c r="BL105" s="114"/>
      <c r="BM105" s="114"/>
      <c r="BN105" s="116">
        <f t="shared" si="1"/>
        <v>0</v>
      </c>
      <c r="BO105" s="117">
        <v>150000.0</v>
      </c>
      <c r="BP105" s="117">
        <v>0.0</v>
      </c>
      <c r="BQ105" s="118">
        <f t="shared" si="21"/>
        <v>150000</v>
      </c>
      <c r="BR105" s="119">
        <f t="shared" si="3"/>
        <v>150000</v>
      </c>
    </row>
    <row r="106" ht="27.0" customHeight="1">
      <c r="A106" s="12">
        <f t="shared" si="4"/>
        <v>104</v>
      </c>
      <c r="B106" s="71" t="s">
        <v>163</v>
      </c>
      <c r="C106" s="12" t="s">
        <v>128</v>
      </c>
      <c r="D106" s="30" t="s">
        <v>194</v>
      </c>
      <c r="E106" s="157" t="s">
        <v>195</v>
      </c>
      <c r="F106" s="171" t="s">
        <v>667</v>
      </c>
      <c r="G106" s="69" t="s">
        <v>668</v>
      </c>
      <c r="H106" s="69" t="s">
        <v>669</v>
      </c>
      <c r="I106" s="69"/>
      <c r="J106" s="15" t="s">
        <v>420</v>
      </c>
      <c r="K106" s="161" t="s">
        <v>421</v>
      </c>
      <c r="L106" s="21" t="s">
        <v>33</v>
      </c>
      <c r="M106" s="21"/>
      <c r="N106" s="109">
        <v>45484.0</v>
      </c>
      <c r="O106" s="109">
        <v>45484.0</v>
      </c>
      <c r="P106" s="110" t="s">
        <v>422</v>
      </c>
      <c r="Q106" s="111">
        <v>45911.0</v>
      </c>
      <c r="R106" s="112"/>
      <c r="S106" s="21" t="s">
        <v>423</v>
      </c>
      <c r="T106" s="21"/>
      <c r="U106" s="113"/>
      <c r="V106" s="113"/>
      <c r="W106" s="113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  <c r="AM106" s="113"/>
      <c r="AN106" s="114"/>
      <c r="AO106" s="114">
        <v>150000.0</v>
      </c>
      <c r="AP106" s="114" t="s">
        <v>424</v>
      </c>
      <c r="AQ106" s="114"/>
      <c r="AR106" s="114"/>
      <c r="AS106" s="114"/>
      <c r="AT106" s="121"/>
      <c r="AU106" s="114"/>
      <c r="AV106" s="114"/>
      <c r="AW106" s="114"/>
      <c r="AX106" s="114"/>
      <c r="AY106" s="114"/>
      <c r="AZ106" s="114"/>
      <c r="BA106" s="114"/>
      <c r="BB106" s="114"/>
      <c r="BC106" s="113"/>
      <c r="BD106" s="113"/>
      <c r="BE106" s="113"/>
      <c r="BF106" s="115"/>
      <c r="BG106" s="113"/>
      <c r="BH106" s="113"/>
      <c r="BI106" s="113"/>
      <c r="BJ106" s="113"/>
      <c r="BK106" s="113"/>
      <c r="BL106" s="113"/>
      <c r="BM106" s="113"/>
      <c r="BN106" s="116">
        <f t="shared" si="1"/>
        <v>0</v>
      </c>
      <c r="BO106" s="117">
        <v>150000.0</v>
      </c>
      <c r="BP106" s="117">
        <v>0.0</v>
      </c>
      <c r="BQ106" s="118">
        <f t="shared" si="21"/>
        <v>150000</v>
      </c>
      <c r="BR106" s="119">
        <f t="shared" si="3"/>
        <v>150000</v>
      </c>
    </row>
    <row r="107" ht="27.0" customHeight="1">
      <c r="A107" s="12">
        <f t="shared" si="4"/>
        <v>105</v>
      </c>
      <c r="B107" s="71" t="s">
        <v>163</v>
      </c>
      <c r="C107" s="12" t="s">
        <v>128</v>
      </c>
      <c r="D107" s="30" t="s">
        <v>194</v>
      </c>
      <c r="E107" s="157" t="s">
        <v>195</v>
      </c>
      <c r="F107" s="171" t="s">
        <v>670</v>
      </c>
      <c r="G107" s="69" t="s">
        <v>671</v>
      </c>
      <c r="H107" s="69" t="s">
        <v>672</v>
      </c>
      <c r="I107" s="69"/>
      <c r="J107" s="15" t="s">
        <v>420</v>
      </c>
      <c r="K107" s="161" t="s">
        <v>673</v>
      </c>
      <c r="L107" s="21" t="s">
        <v>33</v>
      </c>
      <c r="M107" s="21"/>
      <c r="N107" s="109">
        <v>45493.0</v>
      </c>
      <c r="O107" s="109">
        <v>45493.0</v>
      </c>
      <c r="P107" s="110" t="s">
        <v>422</v>
      </c>
      <c r="Q107" s="111">
        <v>45911.0</v>
      </c>
      <c r="R107" s="112"/>
      <c r="S107" s="21" t="s">
        <v>423</v>
      </c>
      <c r="T107" s="21"/>
      <c r="U107" s="113"/>
      <c r="V107" s="113"/>
      <c r="W107" s="113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  <c r="AM107" s="113"/>
      <c r="AN107" s="114"/>
      <c r="AO107" s="114">
        <f>12500*3</f>
        <v>37500</v>
      </c>
      <c r="AP107" s="114" t="s">
        <v>128</v>
      </c>
      <c r="AQ107" s="114" t="s">
        <v>128</v>
      </c>
      <c r="AR107" s="114">
        <f>12500*6</f>
        <v>75000</v>
      </c>
      <c r="AS107" s="114" t="s">
        <v>128</v>
      </c>
      <c r="AT107" s="121" t="s">
        <v>128</v>
      </c>
      <c r="AU107" s="114" t="s">
        <v>128</v>
      </c>
      <c r="AV107" s="114" t="s">
        <v>128</v>
      </c>
      <c r="AW107" s="114" t="s">
        <v>128</v>
      </c>
      <c r="AX107" s="114">
        <f>150000-AR107-AO107</f>
        <v>37500</v>
      </c>
      <c r="AY107" s="114" t="s">
        <v>424</v>
      </c>
      <c r="AZ107" s="114"/>
      <c r="BA107" s="114"/>
      <c r="BB107" s="114"/>
      <c r="BC107" s="113"/>
      <c r="BD107" s="113"/>
      <c r="BE107" s="113"/>
      <c r="BF107" s="115"/>
      <c r="BG107" s="113"/>
      <c r="BH107" s="113"/>
      <c r="BI107" s="113"/>
      <c r="BJ107" s="113"/>
      <c r="BK107" s="113"/>
      <c r="BL107" s="113"/>
      <c r="BM107" s="113"/>
      <c r="BN107" s="116">
        <f t="shared" si="1"/>
        <v>0</v>
      </c>
      <c r="BO107" s="117">
        <v>150000.0</v>
      </c>
      <c r="BP107" s="117">
        <v>0.0</v>
      </c>
      <c r="BQ107" s="118">
        <f t="shared" si="21"/>
        <v>150000</v>
      </c>
      <c r="BR107" s="119">
        <f t="shared" si="3"/>
        <v>150000</v>
      </c>
    </row>
    <row r="108" ht="27.0" customHeight="1">
      <c r="A108" s="12">
        <f t="shared" si="4"/>
        <v>106</v>
      </c>
      <c r="B108" s="71" t="s">
        <v>163</v>
      </c>
      <c r="C108" s="12" t="s">
        <v>128</v>
      </c>
      <c r="D108" s="30" t="s">
        <v>194</v>
      </c>
      <c r="E108" s="157" t="s">
        <v>195</v>
      </c>
      <c r="F108" s="171" t="s">
        <v>674</v>
      </c>
      <c r="G108" s="172" t="s">
        <v>675</v>
      </c>
      <c r="H108" s="172" t="s">
        <v>676</v>
      </c>
      <c r="I108" s="172"/>
      <c r="J108" s="15" t="s">
        <v>420</v>
      </c>
      <c r="K108" s="161" t="s">
        <v>439</v>
      </c>
      <c r="L108" s="21" t="s">
        <v>33</v>
      </c>
      <c r="M108" s="21"/>
      <c r="N108" s="109">
        <v>45503.0</v>
      </c>
      <c r="O108" s="109">
        <v>45503.0</v>
      </c>
      <c r="P108" s="110" t="s">
        <v>422</v>
      </c>
      <c r="Q108" s="111">
        <v>45911.0</v>
      </c>
      <c r="R108" s="112"/>
      <c r="S108" s="21" t="s">
        <v>423</v>
      </c>
      <c r="T108" s="21"/>
      <c r="U108" s="113"/>
      <c r="V108" s="113"/>
      <c r="W108" s="113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  <c r="AM108" s="113"/>
      <c r="AN108" s="114"/>
      <c r="AO108" s="114">
        <v>75000.0</v>
      </c>
      <c r="AP108" s="114" t="s">
        <v>128</v>
      </c>
      <c r="AQ108" s="114" t="s">
        <v>128</v>
      </c>
      <c r="AR108" s="114" t="s">
        <v>128</v>
      </c>
      <c r="AS108" s="114" t="s">
        <v>128</v>
      </c>
      <c r="AT108" s="121" t="s">
        <v>128</v>
      </c>
      <c r="AU108" s="114">
        <v>75000.0</v>
      </c>
      <c r="AV108" s="114" t="s">
        <v>632</v>
      </c>
      <c r="AW108" s="114"/>
      <c r="AX108" s="114"/>
      <c r="AY108" s="114"/>
      <c r="AZ108" s="114"/>
      <c r="BA108" s="114"/>
      <c r="BB108" s="114"/>
      <c r="BC108" s="113"/>
      <c r="BD108" s="113"/>
      <c r="BE108" s="113"/>
      <c r="BF108" s="115"/>
      <c r="BG108" s="113"/>
      <c r="BH108" s="113"/>
      <c r="BI108" s="113"/>
      <c r="BJ108" s="113"/>
      <c r="BK108" s="113"/>
      <c r="BL108" s="113"/>
      <c r="BM108" s="113"/>
      <c r="BN108" s="116">
        <f t="shared" si="1"/>
        <v>0</v>
      </c>
      <c r="BO108" s="117">
        <v>150000.0</v>
      </c>
      <c r="BP108" s="117">
        <v>0.0</v>
      </c>
      <c r="BQ108" s="118">
        <f t="shared" si="21"/>
        <v>150000</v>
      </c>
      <c r="BR108" s="119">
        <f t="shared" si="3"/>
        <v>150000</v>
      </c>
    </row>
    <row r="109" ht="27.0" customHeight="1">
      <c r="A109" s="12">
        <f t="shared" si="4"/>
        <v>107</v>
      </c>
      <c r="B109" s="71" t="s">
        <v>163</v>
      </c>
      <c r="C109" s="12" t="s">
        <v>128</v>
      </c>
      <c r="D109" s="30" t="s">
        <v>194</v>
      </c>
      <c r="E109" s="157" t="s">
        <v>195</v>
      </c>
      <c r="F109" s="122" t="s">
        <v>677</v>
      </c>
      <c r="G109" s="69" t="s">
        <v>678</v>
      </c>
      <c r="H109" s="69" t="s">
        <v>679</v>
      </c>
      <c r="I109" s="69"/>
      <c r="J109" s="15" t="s">
        <v>420</v>
      </c>
      <c r="K109" s="161" t="s">
        <v>421</v>
      </c>
      <c r="L109" s="21" t="s">
        <v>33</v>
      </c>
      <c r="M109" s="21"/>
      <c r="N109" s="109">
        <v>45505.0</v>
      </c>
      <c r="O109" s="109">
        <v>45516.0</v>
      </c>
      <c r="P109" s="110" t="s">
        <v>422</v>
      </c>
      <c r="Q109" s="111">
        <v>45911.0</v>
      </c>
      <c r="R109" s="112"/>
      <c r="S109" s="21" t="s">
        <v>423</v>
      </c>
      <c r="T109" s="21"/>
      <c r="U109" s="113"/>
      <c r="V109" s="113"/>
      <c r="W109" s="113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  <c r="AM109" s="113"/>
      <c r="AN109" s="114"/>
      <c r="AO109" s="114">
        <v>150000.0</v>
      </c>
      <c r="AP109" s="114" t="s">
        <v>424</v>
      </c>
      <c r="AQ109" s="114"/>
      <c r="AR109" s="114"/>
      <c r="AS109" s="114"/>
      <c r="AT109" s="121"/>
      <c r="AU109" s="114"/>
      <c r="AV109" s="114"/>
      <c r="AW109" s="114"/>
      <c r="AX109" s="114"/>
      <c r="AY109" s="114"/>
      <c r="AZ109" s="114"/>
      <c r="BA109" s="114"/>
      <c r="BB109" s="114"/>
      <c r="BC109" s="113"/>
      <c r="BD109" s="113"/>
      <c r="BE109" s="113"/>
      <c r="BF109" s="115"/>
      <c r="BG109" s="113"/>
      <c r="BH109" s="113"/>
      <c r="BI109" s="113"/>
      <c r="BJ109" s="113"/>
      <c r="BK109" s="113"/>
      <c r="BL109" s="113"/>
      <c r="BM109" s="113"/>
      <c r="BN109" s="116">
        <f t="shared" si="1"/>
        <v>0</v>
      </c>
      <c r="BO109" s="117">
        <v>150000.0</v>
      </c>
      <c r="BP109" s="117">
        <v>0.0</v>
      </c>
      <c r="BQ109" s="118">
        <f t="shared" si="21"/>
        <v>150000</v>
      </c>
      <c r="BR109" s="119">
        <f t="shared" si="3"/>
        <v>150000</v>
      </c>
    </row>
    <row r="110" ht="27.0" customHeight="1">
      <c r="A110" s="12">
        <f t="shared" si="4"/>
        <v>108</v>
      </c>
      <c r="B110" s="71" t="s">
        <v>163</v>
      </c>
      <c r="C110" s="12" t="s">
        <v>128</v>
      </c>
      <c r="D110" s="30" t="s">
        <v>194</v>
      </c>
      <c r="E110" s="157" t="s">
        <v>195</v>
      </c>
      <c r="F110" s="122">
        <v>13032.0</v>
      </c>
      <c r="G110" s="169" t="s">
        <v>680</v>
      </c>
      <c r="H110" s="40" t="s">
        <v>681</v>
      </c>
      <c r="I110" s="40"/>
      <c r="J110" s="15" t="s">
        <v>420</v>
      </c>
      <c r="K110" s="161" t="s">
        <v>443</v>
      </c>
      <c r="L110" s="21" t="s">
        <v>33</v>
      </c>
      <c r="M110" s="21"/>
      <c r="N110" s="109">
        <v>45536.0</v>
      </c>
      <c r="O110" s="109">
        <v>45536.0</v>
      </c>
      <c r="P110" s="110" t="s">
        <v>449</v>
      </c>
      <c r="Q110" s="111"/>
      <c r="R110" s="112"/>
      <c r="S110" s="21" t="s">
        <v>433</v>
      </c>
      <c r="T110" s="21" t="s">
        <v>434</v>
      </c>
      <c r="U110" s="113"/>
      <c r="V110" s="113"/>
      <c r="W110" s="113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  <c r="AK110" s="138"/>
      <c r="AL110" s="138"/>
      <c r="AM110" s="113"/>
      <c r="AN110" s="113"/>
      <c r="AO110" s="113"/>
      <c r="AP110" s="113"/>
      <c r="AQ110" s="113">
        <v>12500.0</v>
      </c>
      <c r="AR110" s="113">
        <v>8333.0</v>
      </c>
      <c r="AS110" s="113">
        <v>8333.0</v>
      </c>
      <c r="AT110" s="115">
        <v>8333.0</v>
      </c>
      <c r="AU110" s="113">
        <v>8333.0</v>
      </c>
      <c r="AV110" s="113">
        <v>8333.0</v>
      </c>
      <c r="AW110" s="113">
        <v>8333.0</v>
      </c>
      <c r="AX110" s="113">
        <v>8333.0</v>
      </c>
      <c r="AY110" s="113">
        <v>8333.0</v>
      </c>
      <c r="AZ110" s="113">
        <v>8333.0</v>
      </c>
      <c r="BA110" s="113">
        <v>8333.0</v>
      </c>
      <c r="BB110" s="113">
        <v>8333.0</v>
      </c>
      <c r="BC110" s="114" t="s">
        <v>424</v>
      </c>
      <c r="BD110" s="114"/>
      <c r="BE110" s="114"/>
      <c r="BF110" s="121"/>
      <c r="BG110" s="114"/>
      <c r="BH110" s="114"/>
      <c r="BI110" s="114"/>
      <c r="BJ110" s="114"/>
      <c r="BK110" s="114"/>
      <c r="BL110" s="114"/>
      <c r="BM110" s="114"/>
      <c r="BN110" s="123">
        <f t="shared" si="1"/>
        <v>104163</v>
      </c>
      <c r="BO110" s="117">
        <v>0.0</v>
      </c>
      <c r="BP110" s="117">
        <v>0.0</v>
      </c>
      <c r="BQ110" s="118">
        <v>0.0</v>
      </c>
      <c r="BR110" s="119">
        <f t="shared" si="3"/>
        <v>104163</v>
      </c>
    </row>
    <row r="111" ht="27.0" customHeight="1">
      <c r="A111" s="12">
        <f t="shared" si="4"/>
        <v>109</v>
      </c>
      <c r="B111" s="71" t="s">
        <v>163</v>
      </c>
      <c r="C111" s="12" t="s">
        <v>128</v>
      </c>
      <c r="D111" s="30" t="s">
        <v>194</v>
      </c>
      <c r="E111" s="157" t="s">
        <v>195</v>
      </c>
      <c r="F111" s="122">
        <v>13257.0</v>
      </c>
      <c r="G111" s="169" t="s">
        <v>682</v>
      </c>
      <c r="H111" s="40" t="s">
        <v>683</v>
      </c>
      <c r="I111" s="40"/>
      <c r="J111" s="15" t="s">
        <v>420</v>
      </c>
      <c r="K111" s="161" t="s">
        <v>421</v>
      </c>
      <c r="L111" s="21" t="s">
        <v>33</v>
      </c>
      <c r="M111" s="21"/>
      <c r="N111" s="109">
        <v>45544.0</v>
      </c>
      <c r="O111" s="109">
        <v>45544.0</v>
      </c>
      <c r="P111" s="110" t="s">
        <v>422</v>
      </c>
      <c r="Q111" s="111"/>
      <c r="R111" s="112"/>
      <c r="S111" s="21" t="s">
        <v>433</v>
      </c>
      <c r="T111" s="21" t="s">
        <v>434</v>
      </c>
      <c r="U111" s="113"/>
      <c r="V111" s="113"/>
      <c r="W111" s="113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8"/>
      <c r="AM111" s="113"/>
      <c r="AN111" s="113"/>
      <c r="AO111" s="113"/>
      <c r="AP111" s="113"/>
      <c r="AQ111" s="113">
        <v>150000.0</v>
      </c>
      <c r="AR111" s="114" t="s">
        <v>424</v>
      </c>
      <c r="AS111" s="113"/>
      <c r="AT111" s="115"/>
      <c r="AU111" s="113"/>
      <c r="AV111" s="113"/>
      <c r="AW111" s="113"/>
      <c r="AX111" s="113"/>
      <c r="AY111" s="113"/>
      <c r="AZ111" s="113"/>
      <c r="BA111" s="113"/>
      <c r="BB111" s="113"/>
      <c r="BC111" s="113"/>
      <c r="BD111" s="113"/>
      <c r="BE111" s="113"/>
      <c r="BF111" s="115"/>
      <c r="BG111" s="113"/>
      <c r="BH111" s="113"/>
      <c r="BI111" s="113"/>
      <c r="BJ111" s="113"/>
      <c r="BK111" s="113"/>
      <c r="BL111" s="113"/>
      <c r="BM111" s="113"/>
      <c r="BN111" s="123">
        <f t="shared" si="1"/>
        <v>150000</v>
      </c>
      <c r="BO111" s="117">
        <v>0.0</v>
      </c>
      <c r="BP111" s="117">
        <v>0.0</v>
      </c>
      <c r="BQ111" s="118">
        <v>0.0</v>
      </c>
      <c r="BR111" s="119">
        <f t="shared" si="3"/>
        <v>150000</v>
      </c>
    </row>
    <row r="112" ht="27.0" customHeight="1">
      <c r="A112" s="12">
        <f t="shared" si="4"/>
        <v>110</v>
      </c>
      <c r="B112" s="71" t="s">
        <v>163</v>
      </c>
      <c r="C112" s="12" t="s">
        <v>128</v>
      </c>
      <c r="D112" s="30" t="s">
        <v>194</v>
      </c>
      <c r="E112" s="157" t="s">
        <v>195</v>
      </c>
      <c r="F112" s="122" t="s">
        <v>684</v>
      </c>
      <c r="G112" s="169" t="s">
        <v>685</v>
      </c>
      <c r="H112" s="40" t="s">
        <v>686</v>
      </c>
      <c r="I112" s="40"/>
      <c r="J112" s="15" t="s">
        <v>420</v>
      </c>
      <c r="K112" s="161" t="s">
        <v>439</v>
      </c>
      <c r="L112" s="21" t="s">
        <v>33</v>
      </c>
      <c r="M112" s="21"/>
      <c r="N112" s="109">
        <v>45546.0</v>
      </c>
      <c r="O112" s="109">
        <v>45547.0</v>
      </c>
      <c r="P112" s="110" t="s">
        <v>422</v>
      </c>
      <c r="Q112" s="111"/>
      <c r="R112" s="112"/>
      <c r="S112" s="21" t="s">
        <v>433</v>
      </c>
      <c r="T112" s="21" t="s">
        <v>434</v>
      </c>
      <c r="U112" s="113"/>
      <c r="V112" s="113"/>
      <c r="W112" s="113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  <c r="AM112" s="113"/>
      <c r="AN112" s="113"/>
      <c r="AO112" s="113"/>
      <c r="AP112" s="113"/>
      <c r="AQ112" s="113">
        <f>12500*6</f>
        <v>75000</v>
      </c>
      <c r="AR112" s="113" t="s">
        <v>128</v>
      </c>
      <c r="AS112" s="113" t="s">
        <v>128</v>
      </c>
      <c r="AT112" s="115" t="s">
        <v>128</v>
      </c>
      <c r="AU112" s="113" t="s">
        <v>128</v>
      </c>
      <c r="AV112" s="113" t="s">
        <v>128</v>
      </c>
      <c r="AW112" s="113">
        <f>12500*6</f>
        <v>75000</v>
      </c>
      <c r="AX112" s="114" t="s">
        <v>424</v>
      </c>
      <c r="AY112" s="113"/>
      <c r="AZ112" s="113"/>
      <c r="BA112" s="113"/>
      <c r="BB112" s="113"/>
      <c r="BC112" s="113"/>
      <c r="BD112" s="113"/>
      <c r="BE112" s="113"/>
      <c r="BF112" s="115"/>
      <c r="BG112" s="113"/>
      <c r="BH112" s="113"/>
      <c r="BI112" s="113"/>
      <c r="BJ112" s="113"/>
      <c r="BK112" s="113"/>
      <c r="BL112" s="113"/>
      <c r="BM112" s="113"/>
      <c r="BN112" s="123">
        <f t="shared" si="1"/>
        <v>150000</v>
      </c>
      <c r="BO112" s="117">
        <v>0.0</v>
      </c>
      <c r="BP112" s="117">
        <v>0.0</v>
      </c>
      <c r="BQ112" s="118">
        <v>0.0</v>
      </c>
      <c r="BR112" s="119">
        <f t="shared" si="3"/>
        <v>150000</v>
      </c>
    </row>
    <row r="113" ht="27.0" customHeight="1">
      <c r="A113" s="12">
        <f t="shared" si="4"/>
        <v>111</v>
      </c>
      <c r="B113" s="71" t="s">
        <v>163</v>
      </c>
      <c r="C113" s="12" t="s">
        <v>128</v>
      </c>
      <c r="D113" s="30" t="s">
        <v>194</v>
      </c>
      <c r="E113" s="157" t="s">
        <v>195</v>
      </c>
      <c r="F113" s="122">
        <v>13273.0</v>
      </c>
      <c r="G113" s="173" t="s">
        <v>687</v>
      </c>
      <c r="H113" s="174" t="s">
        <v>688</v>
      </c>
      <c r="I113" s="174"/>
      <c r="J113" s="15" t="s">
        <v>420</v>
      </c>
      <c r="K113" s="161" t="s">
        <v>511</v>
      </c>
      <c r="L113" s="21" t="s">
        <v>33</v>
      </c>
      <c r="M113" s="21"/>
      <c r="N113" s="109">
        <v>45560.0</v>
      </c>
      <c r="O113" s="109">
        <v>45560.0</v>
      </c>
      <c r="P113" s="110" t="s">
        <v>422</v>
      </c>
      <c r="Q113" s="111"/>
      <c r="R113" s="112"/>
      <c r="S113" s="21" t="s">
        <v>433</v>
      </c>
      <c r="T113" s="21" t="s">
        <v>434</v>
      </c>
      <c r="U113" s="113"/>
      <c r="V113" s="113"/>
      <c r="W113" s="113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13"/>
      <c r="AN113" s="113"/>
      <c r="AO113" s="113"/>
      <c r="AP113" s="113"/>
      <c r="AQ113" s="113">
        <f>8333*6</f>
        <v>49998</v>
      </c>
      <c r="AR113" s="113" t="s">
        <v>128</v>
      </c>
      <c r="AS113" s="113" t="s">
        <v>128</v>
      </c>
      <c r="AT113" s="115" t="s">
        <v>128</v>
      </c>
      <c r="AU113" s="113" t="s">
        <v>128</v>
      </c>
      <c r="AV113" s="113" t="s">
        <v>128</v>
      </c>
      <c r="AW113" s="114" t="s">
        <v>440</v>
      </c>
      <c r="AX113" s="114" t="s">
        <v>440</v>
      </c>
      <c r="AY113" s="114" t="s">
        <v>440</v>
      </c>
      <c r="AZ113" s="114" t="s">
        <v>440</v>
      </c>
      <c r="BA113" s="114" t="s">
        <v>440</v>
      </c>
      <c r="BB113" s="114" t="s">
        <v>440</v>
      </c>
      <c r="BC113" s="114" t="s">
        <v>440</v>
      </c>
      <c r="BD113" s="114"/>
      <c r="BE113" s="114"/>
      <c r="BF113" s="121"/>
      <c r="BG113" s="114"/>
      <c r="BH113" s="114"/>
      <c r="BI113" s="114"/>
      <c r="BJ113" s="114"/>
      <c r="BK113" s="114"/>
      <c r="BL113" s="114"/>
      <c r="BM113" s="114"/>
      <c r="BN113" s="123">
        <f t="shared" si="1"/>
        <v>49998</v>
      </c>
      <c r="BO113" s="117">
        <v>0.0</v>
      </c>
      <c r="BP113" s="117">
        <v>0.0</v>
      </c>
      <c r="BQ113" s="118">
        <v>0.0</v>
      </c>
      <c r="BR113" s="119">
        <f t="shared" si="3"/>
        <v>49998</v>
      </c>
    </row>
    <row r="114" ht="27.0" customHeight="1">
      <c r="A114" s="12">
        <f t="shared" si="4"/>
        <v>112</v>
      </c>
      <c r="B114" s="71" t="s">
        <v>163</v>
      </c>
      <c r="C114" s="12" t="s">
        <v>128</v>
      </c>
      <c r="D114" s="30" t="s">
        <v>194</v>
      </c>
      <c r="E114" s="157" t="s">
        <v>195</v>
      </c>
      <c r="F114" s="122">
        <v>13317.0</v>
      </c>
      <c r="G114" s="173" t="s">
        <v>689</v>
      </c>
      <c r="H114" s="30" t="s">
        <v>690</v>
      </c>
      <c r="I114" s="30"/>
      <c r="J114" s="15" t="s">
        <v>420</v>
      </c>
      <c r="K114" s="161" t="s">
        <v>673</v>
      </c>
      <c r="L114" s="21" t="s">
        <v>33</v>
      </c>
      <c r="M114" s="21"/>
      <c r="N114" s="109">
        <v>45552.0</v>
      </c>
      <c r="O114" s="109">
        <v>45552.0</v>
      </c>
      <c r="P114" s="110" t="s">
        <v>422</v>
      </c>
      <c r="Q114" s="111"/>
      <c r="R114" s="112"/>
      <c r="S114" s="21" t="s">
        <v>433</v>
      </c>
      <c r="T114" s="21" t="s">
        <v>434</v>
      </c>
      <c r="U114" s="113"/>
      <c r="V114" s="113"/>
      <c r="W114" s="113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13"/>
      <c r="AN114" s="113"/>
      <c r="AO114" s="113"/>
      <c r="AP114" s="113"/>
      <c r="AQ114" s="113">
        <f>12500*3</f>
        <v>37500</v>
      </c>
      <c r="AR114" s="113" t="s">
        <v>128</v>
      </c>
      <c r="AS114" s="113" t="s">
        <v>128</v>
      </c>
      <c r="AT114" s="115" t="s">
        <v>128</v>
      </c>
      <c r="AU114" s="114" t="s">
        <v>440</v>
      </c>
      <c r="AV114" s="114" t="s">
        <v>440</v>
      </c>
      <c r="AW114" s="114" t="s">
        <v>440</v>
      </c>
      <c r="AX114" s="114" t="s">
        <v>440</v>
      </c>
      <c r="AY114" s="114" t="s">
        <v>440</v>
      </c>
      <c r="AZ114" s="114" t="s">
        <v>440</v>
      </c>
      <c r="BA114" s="114" t="s">
        <v>440</v>
      </c>
      <c r="BB114" s="114" t="s">
        <v>440</v>
      </c>
      <c r="BC114" s="114" t="s">
        <v>440</v>
      </c>
      <c r="BD114" s="114"/>
      <c r="BE114" s="114"/>
      <c r="BF114" s="121"/>
      <c r="BG114" s="114"/>
      <c r="BH114" s="114"/>
      <c r="BI114" s="114"/>
      <c r="BJ114" s="114"/>
      <c r="BK114" s="114"/>
      <c r="BL114" s="114"/>
      <c r="BM114" s="114"/>
      <c r="BN114" s="123">
        <f t="shared" si="1"/>
        <v>37500</v>
      </c>
      <c r="BO114" s="117">
        <v>0.0</v>
      </c>
      <c r="BP114" s="117">
        <v>0.0</v>
      </c>
      <c r="BQ114" s="118">
        <v>0.0</v>
      </c>
      <c r="BR114" s="119">
        <f t="shared" si="3"/>
        <v>37500</v>
      </c>
    </row>
    <row r="115" ht="27.0" customHeight="1">
      <c r="A115" s="12">
        <f t="shared" si="4"/>
        <v>113</v>
      </c>
      <c r="B115" s="71" t="s">
        <v>163</v>
      </c>
      <c r="C115" s="12" t="s">
        <v>128</v>
      </c>
      <c r="D115" s="30" t="s">
        <v>194</v>
      </c>
      <c r="E115" s="157" t="s">
        <v>195</v>
      </c>
      <c r="F115" s="122">
        <v>13502.0</v>
      </c>
      <c r="G115" s="173" t="s">
        <v>691</v>
      </c>
      <c r="H115" s="174" t="s">
        <v>510</v>
      </c>
      <c r="I115" s="174"/>
      <c r="J115" s="15" t="s">
        <v>420</v>
      </c>
      <c r="K115" s="161" t="s">
        <v>421</v>
      </c>
      <c r="L115" s="21" t="s">
        <v>33</v>
      </c>
      <c r="M115" s="21"/>
      <c r="N115" s="109">
        <v>45580.0</v>
      </c>
      <c r="O115" s="109">
        <v>45586.0</v>
      </c>
      <c r="P115" s="110" t="s">
        <v>422</v>
      </c>
      <c r="Q115" s="111"/>
      <c r="R115" s="112"/>
      <c r="S115" s="21" t="s">
        <v>433</v>
      </c>
      <c r="T115" s="21" t="s">
        <v>434</v>
      </c>
      <c r="U115" s="113"/>
      <c r="V115" s="113"/>
      <c r="W115" s="113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13"/>
      <c r="AN115" s="113"/>
      <c r="AO115" s="113"/>
      <c r="AP115" s="113"/>
      <c r="AQ115" s="113"/>
      <c r="AR115" s="113">
        <v>150000.0</v>
      </c>
      <c r="AS115" s="114" t="s">
        <v>424</v>
      </c>
      <c r="AT115" s="115"/>
      <c r="AU115" s="113"/>
      <c r="AV115" s="113"/>
      <c r="AW115" s="113"/>
      <c r="AX115" s="113"/>
      <c r="AY115" s="113"/>
      <c r="AZ115" s="113"/>
      <c r="BA115" s="113"/>
      <c r="BB115" s="113"/>
      <c r="BC115" s="113"/>
      <c r="BD115" s="113"/>
      <c r="BE115" s="113"/>
      <c r="BF115" s="115"/>
      <c r="BG115" s="113"/>
      <c r="BH115" s="113"/>
      <c r="BI115" s="113"/>
      <c r="BJ115" s="113"/>
      <c r="BK115" s="113"/>
      <c r="BL115" s="113"/>
      <c r="BM115" s="113"/>
      <c r="BN115" s="123">
        <f t="shared" si="1"/>
        <v>150000</v>
      </c>
      <c r="BO115" s="117">
        <v>0.0</v>
      </c>
      <c r="BP115" s="117">
        <v>0.0</v>
      </c>
      <c r="BQ115" s="118">
        <v>0.0</v>
      </c>
      <c r="BR115" s="119">
        <f t="shared" si="3"/>
        <v>150000</v>
      </c>
    </row>
    <row r="116" ht="27.0" customHeight="1">
      <c r="A116" s="12">
        <f t="shared" si="4"/>
        <v>114</v>
      </c>
      <c r="B116" s="71" t="s">
        <v>163</v>
      </c>
      <c r="C116" s="12" t="s">
        <v>128</v>
      </c>
      <c r="D116" s="30" t="s">
        <v>194</v>
      </c>
      <c r="E116" s="157" t="s">
        <v>195</v>
      </c>
      <c r="F116" s="122">
        <v>13701.0</v>
      </c>
      <c r="G116" s="173" t="s">
        <v>692</v>
      </c>
      <c r="H116" s="40" t="s">
        <v>693</v>
      </c>
      <c r="I116" s="40"/>
      <c r="J116" s="15" t="s">
        <v>420</v>
      </c>
      <c r="K116" s="161" t="s">
        <v>511</v>
      </c>
      <c r="L116" s="21" t="s">
        <v>33</v>
      </c>
      <c r="M116" s="21"/>
      <c r="N116" s="109">
        <v>45596.0</v>
      </c>
      <c r="O116" s="109">
        <v>45597.0</v>
      </c>
      <c r="P116" s="110" t="s">
        <v>422</v>
      </c>
      <c r="Q116" s="111"/>
      <c r="R116" s="112"/>
      <c r="S116" s="21" t="s">
        <v>433</v>
      </c>
      <c r="T116" s="21" t="s">
        <v>434</v>
      </c>
      <c r="U116" s="113"/>
      <c r="V116" s="113"/>
      <c r="W116" s="113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38"/>
      <c r="AK116" s="138"/>
      <c r="AL116" s="138"/>
      <c r="AM116" s="113"/>
      <c r="AN116" s="113"/>
      <c r="AO116" s="113"/>
      <c r="AP116" s="113"/>
      <c r="AQ116" s="113"/>
      <c r="AR116" s="113">
        <f>8333*6</f>
        <v>49998</v>
      </c>
      <c r="AS116" s="113" t="s">
        <v>128</v>
      </c>
      <c r="AT116" s="115" t="s">
        <v>128</v>
      </c>
      <c r="AU116" s="113" t="s">
        <v>128</v>
      </c>
      <c r="AV116" s="113" t="s">
        <v>128</v>
      </c>
      <c r="AW116" s="113" t="s">
        <v>128</v>
      </c>
      <c r="AX116" s="113" t="s">
        <v>128</v>
      </c>
      <c r="AY116" s="113">
        <f>150000-AR116</f>
        <v>100002</v>
      </c>
      <c r="AZ116" s="114" t="s">
        <v>424</v>
      </c>
      <c r="BA116" s="113"/>
      <c r="BB116" s="113"/>
      <c r="BC116" s="113"/>
      <c r="BD116" s="113"/>
      <c r="BE116" s="113"/>
      <c r="BF116" s="115"/>
      <c r="BG116" s="113"/>
      <c r="BH116" s="113"/>
      <c r="BI116" s="113"/>
      <c r="BJ116" s="113"/>
      <c r="BK116" s="113"/>
      <c r="BL116" s="113"/>
      <c r="BM116" s="113"/>
      <c r="BN116" s="123">
        <f t="shared" si="1"/>
        <v>150000</v>
      </c>
      <c r="BO116" s="117">
        <v>0.0</v>
      </c>
      <c r="BP116" s="117">
        <v>0.0</v>
      </c>
      <c r="BQ116" s="118">
        <v>0.0</v>
      </c>
      <c r="BR116" s="119">
        <f t="shared" si="3"/>
        <v>150000</v>
      </c>
    </row>
    <row r="117" ht="27.0" customHeight="1">
      <c r="A117" s="12">
        <f t="shared" si="4"/>
        <v>115</v>
      </c>
      <c r="B117" s="71" t="s">
        <v>163</v>
      </c>
      <c r="C117" s="12" t="s">
        <v>128</v>
      </c>
      <c r="D117" s="30" t="s">
        <v>194</v>
      </c>
      <c r="E117" s="157" t="s">
        <v>195</v>
      </c>
      <c r="F117" s="122">
        <v>13730.0</v>
      </c>
      <c r="G117" s="173" t="s">
        <v>694</v>
      </c>
      <c r="H117" s="174" t="s">
        <v>559</v>
      </c>
      <c r="I117" s="174"/>
      <c r="J117" s="15" t="s">
        <v>420</v>
      </c>
      <c r="K117" s="161" t="s">
        <v>511</v>
      </c>
      <c r="L117" s="21" t="s">
        <v>33</v>
      </c>
      <c r="M117" s="21"/>
      <c r="N117" s="109">
        <v>45600.0</v>
      </c>
      <c r="O117" s="109">
        <v>45600.0</v>
      </c>
      <c r="P117" s="110" t="s">
        <v>422</v>
      </c>
      <c r="Q117" s="111"/>
      <c r="R117" s="112"/>
      <c r="S117" s="21" t="s">
        <v>433</v>
      </c>
      <c r="T117" s="21" t="s">
        <v>434</v>
      </c>
      <c r="U117" s="113"/>
      <c r="V117" s="113"/>
      <c r="W117" s="113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13"/>
      <c r="AN117" s="113"/>
      <c r="AO117" s="113"/>
      <c r="AP117" s="113"/>
      <c r="AQ117" s="113"/>
      <c r="AR117" s="113"/>
      <c r="AS117" s="113">
        <f>8333*6</f>
        <v>49998</v>
      </c>
      <c r="AT117" s="115" t="s">
        <v>128</v>
      </c>
      <c r="AU117" s="113" t="s">
        <v>128</v>
      </c>
      <c r="AV117" s="113" t="s">
        <v>128</v>
      </c>
      <c r="AW117" s="113" t="s">
        <v>128</v>
      </c>
      <c r="AX117" s="113" t="s">
        <v>128</v>
      </c>
      <c r="AY117" s="113">
        <f>8333*6</f>
        <v>49998</v>
      </c>
      <c r="AZ117" s="114" t="s">
        <v>424</v>
      </c>
      <c r="BA117" s="113"/>
      <c r="BB117" s="113"/>
      <c r="BC117" s="113"/>
      <c r="BD117" s="113"/>
      <c r="BE117" s="113"/>
      <c r="BF117" s="115"/>
      <c r="BG117" s="113"/>
      <c r="BH117" s="113"/>
      <c r="BI117" s="113"/>
      <c r="BJ117" s="113"/>
      <c r="BK117" s="113"/>
      <c r="BL117" s="113"/>
      <c r="BM117" s="113"/>
      <c r="BN117" s="123">
        <f t="shared" si="1"/>
        <v>99996</v>
      </c>
      <c r="BO117" s="117">
        <v>0.0</v>
      </c>
      <c r="BP117" s="117">
        <v>0.0</v>
      </c>
      <c r="BQ117" s="118">
        <v>0.0</v>
      </c>
      <c r="BR117" s="119">
        <f t="shared" si="3"/>
        <v>99996</v>
      </c>
    </row>
    <row r="118" ht="27.0" customHeight="1">
      <c r="A118" s="12">
        <f t="shared" si="4"/>
        <v>116</v>
      </c>
      <c r="B118" s="71" t="s">
        <v>163</v>
      </c>
      <c r="C118" s="12" t="s">
        <v>128</v>
      </c>
      <c r="D118" s="30" t="s">
        <v>194</v>
      </c>
      <c r="E118" s="157" t="s">
        <v>195</v>
      </c>
      <c r="F118" s="122">
        <v>13724.0</v>
      </c>
      <c r="G118" s="175" t="s">
        <v>695</v>
      </c>
      <c r="H118" s="69" t="s">
        <v>696</v>
      </c>
      <c r="I118" s="69"/>
      <c r="J118" s="15" t="s">
        <v>420</v>
      </c>
      <c r="K118" s="161" t="s">
        <v>697</v>
      </c>
      <c r="L118" s="21" t="s">
        <v>33</v>
      </c>
      <c r="M118" s="21"/>
      <c r="N118" s="109">
        <v>45602.0</v>
      </c>
      <c r="O118" s="109">
        <v>45602.0</v>
      </c>
      <c r="P118" s="110" t="s">
        <v>422</v>
      </c>
      <c r="Q118" s="111"/>
      <c r="R118" s="112"/>
      <c r="S118" s="21" t="s">
        <v>433</v>
      </c>
      <c r="T118" s="21" t="s">
        <v>434</v>
      </c>
      <c r="U118" s="113"/>
      <c r="V118" s="113"/>
      <c r="W118" s="113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38"/>
      <c r="AK118" s="138"/>
      <c r="AL118" s="138"/>
      <c r="AM118" s="113"/>
      <c r="AN118" s="113"/>
      <c r="AO118" s="113"/>
      <c r="AP118" s="113"/>
      <c r="AQ118" s="113"/>
      <c r="AR118" s="113"/>
      <c r="AS118" s="113">
        <f>8333*3</f>
        <v>24999</v>
      </c>
      <c r="AT118" s="115" t="s">
        <v>128</v>
      </c>
      <c r="AU118" s="113" t="s">
        <v>128</v>
      </c>
      <c r="AV118" s="113">
        <f>8333*3</f>
        <v>24999</v>
      </c>
      <c r="AW118" s="113" t="s">
        <v>128</v>
      </c>
      <c r="AX118" s="113" t="s">
        <v>128</v>
      </c>
      <c r="AY118" s="113">
        <f>8333*3</f>
        <v>24999</v>
      </c>
      <c r="AZ118" s="113" t="s">
        <v>128</v>
      </c>
      <c r="BA118" s="113" t="s">
        <v>128</v>
      </c>
      <c r="BB118" s="113">
        <f>8333*3</f>
        <v>24999</v>
      </c>
      <c r="BC118" s="114" t="s">
        <v>424</v>
      </c>
      <c r="BD118" s="114"/>
      <c r="BE118" s="114"/>
      <c r="BF118" s="121"/>
      <c r="BG118" s="114"/>
      <c r="BH118" s="114"/>
      <c r="BI118" s="114"/>
      <c r="BJ118" s="114"/>
      <c r="BK118" s="114"/>
      <c r="BL118" s="114"/>
      <c r="BM118" s="114"/>
      <c r="BN118" s="123">
        <f t="shared" si="1"/>
        <v>99996</v>
      </c>
      <c r="BO118" s="117">
        <v>0.0</v>
      </c>
      <c r="BP118" s="117">
        <v>0.0</v>
      </c>
      <c r="BQ118" s="118">
        <v>0.0</v>
      </c>
      <c r="BR118" s="119">
        <f t="shared" si="3"/>
        <v>99996</v>
      </c>
    </row>
    <row r="119" ht="27.0" customHeight="1">
      <c r="A119" s="12">
        <f t="shared" si="4"/>
        <v>117</v>
      </c>
      <c r="B119" s="71" t="s">
        <v>163</v>
      </c>
      <c r="C119" s="12" t="s">
        <v>128</v>
      </c>
      <c r="D119" s="30" t="s">
        <v>194</v>
      </c>
      <c r="E119" s="157" t="s">
        <v>195</v>
      </c>
      <c r="F119" s="122" t="s">
        <v>698</v>
      </c>
      <c r="G119" s="173" t="s">
        <v>699</v>
      </c>
      <c r="H119" s="40" t="s">
        <v>700</v>
      </c>
      <c r="I119" s="40"/>
      <c r="J119" s="15" t="s">
        <v>420</v>
      </c>
      <c r="K119" s="161" t="s">
        <v>421</v>
      </c>
      <c r="L119" s="21" t="s">
        <v>33</v>
      </c>
      <c r="M119" s="21"/>
      <c r="N119" s="109">
        <v>45639.0</v>
      </c>
      <c r="O119" s="109">
        <v>45639.0</v>
      </c>
      <c r="P119" s="110" t="s">
        <v>422</v>
      </c>
      <c r="Q119" s="111"/>
      <c r="R119" s="112"/>
      <c r="S119" s="21" t="s">
        <v>433</v>
      </c>
      <c r="T119" s="21" t="s">
        <v>434</v>
      </c>
      <c r="U119" s="113"/>
      <c r="V119" s="113"/>
      <c r="W119" s="113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13"/>
      <c r="AN119" s="113"/>
      <c r="AO119" s="113"/>
      <c r="AP119" s="113"/>
      <c r="AQ119" s="113"/>
      <c r="AR119" s="113"/>
      <c r="AS119" s="113"/>
      <c r="AT119" s="115">
        <v>150000.0</v>
      </c>
      <c r="AU119" s="114" t="s">
        <v>424</v>
      </c>
      <c r="AV119" s="114"/>
      <c r="AW119" s="114"/>
      <c r="AX119" s="114"/>
      <c r="AY119" s="114"/>
      <c r="AZ119" s="114"/>
      <c r="BA119" s="114"/>
      <c r="BB119" s="114"/>
      <c r="BC119" s="114"/>
      <c r="BD119" s="114"/>
      <c r="BE119" s="114"/>
      <c r="BF119" s="121"/>
      <c r="BG119" s="114"/>
      <c r="BH119" s="114"/>
      <c r="BI119" s="114"/>
      <c r="BJ119" s="114"/>
      <c r="BK119" s="114"/>
      <c r="BL119" s="114"/>
      <c r="BM119" s="114"/>
      <c r="BN119" s="123">
        <f t="shared" si="1"/>
        <v>150000</v>
      </c>
      <c r="BO119" s="117">
        <v>0.0</v>
      </c>
      <c r="BP119" s="117">
        <v>0.0</v>
      </c>
      <c r="BQ119" s="118">
        <v>0.0</v>
      </c>
      <c r="BR119" s="119">
        <f t="shared" si="3"/>
        <v>150000</v>
      </c>
    </row>
    <row r="120" ht="27.0" customHeight="1">
      <c r="A120" s="12">
        <f t="shared" si="4"/>
        <v>118</v>
      </c>
      <c r="B120" s="71" t="s">
        <v>163</v>
      </c>
      <c r="C120" s="12" t="s">
        <v>128</v>
      </c>
      <c r="D120" s="30" t="s">
        <v>194</v>
      </c>
      <c r="E120" s="157" t="s">
        <v>195</v>
      </c>
      <c r="F120" s="122" t="s">
        <v>701</v>
      </c>
      <c r="G120" s="173" t="s">
        <v>702</v>
      </c>
      <c r="H120" s="69" t="s">
        <v>703</v>
      </c>
      <c r="I120" s="69"/>
      <c r="J120" s="15" t="s">
        <v>420</v>
      </c>
      <c r="K120" s="161" t="s">
        <v>421</v>
      </c>
      <c r="L120" s="21" t="s">
        <v>33</v>
      </c>
      <c r="M120" s="21"/>
      <c r="N120" s="109">
        <v>45639.0</v>
      </c>
      <c r="O120" s="109">
        <v>45641.0</v>
      </c>
      <c r="P120" s="110" t="s">
        <v>422</v>
      </c>
      <c r="Q120" s="111"/>
      <c r="R120" s="112"/>
      <c r="S120" s="21" t="s">
        <v>433</v>
      </c>
      <c r="T120" s="21" t="s">
        <v>434</v>
      </c>
      <c r="U120" s="113"/>
      <c r="V120" s="113"/>
      <c r="W120" s="113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  <c r="AL120" s="138"/>
      <c r="AM120" s="113"/>
      <c r="AN120" s="113"/>
      <c r="AO120" s="113"/>
      <c r="AP120" s="113"/>
      <c r="AQ120" s="113"/>
      <c r="AR120" s="113"/>
      <c r="AS120" s="113"/>
      <c r="AT120" s="115">
        <v>150000.0</v>
      </c>
      <c r="AU120" s="114" t="s">
        <v>424</v>
      </c>
      <c r="AV120" s="114"/>
      <c r="AW120" s="114"/>
      <c r="AX120" s="114"/>
      <c r="AY120" s="114"/>
      <c r="AZ120" s="114"/>
      <c r="BA120" s="114"/>
      <c r="BB120" s="114"/>
      <c r="BC120" s="114"/>
      <c r="BD120" s="114"/>
      <c r="BE120" s="114"/>
      <c r="BF120" s="121"/>
      <c r="BG120" s="114"/>
      <c r="BH120" s="114"/>
      <c r="BI120" s="114"/>
      <c r="BJ120" s="114"/>
      <c r="BK120" s="114"/>
      <c r="BL120" s="114"/>
      <c r="BM120" s="114"/>
      <c r="BN120" s="123">
        <f t="shared" si="1"/>
        <v>150000</v>
      </c>
      <c r="BO120" s="117">
        <v>0.0</v>
      </c>
      <c r="BP120" s="117">
        <v>0.0</v>
      </c>
      <c r="BQ120" s="118">
        <v>0.0</v>
      </c>
      <c r="BR120" s="119">
        <f t="shared" si="3"/>
        <v>150000</v>
      </c>
    </row>
    <row r="121" ht="27.0" customHeight="1">
      <c r="A121" s="12">
        <f t="shared" si="4"/>
        <v>119</v>
      </c>
      <c r="B121" s="71" t="s">
        <v>163</v>
      </c>
      <c r="C121" s="12" t="s">
        <v>128</v>
      </c>
      <c r="D121" s="30" t="s">
        <v>194</v>
      </c>
      <c r="E121" s="157" t="s">
        <v>195</v>
      </c>
      <c r="F121" s="122" t="s">
        <v>704</v>
      </c>
      <c r="G121" s="173" t="s">
        <v>705</v>
      </c>
      <c r="H121" s="40" t="s">
        <v>706</v>
      </c>
      <c r="I121" s="40"/>
      <c r="J121" s="15" t="s">
        <v>420</v>
      </c>
      <c r="K121" s="161" t="s">
        <v>421</v>
      </c>
      <c r="L121" s="21" t="s">
        <v>33</v>
      </c>
      <c r="M121" s="21"/>
      <c r="N121" s="109">
        <v>45650.0</v>
      </c>
      <c r="O121" s="109">
        <v>45653.0</v>
      </c>
      <c r="P121" s="110" t="s">
        <v>422</v>
      </c>
      <c r="Q121" s="111"/>
      <c r="R121" s="112"/>
      <c r="S121" s="21" t="s">
        <v>433</v>
      </c>
      <c r="T121" s="21" t="s">
        <v>434</v>
      </c>
      <c r="U121" s="113"/>
      <c r="V121" s="113"/>
      <c r="W121" s="113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13"/>
      <c r="AN121" s="113"/>
      <c r="AO121" s="113"/>
      <c r="AP121" s="113"/>
      <c r="AQ121" s="113"/>
      <c r="AR121" s="113"/>
      <c r="AS121" s="113"/>
      <c r="AT121" s="115">
        <v>150000.0</v>
      </c>
      <c r="AU121" s="114" t="s">
        <v>424</v>
      </c>
      <c r="AV121" s="114"/>
      <c r="AW121" s="114"/>
      <c r="AX121" s="114"/>
      <c r="AY121" s="114"/>
      <c r="AZ121" s="114"/>
      <c r="BA121" s="114"/>
      <c r="BB121" s="114"/>
      <c r="BC121" s="114"/>
      <c r="BD121" s="114"/>
      <c r="BE121" s="114"/>
      <c r="BF121" s="121"/>
      <c r="BG121" s="114"/>
      <c r="BH121" s="114"/>
      <c r="BI121" s="114"/>
      <c r="BJ121" s="114"/>
      <c r="BK121" s="114"/>
      <c r="BL121" s="114"/>
      <c r="BM121" s="114"/>
      <c r="BN121" s="123">
        <f t="shared" si="1"/>
        <v>150000</v>
      </c>
      <c r="BO121" s="117">
        <v>0.0</v>
      </c>
      <c r="BP121" s="117">
        <v>0.0</v>
      </c>
      <c r="BQ121" s="118">
        <v>0.0</v>
      </c>
      <c r="BR121" s="119">
        <f t="shared" si="3"/>
        <v>150000</v>
      </c>
    </row>
    <row r="122" ht="27.0" customHeight="1">
      <c r="A122" s="12">
        <f t="shared" si="4"/>
        <v>120</v>
      </c>
      <c r="B122" s="71" t="s">
        <v>163</v>
      </c>
      <c r="C122" s="12" t="s">
        <v>128</v>
      </c>
      <c r="D122" s="30" t="s">
        <v>194</v>
      </c>
      <c r="E122" s="157" t="s">
        <v>195</v>
      </c>
      <c r="F122" s="122">
        <v>14115.0</v>
      </c>
      <c r="G122" s="173" t="s">
        <v>707</v>
      </c>
      <c r="H122" s="69" t="s">
        <v>708</v>
      </c>
      <c r="I122" s="69"/>
      <c r="J122" s="15" t="s">
        <v>420</v>
      </c>
      <c r="K122" s="161" t="s">
        <v>439</v>
      </c>
      <c r="L122" s="21" t="s">
        <v>33</v>
      </c>
      <c r="M122" s="21"/>
      <c r="N122" s="109">
        <v>45654.0</v>
      </c>
      <c r="O122" s="109">
        <v>45654.0</v>
      </c>
      <c r="P122" s="110" t="s">
        <v>422</v>
      </c>
      <c r="Q122" s="111"/>
      <c r="R122" s="112"/>
      <c r="S122" s="21" t="s">
        <v>433</v>
      </c>
      <c r="T122" s="21" t="s">
        <v>434</v>
      </c>
      <c r="U122" s="113"/>
      <c r="V122" s="113"/>
      <c r="W122" s="113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38"/>
      <c r="AK122" s="138"/>
      <c r="AL122" s="138"/>
      <c r="AM122" s="113"/>
      <c r="AN122" s="113"/>
      <c r="AO122" s="113"/>
      <c r="AP122" s="113"/>
      <c r="AQ122" s="113"/>
      <c r="AR122" s="113"/>
      <c r="AS122" s="113"/>
      <c r="AT122" s="115">
        <f>12500*6</f>
        <v>75000</v>
      </c>
      <c r="AU122" s="113" t="s">
        <v>128</v>
      </c>
      <c r="AV122" s="113" t="s">
        <v>128</v>
      </c>
      <c r="AW122" s="113" t="s">
        <v>128</v>
      </c>
      <c r="AX122" s="113" t="s">
        <v>128</v>
      </c>
      <c r="AY122" s="113" t="s">
        <v>128</v>
      </c>
      <c r="AZ122" s="113">
        <f>12500*6</f>
        <v>75000</v>
      </c>
      <c r="BA122" s="114" t="s">
        <v>424</v>
      </c>
      <c r="BB122" s="113"/>
      <c r="BC122" s="113"/>
      <c r="BD122" s="113"/>
      <c r="BE122" s="113"/>
      <c r="BF122" s="115"/>
      <c r="BG122" s="113"/>
      <c r="BH122" s="113"/>
      <c r="BI122" s="113"/>
      <c r="BJ122" s="113"/>
      <c r="BK122" s="113"/>
      <c r="BL122" s="113"/>
      <c r="BM122" s="113"/>
      <c r="BN122" s="123">
        <f t="shared" si="1"/>
        <v>150000</v>
      </c>
      <c r="BO122" s="117">
        <v>0.0</v>
      </c>
      <c r="BP122" s="117">
        <v>0.0</v>
      </c>
      <c r="BQ122" s="118">
        <v>0.0</v>
      </c>
      <c r="BR122" s="119">
        <f t="shared" si="3"/>
        <v>150000</v>
      </c>
    </row>
    <row r="123" ht="27.0" customHeight="1">
      <c r="A123" s="12">
        <f t="shared" si="4"/>
        <v>121</v>
      </c>
      <c r="B123" s="71" t="s">
        <v>163</v>
      </c>
      <c r="C123" s="12" t="s">
        <v>128</v>
      </c>
      <c r="D123" s="30" t="s">
        <v>194</v>
      </c>
      <c r="E123" s="157" t="s">
        <v>195</v>
      </c>
      <c r="F123" s="122">
        <v>14142.0</v>
      </c>
      <c r="G123" s="173" t="s">
        <v>709</v>
      </c>
      <c r="H123" s="69" t="s">
        <v>710</v>
      </c>
      <c r="I123" s="69"/>
      <c r="J123" s="15" t="s">
        <v>420</v>
      </c>
      <c r="K123" s="161" t="s">
        <v>439</v>
      </c>
      <c r="L123" s="21" t="s">
        <v>33</v>
      </c>
      <c r="M123" s="21"/>
      <c r="N123" s="109">
        <v>45660.0</v>
      </c>
      <c r="O123" s="109">
        <v>45660.0</v>
      </c>
      <c r="P123" s="110" t="s">
        <v>449</v>
      </c>
      <c r="Q123" s="111">
        <v>46206.0</v>
      </c>
      <c r="R123" s="112"/>
      <c r="S123" s="21" t="s">
        <v>423</v>
      </c>
      <c r="T123" s="21" t="s">
        <v>434</v>
      </c>
      <c r="U123" s="113"/>
      <c r="V123" s="113"/>
      <c r="W123" s="113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  <c r="AM123" s="113"/>
      <c r="AN123" s="113"/>
      <c r="AO123" s="113"/>
      <c r="AP123" s="113"/>
      <c r="AQ123" s="113"/>
      <c r="AR123" s="113"/>
      <c r="AS123" s="113"/>
      <c r="AT123" s="121"/>
      <c r="AU123" s="114">
        <f>12500*6</f>
        <v>75000</v>
      </c>
      <c r="AV123" s="114" t="s">
        <v>128</v>
      </c>
      <c r="AW123" s="114" t="s">
        <v>128</v>
      </c>
      <c r="AX123" s="114" t="s">
        <v>128</v>
      </c>
      <c r="AY123" s="114" t="s">
        <v>128</v>
      </c>
      <c r="AZ123" s="114" t="s">
        <v>128</v>
      </c>
      <c r="BA123" s="114">
        <f>12500*6</f>
        <v>75000</v>
      </c>
      <c r="BB123" s="114" t="s">
        <v>424</v>
      </c>
      <c r="BC123" s="114"/>
      <c r="BD123" s="114"/>
      <c r="BE123" s="114"/>
      <c r="BF123" s="121"/>
      <c r="BG123" s="114"/>
      <c r="BH123" s="114"/>
      <c r="BI123" s="114"/>
      <c r="BJ123" s="113"/>
      <c r="BK123" s="113"/>
      <c r="BL123" s="113"/>
      <c r="BM123" s="113"/>
      <c r="BN123" s="123">
        <f t="shared" si="1"/>
        <v>0</v>
      </c>
      <c r="BO123" s="176">
        <f t="shared" ref="BO123:BO128" si="26">SUM(U123:BM123)</f>
        <v>150000</v>
      </c>
      <c r="BP123" s="117">
        <v>0.0</v>
      </c>
      <c r="BQ123" s="118">
        <f t="shared" ref="BQ123:BQ138" si="27">BO123</f>
        <v>150000</v>
      </c>
      <c r="BR123" s="119">
        <f t="shared" si="3"/>
        <v>150000</v>
      </c>
    </row>
    <row r="124" ht="27.0" customHeight="1">
      <c r="A124" s="12">
        <f t="shared" si="4"/>
        <v>122</v>
      </c>
      <c r="B124" s="71" t="s">
        <v>163</v>
      </c>
      <c r="C124" s="12" t="s">
        <v>128</v>
      </c>
      <c r="D124" s="30" t="s">
        <v>194</v>
      </c>
      <c r="E124" s="157" t="s">
        <v>195</v>
      </c>
      <c r="F124" s="122">
        <v>14547.0</v>
      </c>
      <c r="G124" s="173" t="s">
        <v>711</v>
      </c>
      <c r="H124" s="174" t="s">
        <v>712</v>
      </c>
      <c r="I124" s="174"/>
      <c r="J124" s="15" t="s">
        <v>420</v>
      </c>
      <c r="K124" s="161" t="s">
        <v>511</v>
      </c>
      <c r="L124" s="21" t="s">
        <v>33</v>
      </c>
      <c r="M124" s="21"/>
      <c r="N124" s="109">
        <v>45688.0</v>
      </c>
      <c r="O124" s="109">
        <v>45688.0</v>
      </c>
      <c r="P124" s="110" t="s">
        <v>449</v>
      </c>
      <c r="Q124" s="111">
        <v>46206.0</v>
      </c>
      <c r="R124" s="112"/>
      <c r="S124" s="21" t="s">
        <v>423</v>
      </c>
      <c r="T124" s="21" t="s">
        <v>434</v>
      </c>
      <c r="U124" s="113"/>
      <c r="V124" s="113"/>
      <c r="W124" s="113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  <c r="AM124" s="113"/>
      <c r="AN124" s="113"/>
      <c r="AO124" s="113"/>
      <c r="AP124" s="113"/>
      <c r="AQ124" s="113"/>
      <c r="AR124" s="113"/>
      <c r="AS124" s="113"/>
      <c r="AT124" s="121"/>
      <c r="AU124" s="114">
        <f>8333*6</f>
        <v>49998</v>
      </c>
      <c r="AV124" s="114" t="s">
        <v>128</v>
      </c>
      <c r="AW124" s="114" t="s">
        <v>128</v>
      </c>
      <c r="AX124" s="114" t="s">
        <v>128</v>
      </c>
      <c r="AY124" s="114" t="s">
        <v>128</v>
      </c>
      <c r="AZ124" s="114" t="s">
        <v>128</v>
      </c>
      <c r="BA124" s="114">
        <v>8333.0</v>
      </c>
      <c r="BB124" s="114">
        <v>8333.0</v>
      </c>
      <c r="BC124" s="114">
        <v>8333.0</v>
      </c>
      <c r="BD124" s="114">
        <v>8333.0</v>
      </c>
      <c r="BE124" s="114">
        <v>8333.0</v>
      </c>
      <c r="BF124" s="114">
        <v>8333.0</v>
      </c>
      <c r="BG124" s="114" t="s">
        <v>424</v>
      </c>
      <c r="BH124" s="114"/>
      <c r="BI124" s="114"/>
      <c r="BJ124" s="113"/>
      <c r="BK124" s="113"/>
      <c r="BL124" s="113"/>
      <c r="BM124" s="113"/>
      <c r="BN124" s="123">
        <f t="shared" si="1"/>
        <v>0</v>
      </c>
      <c r="BO124" s="176">
        <f t="shared" si="26"/>
        <v>99996</v>
      </c>
      <c r="BP124" s="117">
        <v>0.0</v>
      </c>
      <c r="BQ124" s="118">
        <f t="shared" si="27"/>
        <v>99996</v>
      </c>
      <c r="BR124" s="119">
        <f t="shared" si="3"/>
        <v>99996</v>
      </c>
    </row>
    <row r="125" ht="27.0" customHeight="1">
      <c r="A125" s="12">
        <f t="shared" si="4"/>
        <v>123</v>
      </c>
      <c r="B125" s="71" t="s">
        <v>163</v>
      </c>
      <c r="C125" s="12" t="s">
        <v>128</v>
      </c>
      <c r="D125" s="30" t="s">
        <v>194</v>
      </c>
      <c r="E125" s="157" t="s">
        <v>195</v>
      </c>
      <c r="F125" s="122" t="s">
        <v>713</v>
      </c>
      <c r="G125" s="173" t="s">
        <v>714</v>
      </c>
      <c r="H125" s="30" t="s">
        <v>715</v>
      </c>
      <c r="I125" s="30"/>
      <c r="J125" s="15" t="s">
        <v>420</v>
      </c>
      <c r="K125" s="161" t="s">
        <v>421</v>
      </c>
      <c r="L125" s="21" t="s">
        <v>33</v>
      </c>
      <c r="M125" s="21"/>
      <c r="N125" s="109">
        <v>45689.0</v>
      </c>
      <c r="O125" s="109">
        <v>46061.0</v>
      </c>
      <c r="P125" s="110" t="s">
        <v>422</v>
      </c>
      <c r="Q125" s="111">
        <v>46206.0</v>
      </c>
      <c r="R125" s="112"/>
      <c r="S125" s="21" t="s">
        <v>423</v>
      </c>
      <c r="T125" s="21" t="s">
        <v>434</v>
      </c>
      <c r="U125" s="113"/>
      <c r="V125" s="113"/>
      <c r="W125" s="113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  <c r="AM125" s="113"/>
      <c r="AN125" s="113"/>
      <c r="AO125" s="113"/>
      <c r="AP125" s="113"/>
      <c r="AQ125" s="113"/>
      <c r="AR125" s="113"/>
      <c r="AS125" s="113"/>
      <c r="AT125" s="121"/>
      <c r="AU125" s="114"/>
      <c r="AV125" s="114">
        <v>150000.0</v>
      </c>
      <c r="AW125" s="114" t="s">
        <v>424</v>
      </c>
      <c r="AX125" s="114"/>
      <c r="AY125" s="114"/>
      <c r="AZ125" s="114"/>
      <c r="BA125" s="114"/>
      <c r="BB125" s="114"/>
      <c r="BC125" s="114"/>
      <c r="BD125" s="114"/>
      <c r="BE125" s="114"/>
      <c r="BF125" s="121"/>
      <c r="BG125" s="114"/>
      <c r="BH125" s="114"/>
      <c r="BI125" s="114"/>
      <c r="BJ125" s="113"/>
      <c r="BK125" s="113"/>
      <c r="BL125" s="113"/>
      <c r="BM125" s="113"/>
      <c r="BN125" s="123">
        <f t="shared" si="1"/>
        <v>0</v>
      </c>
      <c r="BO125" s="176">
        <f t="shared" si="26"/>
        <v>150000</v>
      </c>
      <c r="BP125" s="117">
        <v>0.0</v>
      </c>
      <c r="BQ125" s="118">
        <f t="shared" si="27"/>
        <v>150000</v>
      </c>
      <c r="BR125" s="119">
        <f t="shared" si="3"/>
        <v>150000</v>
      </c>
    </row>
    <row r="126" ht="27.0" customHeight="1">
      <c r="A126" s="12">
        <f t="shared" si="4"/>
        <v>124</v>
      </c>
      <c r="B126" s="71" t="s">
        <v>163</v>
      </c>
      <c r="C126" s="12" t="s">
        <v>128</v>
      </c>
      <c r="D126" s="30" t="s">
        <v>194</v>
      </c>
      <c r="E126" s="157" t="s">
        <v>195</v>
      </c>
      <c r="F126" s="122" t="s">
        <v>716</v>
      </c>
      <c r="G126" s="173" t="s">
        <v>717</v>
      </c>
      <c r="H126" s="30" t="s">
        <v>718</v>
      </c>
      <c r="I126" s="30"/>
      <c r="J126" s="15" t="s">
        <v>420</v>
      </c>
      <c r="K126" s="161" t="s">
        <v>439</v>
      </c>
      <c r="L126" s="21" t="s">
        <v>33</v>
      </c>
      <c r="M126" s="21"/>
      <c r="N126" s="109">
        <v>45693.0</v>
      </c>
      <c r="O126" s="109">
        <v>45886.0</v>
      </c>
      <c r="P126" s="110" t="s">
        <v>449</v>
      </c>
      <c r="Q126" s="111">
        <v>46206.0</v>
      </c>
      <c r="R126" s="112"/>
      <c r="S126" s="21" t="s">
        <v>423</v>
      </c>
      <c r="T126" s="21" t="s">
        <v>434</v>
      </c>
      <c r="U126" s="113"/>
      <c r="V126" s="113"/>
      <c r="W126" s="113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38"/>
      <c r="AL126" s="138"/>
      <c r="AM126" s="113"/>
      <c r="AN126" s="113"/>
      <c r="AO126" s="113"/>
      <c r="AP126" s="113"/>
      <c r="AQ126" s="113"/>
      <c r="AR126" s="113"/>
      <c r="AS126" s="113"/>
      <c r="AT126" s="121"/>
      <c r="AU126" s="114"/>
      <c r="AV126" s="114">
        <f>12500*6</f>
        <v>75000</v>
      </c>
      <c r="AW126" s="114" t="s">
        <v>128</v>
      </c>
      <c r="AX126" s="114" t="s">
        <v>128</v>
      </c>
      <c r="AY126" s="114" t="s">
        <v>128</v>
      </c>
      <c r="AZ126" s="114" t="s">
        <v>128</v>
      </c>
      <c r="BA126" s="114" t="s">
        <v>128</v>
      </c>
      <c r="BB126" s="114" t="s">
        <v>128</v>
      </c>
      <c r="BC126" s="114">
        <f>12500*6</f>
        <v>75000</v>
      </c>
      <c r="BD126" s="114" t="s">
        <v>424</v>
      </c>
      <c r="BE126" s="114"/>
      <c r="BF126" s="121"/>
      <c r="BG126" s="114"/>
      <c r="BH126" s="114"/>
      <c r="BI126" s="114"/>
      <c r="BJ126" s="113"/>
      <c r="BK126" s="113"/>
      <c r="BL126" s="113"/>
      <c r="BM126" s="113"/>
      <c r="BN126" s="123">
        <f t="shared" si="1"/>
        <v>0</v>
      </c>
      <c r="BO126" s="176">
        <f t="shared" si="26"/>
        <v>150000</v>
      </c>
      <c r="BP126" s="117">
        <v>0.0</v>
      </c>
      <c r="BQ126" s="118">
        <f t="shared" si="27"/>
        <v>150000</v>
      </c>
      <c r="BR126" s="119">
        <f t="shared" si="3"/>
        <v>150000</v>
      </c>
    </row>
    <row r="127" ht="27.0" customHeight="1">
      <c r="A127" s="12">
        <f t="shared" si="4"/>
        <v>125</v>
      </c>
      <c r="B127" s="71" t="s">
        <v>163</v>
      </c>
      <c r="C127" s="12" t="s">
        <v>128</v>
      </c>
      <c r="D127" s="30" t="s">
        <v>194</v>
      </c>
      <c r="E127" s="157" t="s">
        <v>195</v>
      </c>
      <c r="F127" s="122" t="s">
        <v>719</v>
      </c>
      <c r="G127" s="173" t="s">
        <v>720</v>
      </c>
      <c r="H127" s="30" t="s">
        <v>721</v>
      </c>
      <c r="I127" s="30"/>
      <c r="J127" s="15" t="s">
        <v>420</v>
      </c>
      <c r="K127" s="161" t="s">
        <v>511</v>
      </c>
      <c r="L127" s="21" t="s">
        <v>33</v>
      </c>
      <c r="M127" s="21"/>
      <c r="N127" s="109">
        <v>45849.0</v>
      </c>
      <c r="O127" s="109">
        <v>45879.0</v>
      </c>
      <c r="P127" s="110" t="s">
        <v>449</v>
      </c>
      <c r="Q127" s="111">
        <v>46206.0</v>
      </c>
      <c r="R127" s="112"/>
      <c r="S127" s="21" t="s">
        <v>423</v>
      </c>
      <c r="T127" s="21" t="s">
        <v>434</v>
      </c>
      <c r="U127" s="113"/>
      <c r="V127" s="113"/>
      <c r="W127" s="113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  <c r="AM127" s="113"/>
      <c r="AN127" s="113"/>
      <c r="AO127" s="113"/>
      <c r="AP127" s="113"/>
      <c r="AQ127" s="113"/>
      <c r="AR127" s="113"/>
      <c r="AS127" s="113"/>
      <c r="AT127" s="121"/>
      <c r="AU127" s="114"/>
      <c r="AV127" s="114">
        <f>8333*6</f>
        <v>49998</v>
      </c>
      <c r="AW127" s="114" t="s">
        <v>128</v>
      </c>
      <c r="AX127" s="114" t="s">
        <v>128</v>
      </c>
      <c r="AY127" s="114" t="s">
        <v>128</v>
      </c>
      <c r="AZ127" s="114" t="s">
        <v>128</v>
      </c>
      <c r="BA127" s="114" t="s">
        <v>128</v>
      </c>
      <c r="BB127" s="114">
        <f>8333*6</f>
        <v>49998</v>
      </c>
      <c r="BC127" s="114" t="s">
        <v>424</v>
      </c>
      <c r="BD127" s="114"/>
      <c r="BE127" s="114"/>
      <c r="BF127" s="121"/>
      <c r="BG127" s="114"/>
      <c r="BH127" s="114"/>
      <c r="BI127" s="114"/>
      <c r="BJ127" s="114"/>
      <c r="BK127" s="114"/>
      <c r="BL127" s="114"/>
      <c r="BM127" s="114"/>
      <c r="BN127" s="123">
        <f t="shared" si="1"/>
        <v>0</v>
      </c>
      <c r="BO127" s="176">
        <f t="shared" si="26"/>
        <v>99996</v>
      </c>
      <c r="BP127" s="117">
        <v>0.0</v>
      </c>
      <c r="BQ127" s="118">
        <f t="shared" si="27"/>
        <v>99996</v>
      </c>
      <c r="BR127" s="119">
        <f t="shared" si="3"/>
        <v>99996</v>
      </c>
    </row>
    <row r="128" ht="27.0" customHeight="1">
      <c r="A128" s="12">
        <f t="shared" si="4"/>
        <v>126</v>
      </c>
      <c r="B128" s="71" t="s">
        <v>163</v>
      </c>
      <c r="C128" s="12" t="s">
        <v>128</v>
      </c>
      <c r="D128" s="30" t="s">
        <v>194</v>
      </c>
      <c r="E128" s="157" t="s">
        <v>195</v>
      </c>
      <c r="F128" s="122" t="s">
        <v>722</v>
      </c>
      <c r="G128" s="173" t="s">
        <v>723</v>
      </c>
      <c r="H128" s="30" t="s">
        <v>724</v>
      </c>
      <c r="I128" s="30"/>
      <c r="J128" s="15" t="s">
        <v>420</v>
      </c>
      <c r="K128" s="161" t="s">
        <v>697</v>
      </c>
      <c r="L128" s="21" t="s">
        <v>33</v>
      </c>
      <c r="M128" s="21"/>
      <c r="N128" s="109">
        <v>45720.0</v>
      </c>
      <c r="O128" s="109">
        <v>45810.0</v>
      </c>
      <c r="P128" s="110" t="s">
        <v>512</v>
      </c>
      <c r="Q128" s="111">
        <v>46206.0</v>
      </c>
      <c r="R128" s="112"/>
      <c r="S128" s="21" t="s">
        <v>423</v>
      </c>
      <c r="T128" s="21" t="s">
        <v>434</v>
      </c>
      <c r="U128" s="113"/>
      <c r="V128" s="113"/>
      <c r="W128" s="113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  <c r="AM128" s="113"/>
      <c r="AN128" s="113"/>
      <c r="AO128" s="113"/>
      <c r="AP128" s="113"/>
      <c r="AQ128" s="113"/>
      <c r="AR128" s="113"/>
      <c r="AS128" s="113"/>
      <c r="AT128" s="121"/>
      <c r="AU128" s="114"/>
      <c r="AV128" s="177"/>
      <c r="AW128" s="114">
        <v>25000.0</v>
      </c>
      <c r="AX128" s="114" t="s">
        <v>128</v>
      </c>
      <c r="AY128" s="114" t="s">
        <v>128</v>
      </c>
      <c r="AZ128" s="114" t="s">
        <v>440</v>
      </c>
      <c r="BA128" s="114" t="s">
        <v>440</v>
      </c>
      <c r="BB128" s="114" t="s">
        <v>440</v>
      </c>
      <c r="BC128" s="114" t="s">
        <v>440</v>
      </c>
      <c r="BD128" s="114" t="s">
        <v>440</v>
      </c>
      <c r="BE128" s="114" t="s">
        <v>440</v>
      </c>
      <c r="BF128" s="121" t="s">
        <v>440</v>
      </c>
      <c r="BG128" s="114" t="s">
        <v>440</v>
      </c>
      <c r="BH128" s="114" t="s">
        <v>440</v>
      </c>
      <c r="BI128" s="114" t="s">
        <v>440</v>
      </c>
      <c r="BJ128" s="114" t="s">
        <v>424</v>
      </c>
      <c r="BK128" s="114"/>
      <c r="BL128" s="114"/>
      <c r="BM128" s="114"/>
      <c r="BN128" s="123">
        <f t="shared" si="1"/>
        <v>0</v>
      </c>
      <c r="BO128" s="176">
        <f t="shared" si="26"/>
        <v>25000</v>
      </c>
      <c r="BP128" s="117">
        <v>0.0</v>
      </c>
      <c r="BQ128" s="118">
        <f t="shared" si="27"/>
        <v>25000</v>
      </c>
      <c r="BR128" s="119">
        <f t="shared" si="3"/>
        <v>25000</v>
      </c>
    </row>
    <row r="129" ht="27.0" customHeight="1">
      <c r="A129" s="12">
        <f t="shared" si="4"/>
        <v>127</v>
      </c>
      <c r="B129" s="71" t="s">
        <v>163</v>
      </c>
      <c r="C129" s="12" t="s">
        <v>128</v>
      </c>
      <c r="D129" s="30" t="s">
        <v>194</v>
      </c>
      <c r="E129" s="157" t="s">
        <v>195</v>
      </c>
      <c r="F129" s="122" t="s">
        <v>725</v>
      </c>
      <c r="G129" s="69" t="s">
        <v>726</v>
      </c>
      <c r="H129" s="30" t="s">
        <v>727</v>
      </c>
      <c r="I129" s="30"/>
      <c r="J129" s="15" t="s">
        <v>420</v>
      </c>
      <c r="K129" s="161" t="s">
        <v>421</v>
      </c>
      <c r="L129" s="21" t="s">
        <v>33</v>
      </c>
      <c r="M129" s="21"/>
      <c r="N129" s="109">
        <v>45769.0</v>
      </c>
      <c r="O129" s="109">
        <v>45782.0</v>
      </c>
      <c r="P129" s="110" t="s">
        <v>422</v>
      </c>
      <c r="Q129" s="111">
        <v>46093.0</v>
      </c>
      <c r="R129" s="112"/>
      <c r="S129" s="21" t="s">
        <v>423</v>
      </c>
      <c r="T129" s="21" t="s">
        <v>434</v>
      </c>
      <c r="U129" s="113"/>
      <c r="V129" s="113"/>
      <c r="W129" s="113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  <c r="AM129" s="113"/>
      <c r="AN129" s="113"/>
      <c r="AO129" s="113"/>
      <c r="AP129" s="113"/>
      <c r="AQ129" s="113"/>
      <c r="AR129" s="113"/>
      <c r="AS129" s="113"/>
      <c r="AT129" s="115"/>
      <c r="AU129" s="113"/>
      <c r="AW129" s="113"/>
      <c r="AX129" s="113"/>
      <c r="AY129" s="114">
        <v>150000.0</v>
      </c>
      <c r="AZ129" s="114" t="s">
        <v>424</v>
      </c>
      <c r="BA129" s="113"/>
      <c r="BB129" s="113"/>
      <c r="BC129" s="113"/>
      <c r="BD129" s="113"/>
      <c r="BE129" s="113"/>
      <c r="BF129" s="115"/>
      <c r="BG129" s="113"/>
      <c r="BH129" s="113"/>
      <c r="BI129" s="113"/>
      <c r="BJ129" s="113"/>
      <c r="BK129" s="113"/>
      <c r="BL129" s="113"/>
      <c r="BM129" s="113"/>
      <c r="BN129" s="123">
        <f t="shared" si="1"/>
        <v>0</v>
      </c>
      <c r="BO129" s="178">
        <v>150000.0</v>
      </c>
      <c r="BP129" s="117">
        <v>0.0</v>
      </c>
      <c r="BQ129" s="118">
        <f t="shared" si="27"/>
        <v>150000</v>
      </c>
      <c r="BR129" s="119">
        <f t="shared" si="3"/>
        <v>150000</v>
      </c>
    </row>
    <row r="130" ht="27.0" customHeight="1">
      <c r="A130" s="12">
        <f t="shared" si="4"/>
        <v>128</v>
      </c>
      <c r="B130" s="71" t="s">
        <v>163</v>
      </c>
      <c r="C130" s="12" t="s">
        <v>128</v>
      </c>
      <c r="D130" s="30" t="s">
        <v>194</v>
      </c>
      <c r="E130" s="157" t="s">
        <v>195</v>
      </c>
      <c r="F130" s="122" t="s">
        <v>728</v>
      </c>
      <c r="G130" s="69" t="s">
        <v>729</v>
      </c>
      <c r="H130" s="30" t="s">
        <v>730</v>
      </c>
      <c r="I130" s="30"/>
      <c r="J130" s="15" t="s">
        <v>420</v>
      </c>
      <c r="K130" s="161" t="s">
        <v>421</v>
      </c>
      <c r="L130" s="21" t="s">
        <v>33</v>
      </c>
      <c r="M130" s="21"/>
      <c r="N130" s="109">
        <v>45791.0</v>
      </c>
      <c r="O130" s="109">
        <v>45793.0</v>
      </c>
      <c r="P130" s="110" t="s">
        <v>422</v>
      </c>
      <c r="Q130" s="111">
        <v>46093.0</v>
      </c>
      <c r="R130" s="112"/>
      <c r="S130" s="21" t="s">
        <v>423</v>
      </c>
      <c r="T130" s="21" t="s">
        <v>434</v>
      </c>
      <c r="U130" s="113"/>
      <c r="V130" s="113"/>
      <c r="W130" s="113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13"/>
      <c r="AN130" s="113"/>
      <c r="AO130" s="113"/>
      <c r="AP130" s="113"/>
      <c r="AQ130" s="113"/>
      <c r="AR130" s="113"/>
      <c r="AS130" s="113"/>
      <c r="AT130" s="115"/>
      <c r="AU130" s="113"/>
      <c r="AW130" s="113"/>
      <c r="AX130" s="113"/>
      <c r="AY130" s="114">
        <v>150000.0</v>
      </c>
      <c r="AZ130" s="114" t="s">
        <v>424</v>
      </c>
      <c r="BA130" s="113"/>
      <c r="BB130" s="113"/>
      <c r="BC130" s="113"/>
      <c r="BD130" s="113"/>
      <c r="BE130" s="113"/>
      <c r="BF130" s="115"/>
      <c r="BG130" s="113"/>
      <c r="BH130" s="113"/>
      <c r="BI130" s="113"/>
      <c r="BJ130" s="113"/>
      <c r="BK130" s="113"/>
      <c r="BL130" s="113"/>
      <c r="BM130" s="113"/>
      <c r="BN130" s="123">
        <f t="shared" si="1"/>
        <v>0</v>
      </c>
      <c r="BO130" s="178">
        <v>150000.0</v>
      </c>
      <c r="BP130" s="117">
        <v>0.0</v>
      </c>
      <c r="BQ130" s="118">
        <f t="shared" si="27"/>
        <v>150000</v>
      </c>
      <c r="BR130" s="119">
        <f t="shared" si="3"/>
        <v>150000</v>
      </c>
    </row>
    <row r="131" ht="27.0" customHeight="1">
      <c r="A131" s="12">
        <f t="shared" si="4"/>
        <v>129</v>
      </c>
      <c r="B131" s="71" t="s">
        <v>163</v>
      </c>
      <c r="C131" s="12" t="s">
        <v>128</v>
      </c>
      <c r="D131" s="30" t="s">
        <v>194</v>
      </c>
      <c r="E131" s="157" t="s">
        <v>195</v>
      </c>
      <c r="F131" s="122" t="s">
        <v>731</v>
      </c>
      <c r="G131" s="69" t="s">
        <v>732</v>
      </c>
      <c r="H131" s="30" t="s">
        <v>732</v>
      </c>
      <c r="I131" s="30"/>
      <c r="J131" s="15" t="s">
        <v>420</v>
      </c>
      <c r="K131" s="161" t="s">
        <v>421</v>
      </c>
      <c r="L131" s="21" t="s">
        <v>33</v>
      </c>
      <c r="M131" s="21"/>
      <c r="N131" s="109">
        <v>45796.0</v>
      </c>
      <c r="O131" s="109">
        <v>45808.0</v>
      </c>
      <c r="P131" s="110" t="s">
        <v>422</v>
      </c>
      <c r="Q131" s="111">
        <v>46093.0</v>
      </c>
      <c r="R131" s="112"/>
      <c r="S131" s="21" t="s">
        <v>423</v>
      </c>
      <c r="T131" s="21" t="s">
        <v>434</v>
      </c>
      <c r="U131" s="113"/>
      <c r="V131" s="113"/>
      <c r="W131" s="113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  <c r="AM131" s="113"/>
      <c r="AN131" s="113"/>
      <c r="AO131" s="113"/>
      <c r="AP131" s="113"/>
      <c r="AQ131" s="113"/>
      <c r="AR131" s="113"/>
      <c r="AS131" s="113"/>
      <c r="AT131" s="115"/>
      <c r="AU131" s="113"/>
      <c r="AW131" s="113"/>
      <c r="AX131" s="113"/>
      <c r="AY131" s="114">
        <v>150000.0</v>
      </c>
      <c r="AZ131" s="114" t="s">
        <v>424</v>
      </c>
      <c r="BA131" s="113"/>
      <c r="BB131" s="113"/>
      <c r="BC131" s="113"/>
      <c r="BD131" s="113"/>
      <c r="BE131" s="113"/>
      <c r="BF131" s="115"/>
      <c r="BG131" s="113"/>
      <c r="BH131" s="113"/>
      <c r="BI131" s="113"/>
      <c r="BJ131" s="113"/>
      <c r="BK131" s="113"/>
      <c r="BL131" s="113"/>
      <c r="BM131" s="113"/>
      <c r="BN131" s="123">
        <f t="shared" si="1"/>
        <v>0</v>
      </c>
      <c r="BO131" s="178">
        <v>150000.0</v>
      </c>
      <c r="BP131" s="117">
        <v>0.0</v>
      </c>
      <c r="BQ131" s="118">
        <f t="shared" si="27"/>
        <v>150000</v>
      </c>
      <c r="BR131" s="119">
        <f t="shared" si="3"/>
        <v>150000</v>
      </c>
    </row>
    <row r="132" ht="27.0" customHeight="1">
      <c r="A132" s="12">
        <f t="shared" si="4"/>
        <v>130</v>
      </c>
      <c r="B132" s="71" t="s">
        <v>163</v>
      </c>
      <c r="C132" s="12" t="s">
        <v>128</v>
      </c>
      <c r="D132" s="30" t="s">
        <v>194</v>
      </c>
      <c r="E132" s="157" t="s">
        <v>195</v>
      </c>
      <c r="F132" s="179">
        <v>15510.0</v>
      </c>
      <c r="G132" s="69" t="s">
        <v>733</v>
      </c>
      <c r="H132" s="30" t="s">
        <v>734</v>
      </c>
      <c r="I132" s="30"/>
      <c r="J132" s="15" t="s">
        <v>420</v>
      </c>
      <c r="K132" s="161" t="s">
        <v>439</v>
      </c>
      <c r="L132" s="21" t="s">
        <v>33</v>
      </c>
      <c r="M132" s="21"/>
      <c r="N132" s="109">
        <v>45797.0</v>
      </c>
      <c r="O132" s="109">
        <v>45809.0</v>
      </c>
      <c r="P132" s="110" t="s">
        <v>449</v>
      </c>
      <c r="Q132" s="111">
        <v>46093.0</v>
      </c>
      <c r="R132" s="112"/>
      <c r="S132" s="21" t="s">
        <v>423</v>
      </c>
      <c r="T132" s="21" t="s">
        <v>434</v>
      </c>
      <c r="U132" s="113"/>
      <c r="V132" s="113"/>
      <c r="W132" s="113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  <c r="AM132" s="113"/>
      <c r="AN132" s="113"/>
      <c r="AO132" s="113"/>
      <c r="AP132" s="113"/>
      <c r="AQ132" s="113"/>
      <c r="AR132" s="113"/>
      <c r="AS132" s="113"/>
      <c r="AT132" s="115"/>
      <c r="AU132" s="113"/>
      <c r="AW132" s="113"/>
      <c r="AX132" s="113"/>
      <c r="AY132" s="113"/>
      <c r="AZ132" s="114">
        <f>12500*6</f>
        <v>75000</v>
      </c>
      <c r="BA132" s="113" t="s">
        <v>128</v>
      </c>
      <c r="BB132" s="113" t="s">
        <v>128</v>
      </c>
      <c r="BC132" s="113" t="s">
        <v>128</v>
      </c>
      <c r="BD132" s="113" t="s">
        <v>128</v>
      </c>
      <c r="BE132" s="114">
        <f>12500*6</f>
        <v>75000</v>
      </c>
      <c r="BF132" s="121" t="s">
        <v>424</v>
      </c>
      <c r="BG132" s="113"/>
      <c r="BH132" s="137"/>
      <c r="BI132" s="137"/>
      <c r="BJ132" s="137"/>
      <c r="BK132" s="137"/>
      <c r="BL132" s="137"/>
      <c r="BM132" s="137"/>
      <c r="BN132" s="123">
        <f t="shared" si="1"/>
        <v>0</v>
      </c>
      <c r="BO132" s="178">
        <v>150000.0</v>
      </c>
      <c r="BP132" s="117">
        <v>0.0</v>
      </c>
      <c r="BQ132" s="118">
        <f t="shared" si="27"/>
        <v>150000</v>
      </c>
      <c r="BR132" s="119">
        <f t="shared" si="3"/>
        <v>150000</v>
      </c>
    </row>
    <row r="133" ht="27.0" customHeight="1">
      <c r="A133" s="12">
        <f t="shared" si="4"/>
        <v>131</v>
      </c>
      <c r="B133" s="71" t="s">
        <v>163</v>
      </c>
      <c r="C133" s="12" t="s">
        <v>128</v>
      </c>
      <c r="D133" s="30" t="s">
        <v>194</v>
      </c>
      <c r="E133" s="157" t="s">
        <v>195</v>
      </c>
      <c r="F133" s="25" t="s">
        <v>735</v>
      </c>
      <c r="G133" s="69" t="s">
        <v>736</v>
      </c>
      <c r="H133" s="30" t="s">
        <v>559</v>
      </c>
      <c r="I133" s="30"/>
      <c r="J133" s="15" t="s">
        <v>420</v>
      </c>
      <c r="K133" s="161" t="s">
        <v>446</v>
      </c>
      <c r="L133" s="21" t="s">
        <v>33</v>
      </c>
      <c r="M133" s="21"/>
      <c r="N133" s="109">
        <v>45792.0</v>
      </c>
      <c r="O133" s="109">
        <v>45794.0</v>
      </c>
      <c r="P133" s="110" t="s">
        <v>422</v>
      </c>
      <c r="Q133" s="111">
        <v>46093.0</v>
      </c>
      <c r="R133" s="112"/>
      <c r="S133" s="21" t="s">
        <v>423</v>
      </c>
      <c r="T133" s="21" t="s">
        <v>434</v>
      </c>
      <c r="U133" s="113"/>
      <c r="V133" s="113"/>
      <c r="W133" s="113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  <c r="AM133" s="113"/>
      <c r="AN133" s="113"/>
      <c r="AO133" s="113"/>
      <c r="AP133" s="113"/>
      <c r="AQ133" s="113"/>
      <c r="AR133" s="113"/>
      <c r="AS133" s="113"/>
      <c r="AT133" s="115"/>
      <c r="AU133" s="113"/>
      <c r="AW133" s="113"/>
      <c r="AX133" s="115"/>
      <c r="AY133" s="114">
        <v>100000.0</v>
      </c>
      <c r="AZ133" s="114" t="s">
        <v>424</v>
      </c>
      <c r="BA133" s="113"/>
      <c r="BB133" s="113"/>
      <c r="BC133" s="113"/>
      <c r="BD133" s="113"/>
      <c r="BE133" s="113"/>
      <c r="BF133" s="115"/>
      <c r="BG133" s="113"/>
      <c r="BH133" s="113"/>
      <c r="BI133" s="113"/>
      <c r="BJ133" s="113"/>
      <c r="BK133" s="113"/>
      <c r="BL133" s="113"/>
      <c r="BM133" s="113"/>
      <c r="BN133" s="123">
        <f t="shared" si="1"/>
        <v>0</v>
      </c>
      <c r="BO133" s="178">
        <v>100000.0</v>
      </c>
      <c r="BP133" s="117">
        <v>0.0</v>
      </c>
      <c r="BQ133" s="118">
        <f t="shared" si="27"/>
        <v>100000</v>
      </c>
      <c r="BR133" s="119">
        <f t="shared" si="3"/>
        <v>100000</v>
      </c>
    </row>
    <row r="134" ht="27.0" customHeight="1">
      <c r="A134" s="12">
        <f t="shared" si="4"/>
        <v>132</v>
      </c>
      <c r="B134" s="71" t="s">
        <v>163</v>
      </c>
      <c r="C134" s="12" t="s">
        <v>128</v>
      </c>
      <c r="D134" s="30" t="s">
        <v>194</v>
      </c>
      <c r="E134" s="157" t="s">
        <v>195</v>
      </c>
      <c r="F134" s="25" t="s">
        <v>737</v>
      </c>
      <c r="G134" s="180" t="s">
        <v>738</v>
      </c>
      <c r="H134" s="181" t="s">
        <v>739</v>
      </c>
      <c r="I134" s="69"/>
      <c r="J134" s="15" t="s">
        <v>420</v>
      </c>
      <c r="K134" s="161" t="s">
        <v>537</v>
      </c>
      <c r="L134" s="21" t="s">
        <v>33</v>
      </c>
      <c r="M134" s="21"/>
      <c r="N134" s="109" t="s">
        <v>740</v>
      </c>
      <c r="O134" s="110" t="s">
        <v>544</v>
      </c>
      <c r="P134" s="110" t="s">
        <v>449</v>
      </c>
      <c r="Q134" s="111">
        <v>46093.0</v>
      </c>
      <c r="R134" s="112"/>
      <c r="S134" s="21" t="s">
        <v>423</v>
      </c>
      <c r="T134" s="21" t="s">
        <v>434</v>
      </c>
      <c r="U134" s="113"/>
      <c r="V134" s="113"/>
      <c r="W134" s="113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  <c r="AM134" s="113"/>
      <c r="AN134" s="113"/>
      <c r="AO134" s="113"/>
      <c r="AP134" s="113"/>
      <c r="AQ134" s="113"/>
      <c r="AR134" s="113"/>
      <c r="AS134" s="113"/>
      <c r="AT134" s="115"/>
      <c r="AU134" s="113"/>
      <c r="AW134" s="113"/>
      <c r="AX134" s="113"/>
      <c r="AY134" s="113"/>
      <c r="AZ134" s="114"/>
      <c r="BA134" s="113"/>
      <c r="BB134" s="113"/>
      <c r="BC134" s="113"/>
      <c r="BD134" s="113"/>
      <c r="BE134" s="113"/>
      <c r="BF134" s="115"/>
      <c r="BG134" s="113"/>
      <c r="BH134" s="114">
        <v>220000.0</v>
      </c>
      <c r="BI134" s="114" t="s">
        <v>424</v>
      </c>
      <c r="BJ134" s="114"/>
      <c r="BK134" s="113"/>
      <c r="BL134" s="113"/>
      <c r="BM134" s="113"/>
      <c r="BN134" s="123">
        <f t="shared" si="1"/>
        <v>0</v>
      </c>
      <c r="BO134" s="178">
        <v>220000.0</v>
      </c>
      <c r="BP134" s="117">
        <v>0.0</v>
      </c>
      <c r="BQ134" s="118">
        <f t="shared" si="27"/>
        <v>220000</v>
      </c>
      <c r="BR134" s="119">
        <f t="shared" si="3"/>
        <v>220000</v>
      </c>
    </row>
    <row r="135" ht="27.0" customHeight="1">
      <c r="A135" s="12">
        <f t="shared" si="4"/>
        <v>133</v>
      </c>
      <c r="B135" s="71" t="s">
        <v>163</v>
      </c>
      <c r="C135" s="12" t="s">
        <v>128</v>
      </c>
      <c r="D135" s="30" t="s">
        <v>194</v>
      </c>
      <c r="E135" s="157" t="s">
        <v>195</v>
      </c>
      <c r="F135" s="25" t="s">
        <v>741</v>
      </c>
      <c r="G135" s="69" t="s">
        <v>742</v>
      </c>
      <c r="H135" s="69" t="s">
        <v>743</v>
      </c>
      <c r="I135" s="69"/>
      <c r="J135" s="15" t="s">
        <v>420</v>
      </c>
      <c r="K135" s="161" t="s">
        <v>446</v>
      </c>
      <c r="L135" s="21" t="s">
        <v>33</v>
      </c>
      <c r="M135" s="21"/>
      <c r="N135" s="109" t="s">
        <v>744</v>
      </c>
      <c r="O135" s="110" t="s">
        <v>740</v>
      </c>
      <c r="P135" s="110" t="s">
        <v>449</v>
      </c>
      <c r="Q135" s="111">
        <v>46093.0</v>
      </c>
      <c r="R135" s="112"/>
      <c r="S135" s="21" t="s">
        <v>423</v>
      </c>
      <c r="T135" s="21" t="s">
        <v>434</v>
      </c>
      <c r="U135" s="113"/>
      <c r="V135" s="113"/>
      <c r="W135" s="113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8"/>
      <c r="AL135" s="138"/>
      <c r="AM135" s="113"/>
      <c r="AN135" s="113"/>
      <c r="AO135" s="113"/>
      <c r="AP135" s="113"/>
      <c r="AQ135" s="113"/>
      <c r="AR135" s="113"/>
      <c r="AS135" s="113"/>
      <c r="AT135" s="115"/>
      <c r="AU135" s="113"/>
      <c r="AW135" s="113"/>
      <c r="AX135" s="113"/>
      <c r="AY135" s="113"/>
      <c r="AZ135" s="114"/>
      <c r="BA135" s="113"/>
      <c r="BB135" s="113"/>
      <c r="BC135" s="113"/>
      <c r="BD135" s="113"/>
      <c r="BE135" s="113"/>
      <c r="BF135" s="115"/>
      <c r="BG135" s="113"/>
      <c r="BH135" s="114">
        <v>120000.0</v>
      </c>
      <c r="BI135" s="114" t="s">
        <v>424</v>
      </c>
      <c r="BJ135" s="114"/>
      <c r="BK135" s="113"/>
      <c r="BL135" s="113"/>
      <c r="BM135" s="113"/>
      <c r="BN135" s="123">
        <f t="shared" si="1"/>
        <v>0</v>
      </c>
      <c r="BO135" s="178">
        <v>120000.0</v>
      </c>
      <c r="BP135" s="117">
        <v>0.0</v>
      </c>
      <c r="BQ135" s="118">
        <f t="shared" si="27"/>
        <v>120000</v>
      </c>
      <c r="BR135" s="119">
        <f t="shared" si="3"/>
        <v>120000</v>
      </c>
    </row>
    <row r="136" ht="27.0" customHeight="1">
      <c r="A136" s="12">
        <f t="shared" si="4"/>
        <v>134</v>
      </c>
      <c r="B136" s="71" t="s">
        <v>163</v>
      </c>
      <c r="C136" s="12" t="s">
        <v>128</v>
      </c>
      <c r="D136" s="30" t="s">
        <v>194</v>
      </c>
      <c r="E136" s="157" t="s">
        <v>195</v>
      </c>
      <c r="F136" s="25" t="s">
        <v>745</v>
      </c>
      <c r="G136" s="180" t="s">
        <v>746</v>
      </c>
      <c r="H136" s="181" t="s">
        <v>747</v>
      </c>
      <c r="I136" s="69"/>
      <c r="J136" s="15" t="s">
        <v>420</v>
      </c>
      <c r="K136" s="161" t="s">
        <v>537</v>
      </c>
      <c r="L136" s="21" t="s">
        <v>33</v>
      </c>
      <c r="M136" s="21"/>
      <c r="N136" s="109" t="s">
        <v>740</v>
      </c>
      <c r="O136" s="110" t="s">
        <v>544</v>
      </c>
      <c r="P136" s="110" t="s">
        <v>449</v>
      </c>
      <c r="Q136" s="111">
        <v>46206.0</v>
      </c>
      <c r="R136" s="112"/>
      <c r="S136" s="21" t="s">
        <v>423</v>
      </c>
      <c r="T136" s="21" t="s">
        <v>434</v>
      </c>
      <c r="U136" s="113"/>
      <c r="V136" s="113"/>
      <c r="W136" s="113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  <c r="AI136" s="138"/>
      <c r="AJ136" s="138"/>
      <c r="AK136" s="138"/>
      <c r="AL136" s="138"/>
      <c r="AM136" s="113"/>
      <c r="AN136" s="113"/>
      <c r="AO136" s="113"/>
      <c r="AP136" s="113"/>
      <c r="AQ136" s="113"/>
      <c r="AR136" s="113"/>
      <c r="AS136" s="113"/>
      <c r="AT136" s="121"/>
      <c r="AU136" s="114"/>
      <c r="AV136" s="177"/>
      <c r="AW136" s="114"/>
      <c r="AX136" s="114"/>
      <c r="AY136" s="114"/>
      <c r="AZ136" s="114"/>
      <c r="BA136" s="114"/>
      <c r="BB136" s="114"/>
      <c r="BC136" s="114"/>
      <c r="BD136" s="114"/>
      <c r="BE136" s="114"/>
      <c r="BF136" s="121"/>
      <c r="BG136" s="114"/>
      <c r="BH136" s="114"/>
      <c r="BI136" s="114">
        <v>220000.0</v>
      </c>
      <c r="BJ136" s="114" t="s">
        <v>424</v>
      </c>
      <c r="BK136" s="113"/>
      <c r="BL136" s="113"/>
      <c r="BM136" s="113"/>
      <c r="BN136" s="123">
        <f t="shared" si="1"/>
        <v>0</v>
      </c>
      <c r="BO136" s="176">
        <f t="shared" ref="BO136:BO137" si="28">SUM(U136:BM136)</f>
        <v>220000</v>
      </c>
      <c r="BP136" s="117">
        <v>0.0</v>
      </c>
      <c r="BQ136" s="118">
        <f t="shared" si="27"/>
        <v>220000</v>
      </c>
      <c r="BR136" s="119">
        <f t="shared" si="3"/>
        <v>220000</v>
      </c>
    </row>
    <row r="137" ht="27.0" customHeight="1">
      <c r="A137" s="12">
        <f t="shared" ref="A137:A138" si="29">A135+1</f>
        <v>134</v>
      </c>
      <c r="B137" s="71" t="s">
        <v>163</v>
      </c>
      <c r="C137" s="12" t="s">
        <v>128</v>
      </c>
      <c r="D137" s="30" t="s">
        <v>194</v>
      </c>
      <c r="E137" s="157" t="s">
        <v>195</v>
      </c>
      <c r="F137" s="25" t="s">
        <v>748</v>
      </c>
      <c r="G137" s="69" t="s">
        <v>749</v>
      </c>
      <c r="H137" s="69" t="s">
        <v>750</v>
      </c>
      <c r="I137" s="182" t="s">
        <v>751</v>
      </c>
      <c r="J137" s="15" t="s">
        <v>420</v>
      </c>
      <c r="K137" s="161" t="s">
        <v>446</v>
      </c>
      <c r="L137" s="21" t="s">
        <v>33</v>
      </c>
      <c r="M137" s="21"/>
      <c r="N137" s="109" t="s">
        <v>744</v>
      </c>
      <c r="O137" s="110" t="s">
        <v>740</v>
      </c>
      <c r="P137" s="110" t="s">
        <v>449</v>
      </c>
      <c r="Q137" s="111">
        <v>46206.0</v>
      </c>
      <c r="R137" s="112"/>
      <c r="S137" s="21" t="s">
        <v>423</v>
      </c>
      <c r="T137" s="21" t="s">
        <v>434</v>
      </c>
      <c r="U137" s="113"/>
      <c r="V137" s="113"/>
      <c r="W137" s="113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  <c r="AJ137" s="138"/>
      <c r="AK137" s="138"/>
      <c r="AL137" s="138"/>
      <c r="AM137" s="113"/>
      <c r="AN137" s="113"/>
      <c r="AO137" s="113"/>
      <c r="AP137" s="113"/>
      <c r="AQ137" s="113"/>
      <c r="AR137" s="113"/>
      <c r="AS137" s="113"/>
      <c r="AT137" s="121"/>
      <c r="AU137" s="114"/>
      <c r="AV137" s="177"/>
      <c r="AW137" s="114"/>
      <c r="AX137" s="114"/>
      <c r="AY137" s="114"/>
      <c r="AZ137" s="114"/>
      <c r="BA137" s="114"/>
      <c r="BB137" s="114"/>
      <c r="BC137" s="114"/>
      <c r="BD137" s="114"/>
      <c r="BE137" s="114"/>
      <c r="BF137" s="121"/>
      <c r="BG137" s="114"/>
      <c r="BH137" s="114"/>
      <c r="BI137" s="114">
        <v>120000.0</v>
      </c>
      <c r="BJ137" s="114" t="s">
        <v>424</v>
      </c>
      <c r="BK137" s="113"/>
      <c r="BL137" s="113"/>
      <c r="BM137" s="113"/>
      <c r="BN137" s="123">
        <f t="shared" si="1"/>
        <v>0</v>
      </c>
      <c r="BO137" s="176">
        <f t="shared" si="28"/>
        <v>120000</v>
      </c>
      <c r="BP137" s="117">
        <v>0.0</v>
      </c>
      <c r="BQ137" s="118">
        <f t="shared" si="27"/>
        <v>120000</v>
      </c>
      <c r="BR137" s="119">
        <f t="shared" si="3"/>
        <v>120000</v>
      </c>
    </row>
    <row r="138" ht="27.0" customHeight="1">
      <c r="A138" s="12">
        <f t="shared" si="29"/>
        <v>135</v>
      </c>
      <c r="B138" s="71" t="s">
        <v>163</v>
      </c>
      <c r="C138" s="12" t="s">
        <v>128</v>
      </c>
      <c r="D138" s="30" t="s">
        <v>194</v>
      </c>
      <c r="E138" s="157" t="s">
        <v>195</v>
      </c>
      <c r="F138" s="25" t="s">
        <v>752</v>
      </c>
      <c r="G138" s="69" t="s">
        <v>753</v>
      </c>
      <c r="H138" s="69" t="s">
        <v>754</v>
      </c>
      <c r="I138" s="69"/>
      <c r="J138" s="15" t="s">
        <v>420</v>
      </c>
      <c r="K138" s="161" t="s">
        <v>755</v>
      </c>
      <c r="L138" s="21" t="s">
        <v>33</v>
      </c>
      <c r="M138" s="21"/>
      <c r="N138" s="109" t="s">
        <v>744</v>
      </c>
      <c r="O138" s="110" t="s">
        <v>740</v>
      </c>
      <c r="P138" s="110" t="s">
        <v>470</v>
      </c>
      <c r="Q138" s="111"/>
      <c r="R138" s="112"/>
      <c r="S138" s="21" t="s">
        <v>433</v>
      </c>
      <c r="T138" s="21" t="s">
        <v>434</v>
      </c>
      <c r="U138" s="113"/>
      <c r="V138" s="113"/>
      <c r="W138" s="113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  <c r="AM138" s="113"/>
      <c r="AN138" s="113"/>
      <c r="AO138" s="113"/>
      <c r="AP138" s="113"/>
      <c r="AQ138" s="113"/>
      <c r="AR138" s="113"/>
      <c r="AS138" s="113"/>
      <c r="AT138" s="115"/>
      <c r="AU138" s="113"/>
      <c r="AW138" s="113"/>
      <c r="AX138" s="113"/>
      <c r="AY138" s="113"/>
      <c r="AZ138" s="114"/>
      <c r="BA138" s="113"/>
      <c r="BB138" s="113"/>
      <c r="BC138" s="113"/>
      <c r="BD138" s="113"/>
      <c r="BE138" s="113"/>
      <c r="BF138" s="115"/>
      <c r="BG138" s="113"/>
      <c r="BH138" s="114"/>
      <c r="BI138" s="113"/>
      <c r="BJ138" s="114"/>
      <c r="BK138" s="113"/>
      <c r="BL138" s="113">
        <f>220000/12</f>
        <v>18333.33333</v>
      </c>
      <c r="BM138" s="113"/>
      <c r="BN138" s="123">
        <f t="shared" si="1"/>
        <v>18333.33333</v>
      </c>
      <c r="BO138" s="176">
        <v>0.0</v>
      </c>
      <c r="BP138" s="117">
        <v>0.0</v>
      </c>
      <c r="BQ138" s="118">
        <f t="shared" si="27"/>
        <v>0</v>
      </c>
      <c r="BR138" s="119">
        <f>SUM(U138:BM138)</f>
        <v>18333.33333</v>
      </c>
    </row>
    <row r="139" ht="27.0" customHeight="1">
      <c r="A139" s="183"/>
      <c r="B139" s="184"/>
      <c r="C139" s="185"/>
      <c r="D139" s="186"/>
      <c r="E139" s="187"/>
      <c r="F139" s="188"/>
      <c r="G139" s="189"/>
      <c r="H139" s="189"/>
      <c r="I139" s="189"/>
      <c r="J139" s="189"/>
      <c r="K139" s="190"/>
      <c r="L139" s="191"/>
      <c r="M139" s="191"/>
      <c r="N139" s="192"/>
      <c r="O139" s="192"/>
      <c r="P139" s="192"/>
      <c r="Q139" s="193"/>
      <c r="R139" s="193"/>
      <c r="S139" s="193"/>
      <c r="T139" s="193"/>
      <c r="U139" s="194">
        <f t="shared" ref="U139:BR139" si="30">SUM(U3:U138)</f>
        <v>12500</v>
      </c>
      <c r="V139" s="194">
        <f t="shared" si="30"/>
        <v>12500</v>
      </c>
      <c r="W139" s="194">
        <f t="shared" si="30"/>
        <v>387500</v>
      </c>
      <c r="X139" s="194">
        <f t="shared" si="30"/>
        <v>20833</v>
      </c>
      <c r="Y139" s="194">
        <f t="shared" si="30"/>
        <v>179166</v>
      </c>
      <c r="Z139" s="194">
        <f t="shared" si="30"/>
        <v>195832</v>
      </c>
      <c r="AA139" s="194">
        <f t="shared" si="30"/>
        <v>695831</v>
      </c>
      <c r="AB139" s="194">
        <f t="shared" si="30"/>
        <v>299998</v>
      </c>
      <c r="AC139" s="194">
        <f t="shared" si="30"/>
        <v>399997</v>
      </c>
      <c r="AD139" s="194">
        <f t="shared" si="30"/>
        <v>433330</v>
      </c>
      <c r="AE139" s="194">
        <f t="shared" si="30"/>
        <v>195830</v>
      </c>
      <c r="AF139" s="194">
        <f t="shared" si="30"/>
        <v>449996</v>
      </c>
      <c r="AG139" s="194">
        <f t="shared" si="30"/>
        <v>312496</v>
      </c>
      <c r="AH139" s="194">
        <f t="shared" si="30"/>
        <v>320829</v>
      </c>
      <c r="AI139" s="194">
        <f t="shared" si="30"/>
        <v>679162</v>
      </c>
      <c r="AJ139" s="194">
        <f t="shared" si="30"/>
        <v>433330</v>
      </c>
      <c r="AK139" s="194">
        <f t="shared" si="30"/>
        <v>1149995</v>
      </c>
      <c r="AL139" s="194">
        <f t="shared" si="30"/>
        <v>220829</v>
      </c>
      <c r="AM139" s="194">
        <f t="shared" si="30"/>
        <v>387495</v>
      </c>
      <c r="AN139" s="194">
        <f t="shared" si="30"/>
        <v>945829</v>
      </c>
      <c r="AO139" s="194">
        <f t="shared" si="30"/>
        <v>820829</v>
      </c>
      <c r="AP139" s="194">
        <f t="shared" si="30"/>
        <v>154163</v>
      </c>
      <c r="AQ139" s="194">
        <f t="shared" si="30"/>
        <v>466661</v>
      </c>
      <c r="AR139" s="194">
        <f t="shared" si="30"/>
        <v>387495</v>
      </c>
      <c r="AS139" s="194">
        <f t="shared" si="30"/>
        <v>385880</v>
      </c>
      <c r="AT139" s="194">
        <f t="shared" si="30"/>
        <v>795830</v>
      </c>
      <c r="AU139" s="194">
        <f t="shared" si="30"/>
        <v>445829</v>
      </c>
      <c r="AV139" s="194">
        <f t="shared" si="30"/>
        <v>449995</v>
      </c>
      <c r="AW139" s="194">
        <f t="shared" si="30"/>
        <v>299999</v>
      </c>
      <c r="AX139" s="194">
        <f t="shared" si="30"/>
        <v>245832</v>
      </c>
      <c r="AY139" s="194">
        <f t="shared" si="30"/>
        <v>937498</v>
      </c>
      <c r="AZ139" s="194">
        <f t="shared" si="30"/>
        <v>320833</v>
      </c>
      <c r="BA139" s="194">
        <f t="shared" si="30"/>
        <v>479166</v>
      </c>
      <c r="BB139" s="194">
        <f t="shared" si="30"/>
        <v>166663</v>
      </c>
      <c r="BC139" s="194">
        <f t="shared" si="30"/>
        <v>208331</v>
      </c>
      <c r="BD139" s="194">
        <f t="shared" si="30"/>
        <v>263333</v>
      </c>
      <c r="BE139" s="194">
        <f t="shared" si="30"/>
        <v>83333</v>
      </c>
      <c r="BF139" s="194">
        <f t="shared" si="30"/>
        <v>8333</v>
      </c>
      <c r="BG139" s="194">
        <f t="shared" si="30"/>
        <v>490000</v>
      </c>
      <c r="BH139" s="194">
        <f t="shared" si="30"/>
        <v>785000</v>
      </c>
      <c r="BI139" s="194">
        <f t="shared" si="30"/>
        <v>340000</v>
      </c>
      <c r="BJ139" s="194">
        <f t="shared" si="30"/>
        <v>0</v>
      </c>
      <c r="BK139" s="194">
        <f t="shared" si="30"/>
        <v>0</v>
      </c>
      <c r="BL139" s="194">
        <f t="shared" si="30"/>
        <v>18333.33333</v>
      </c>
      <c r="BM139" s="194">
        <f t="shared" si="30"/>
        <v>0</v>
      </c>
      <c r="BN139" s="194">
        <f t="shared" si="30"/>
        <v>4523352.333</v>
      </c>
      <c r="BO139" s="194">
        <f t="shared" si="30"/>
        <v>7396630</v>
      </c>
      <c r="BP139" s="194">
        <f t="shared" si="30"/>
        <v>841649</v>
      </c>
      <c r="BQ139" s="194">
        <f t="shared" si="30"/>
        <v>11763262</v>
      </c>
      <c r="BR139" s="194">
        <f t="shared" si="30"/>
        <v>16286614.33</v>
      </c>
    </row>
    <row r="140" ht="27.0" customHeight="1">
      <c r="A140" s="12">
        <f>A138+1</f>
        <v>136</v>
      </c>
      <c r="B140" s="71" t="s">
        <v>163</v>
      </c>
      <c r="C140" s="12">
        <v>1782.0</v>
      </c>
      <c r="D140" s="16" t="s">
        <v>756</v>
      </c>
      <c r="E140" s="16" t="s">
        <v>204</v>
      </c>
      <c r="F140" s="124">
        <v>11304.0</v>
      </c>
      <c r="G140" s="40" t="s">
        <v>757</v>
      </c>
      <c r="H140" s="195" t="s">
        <v>758</v>
      </c>
      <c r="I140" s="195"/>
      <c r="J140" s="15" t="s">
        <v>420</v>
      </c>
      <c r="K140" s="20" t="s">
        <v>446</v>
      </c>
      <c r="L140" s="21" t="s">
        <v>338</v>
      </c>
      <c r="M140" s="21"/>
      <c r="N140" s="109">
        <v>45353.0</v>
      </c>
      <c r="O140" s="109">
        <v>45353.0</v>
      </c>
      <c r="P140" s="110" t="s">
        <v>422</v>
      </c>
      <c r="Q140" s="111">
        <v>45615.0</v>
      </c>
      <c r="R140" s="112"/>
      <c r="S140" s="21" t="s">
        <v>423</v>
      </c>
      <c r="T140" s="21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4"/>
      <c r="AK140" s="114">
        <v>100000.0</v>
      </c>
      <c r="AL140" s="114" t="s">
        <v>424</v>
      </c>
      <c r="AM140" s="114"/>
      <c r="AN140" s="114"/>
      <c r="AO140" s="114"/>
      <c r="AP140" s="114"/>
      <c r="AQ140" s="114"/>
      <c r="AR140" s="114"/>
      <c r="AS140" s="114"/>
      <c r="AT140" s="121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21"/>
      <c r="BG140" s="114"/>
      <c r="BH140" s="114"/>
      <c r="BI140" s="114"/>
      <c r="BJ140" s="114"/>
      <c r="BK140" s="114"/>
      <c r="BL140" s="114"/>
      <c r="BM140" s="114"/>
      <c r="BN140" s="116">
        <f t="shared" ref="BN140:BN212" si="31">BR140-BQ140</f>
        <v>0</v>
      </c>
      <c r="BO140" s="117">
        <f>SUM(AK140)</f>
        <v>100000</v>
      </c>
      <c r="BP140" s="117">
        <v>0.0</v>
      </c>
      <c r="BQ140" s="118">
        <f t="shared" ref="BQ140:BQ146" si="32">sum(U140:BH140)</f>
        <v>100000</v>
      </c>
      <c r="BR140" s="119">
        <f t="shared" ref="BR140:BR166" si="33">SUM(U140:BJ140)</f>
        <v>100000</v>
      </c>
    </row>
    <row r="141" ht="27.0" customHeight="1">
      <c r="A141" s="12">
        <f t="shared" ref="A141:A210" si="34">A140+1</f>
        <v>137</v>
      </c>
      <c r="B141" s="71" t="s">
        <v>163</v>
      </c>
      <c r="C141" s="12">
        <v>1782.0</v>
      </c>
      <c r="D141" s="16" t="s">
        <v>756</v>
      </c>
      <c r="E141" s="16" t="s">
        <v>204</v>
      </c>
      <c r="F141" s="124">
        <v>11332.0</v>
      </c>
      <c r="G141" s="69" t="s">
        <v>759</v>
      </c>
      <c r="H141" s="195" t="s">
        <v>760</v>
      </c>
      <c r="I141" s="195"/>
      <c r="J141" s="15" t="s">
        <v>420</v>
      </c>
      <c r="K141" s="20" t="s">
        <v>446</v>
      </c>
      <c r="L141" s="21" t="s">
        <v>338</v>
      </c>
      <c r="M141" s="21"/>
      <c r="N141" s="109">
        <v>45324.0</v>
      </c>
      <c r="O141" s="109">
        <v>45324.0</v>
      </c>
      <c r="P141" s="110" t="s">
        <v>422</v>
      </c>
      <c r="Q141" s="111">
        <v>45615.0</v>
      </c>
      <c r="R141" s="112"/>
      <c r="S141" s="21" t="s">
        <v>423</v>
      </c>
      <c r="T141" s="21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>
        <v>100000.0</v>
      </c>
      <c r="AK141" s="114" t="s">
        <v>424</v>
      </c>
      <c r="AL141" s="114"/>
      <c r="AM141" s="114"/>
      <c r="AN141" s="114"/>
      <c r="AO141" s="114"/>
      <c r="AP141" s="114"/>
      <c r="AQ141" s="114"/>
      <c r="AR141" s="114"/>
      <c r="AS141" s="114"/>
      <c r="AT141" s="121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21"/>
      <c r="BG141" s="114"/>
      <c r="BH141" s="114"/>
      <c r="BI141" s="114"/>
      <c r="BJ141" s="114"/>
      <c r="BK141" s="114"/>
      <c r="BL141" s="114"/>
      <c r="BM141" s="114"/>
      <c r="BN141" s="116">
        <f t="shared" si="31"/>
        <v>0</v>
      </c>
      <c r="BO141" s="117">
        <f t="shared" ref="BO141:BO142" si="35">SUM(AJ141)</f>
        <v>100000</v>
      </c>
      <c r="BP141" s="117">
        <v>0.0</v>
      </c>
      <c r="BQ141" s="118">
        <f t="shared" si="32"/>
        <v>100000</v>
      </c>
      <c r="BR141" s="119">
        <f t="shared" si="33"/>
        <v>100000</v>
      </c>
    </row>
    <row r="142" ht="27.0" customHeight="1">
      <c r="A142" s="12">
        <f t="shared" si="34"/>
        <v>138</v>
      </c>
      <c r="B142" s="71" t="s">
        <v>163</v>
      </c>
      <c r="C142" s="12">
        <v>1782.0</v>
      </c>
      <c r="D142" s="16" t="s">
        <v>756</v>
      </c>
      <c r="E142" s="16" t="s">
        <v>204</v>
      </c>
      <c r="F142" s="124">
        <v>11335.0</v>
      </c>
      <c r="G142" s="40" t="s">
        <v>761</v>
      </c>
      <c r="H142" s="195" t="s">
        <v>762</v>
      </c>
      <c r="I142" s="195"/>
      <c r="J142" s="15" t="s">
        <v>420</v>
      </c>
      <c r="K142" s="20" t="s">
        <v>446</v>
      </c>
      <c r="L142" s="21" t="s">
        <v>338</v>
      </c>
      <c r="M142" s="21"/>
      <c r="N142" s="109">
        <v>45345.0</v>
      </c>
      <c r="O142" s="109">
        <v>45345.0</v>
      </c>
      <c r="P142" s="110" t="s">
        <v>422</v>
      </c>
      <c r="Q142" s="111">
        <v>45615.0</v>
      </c>
      <c r="R142" s="112"/>
      <c r="S142" s="21" t="s">
        <v>423</v>
      </c>
      <c r="T142" s="21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>
        <v>100000.0</v>
      </c>
      <c r="AK142" s="114" t="s">
        <v>424</v>
      </c>
      <c r="AL142" s="114"/>
      <c r="AM142" s="114"/>
      <c r="AN142" s="114"/>
      <c r="AO142" s="114"/>
      <c r="AP142" s="114"/>
      <c r="AQ142" s="114"/>
      <c r="AR142" s="114"/>
      <c r="AS142" s="114"/>
      <c r="AT142" s="121"/>
      <c r="AU142" s="114"/>
      <c r="AV142" s="114"/>
      <c r="AW142" s="114"/>
      <c r="AX142" s="114"/>
      <c r="AY142" s="114"/>
      <c r="AZ142" s="114"/>
      <c r="BA142" s="114"/>
      <c r="BB142" s="114"/>
      <c r="BC142" s="114"/>
      <c r="BD142" s="114"/>
      <c r="BE142" s="114"/>
      <c r="BF142" s="121"/>
      <c r="BG142" s="114"/>
      <c r="BH142" s="114"/>
      <c r="BI142" s="114"/>
      <c r="BJ142" s="114"/>
      <c r="BK142" s="114"/>
      <c r="BL142" s="114"/>
      <c r="BM142" s="114"/>
      <c r="BN142" s="116">
        <f t="shared" si="31"/>
        <v>0</v>
      </c>
      <c r="BO142" s="117">
        <f t="shared" si="35"/>
        <v>100000</v>
      </c>
      <c r="BP142" s="117">
        <v>0.0</v>
      </c>
      <c r="BQ142" s="118">
        <f t="shared" si="32"/>
        <v>100000</v>
      </c>
      <c r="BR142" s="119">
        <f t="shared" si="33"/>
        <v>100000</v>
      </c>
    </row>
    <row r="143" ht="27.0" customHeight="1">
      <c r="A143" s="12">
        <f t="shared" si="34"/>
        <v>139</v>
      </c>
      <c r="B143" s="71" t="s">
        <v>163</v>
      </c>
      <c r="C143" s="12">
        <v>1782.0</v>
      </c>
      <c r="D143" s="16" t="s">
        <v>756</v>
      </c>
      <c r="E143" s="16" t="s">
        <v>204</v>
      </c>
      <c r="F143" s="124">
        <v>12599.0</v>
      </c>
      <c r="G143" s="40" t="s">
        <v>763</v>
      </c>
      <c r="H143" s="195" t="s">
        <v>763</v>
      </c>
      <c r="I143" s="195"/>
      <c r="J143" s="15" t="s">
        <v>420</v>
      </c>
      <c r="K143" s="20" t="s">
        <v>446</v>
      </c>
      <c r="L143" s="21" t="s">
        <v>338</v>
      </c>
      <c r="M143" s="21"/>
      <c r="N143" s="109">
        <v>45481.0</v>
      </c>
      <c r="O143" s="109">
        <v>45481.0</v>
      </c>
      <c r="P143" s="110" t="s">
        <v>422</v>
      </c>
      <c r="Q143" s="111">
        <v>45615.0</v>
      </c>
      <c r="R143" s="112"/>
      <c r="S143" s="21" t="s">
        <v>423</v>
      </c>
      <c r="T143" s="21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>
        <v>100000.0</v>
      </c>
      <c r="AP143" s="114" t="s">
        <v>424</v>
      </c>
      <c r="AQ143" s="114"/>
      <c r="AR143" s="114"/>
      <c r="AS143" s="114"/>
      <c r="AT143" s="121"/>
      <c r="AU143" s="114"/>
      <c r="AV143" s="114"/>
      <c r="AW143" s="114"/>
      <c r="AX143" s="114"/>
      <c r="AY143" s="114"/>
      <c r="AZ143" s="114"/>
      <c r="BA143" s="114"/>
      <c r="BB143" s="114"/>
      <c r="BC143" s="114"/>
      <c r="BD143" s="114"/>
      <c r="BE143" s="114"/>
      <c r="BF143" s="121"/>
      <c r="BG143" s="114"/>
      <c r="BH143" s="114"/>
      <c r="BI143" s="114"/>
      <c r="BJ143" s="114"/>
      <c r="BK143" s="114"/>
      <c r="BL143" s="114"/>
      <c r="BM143" s="114"/>
      <c r="BN143" s="116">
        <f t="shared" si="31"/>
        <v>0</v>
      </c>
      <c r="BO143" s="117">
        <f t="shared" ref="BO143:BO145" si="36">SUM(AO143)</f>
        <v>100000</v>
      </c>
      <c r="BP143" s="117">
        <v>0.0</v>
      </c>
      <c r="BQ143" s="118">
        <f t="shared" si="32"/>
        <v>100000</v>
      </c>
      <c r="BR143" s="119">
        <f t="shared" si="33"/>
        <v>100000</v>
      </c>
    </row>
    <row r="144" ht="27.0" customHeight="1">
      <c r="A144" s="12">
        <f t="shared" si="34"/>
        <v>140</v>
      </c>
      <c r="B144" s="71" t="s">
        <v>163</v>
      </c>
      <c r="C144" s="12">
        <v>1782.0</v>
      </c>
      <c r="D144" s="16" t="s">
        <v>756</v>
      </c>
      <c r="E144" s="16" t="s">
        <v>204</v>
      </c>
      <c r="F144" s="124">
        <v>12557.0</v>
      </c>
      <c r="G144" s="40" t="s">
        <v>764</v>
      </c>
      <c r="H144" s="195" t="s">
        <v>765</v>
      </c>
      <c r="I144" s="195"/>
      <c r="J144" s="15" t="s">
        <v>420</v>
      </c>
      <c r="K144" s="20" t="s">
        <v>446</v>
      </c>
      <c r="L144" s="21" t="s">
        <v>338</v>
      </c>
      <c r="M144" s="21"/>
      <c r="N144" s="109">
        <v>45481.0</v>
      </c>
      <c r="O144" s="109">
        <v>45481.0</v>
      </c>
      <c r="P144" s="110" t="s">
        <v>422</v>
      </c>
      <c r="Q144" s="111">
        <v>45615.0</v>
      </c>
      <c r="R144" s="112"/>
      <c r="S144" s="21" t="s">
        <v>423</v>
      </c>
      <c r="T144" s="21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>
        <v>100000.0</v>
      </c>
      <c r="AP144" s="114" t="s">
        <v>424</v>
      </c>
      <c r="AQ144" s="114"/>
      <c r="AR144" s="114"/>
      <c r="AS144" s="114"/>
      <c r="AT144" s="121"/>
      <c r="AU144" s="114"/>
      <c r="AV144" s="114"/>
      <c r="AW144" s="114"/>
      <c r="AX144" s="114"/>
      <c r="AY144" s="114"/>
      <c r="AZ144" s="114"/>
      <c r="BA144" s="114"/>
      <c r="BB144" s="114"/>
      <c r="BC144" s="114"/>
      <c r="BD144" s="114"/>
      <c r="BE144" s="114"/>
      <c r="BF144" s="121"/>
      <c r="BG144" s="114"/>
      <c r="BH144" s="114"/>
      <c r="BI144" s="114"/>
      <c r="BJ144" s="114"/>
      <c r="BK144" s="114"/>
      <c r="BL144" s="114"/>
      <c r="BM144" s="114"/>
      <c r="BN144" s="116">
        <f t="shared" si="31"/>
        <v>0</v>
      </c>
      <c r="BO144" s="117">
        <f t="shared" si="36"/>
        <v>100000</v>
      </c>
      <c r="BP144" s="117">
        <v>0.0</v>
      </c>
      <c r="BQ144" s="118">
        <f t="shared" si="32"/>
        <v>100000</v>
      </c>
      <c r="BR144" s="119">
        <f t="shared" si="33"/>
        <v>100000</v>
      </c>
    </row>
    <row r="145" ht="27.0" customHeight="1">
      <c r="A145" s="12">
        <f t="shared" si="34"/>
        <v>141</v>
      </c>
      <c r="B145" s="71" t="s">
        <v>163</v>
      </c>
      <c r="C145" s="12">
        <v>1782.0</v>
      </c>
      <c r="D145" s="16" t="s">
        <v>756</v>
      </c>
      <c r="E145" s="16" t="s">
        <v>204</v>
      </c>
      <c r="F145" s="124">
        <v>12748.0</v>
      </c>
      <c r="G145" s="40" t="s">
        <v>766</v>
      </c>
      <c r="H145" s="195" t="s">
        <v>767</v>
      </c>
      <c r="I145" s="195"/>
      <c r="J145" s="15" t="s">
        <v>420</v>
      </c>
      <c r="K145" s="20" t="s">
        <v>446</v>
      </c>
      <c r="L145" s="21" t="s">
        <v>338</v>
      </c>
      <c r="M145" s="21"/>
      <c r="N145" s="109">
        <v>45484.0</v>
      </c>
      <c r="O145" s="109">
        <v>45484.0</v>
      </c>
      <c r="P145" s="110" t="s">
        <v>422</v>
      </c>
      <c r="Q145" s="111">
        <v>45615.0</v>
      </c>
      <c r="R145" s="112"/>
      <c r="S145" s="21" t="s">
        <v>423</v>
      </c>
      <c r="T145" s="21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>
        <v>100000.0</v>
      </c>
      <c r="AP145" s="114" t="s">
        <v>424</v>
      </c>
      <c r="AQ145" s="114"/>
      <c r="AR145" s="114"/>
      <c r="AS145" s="114"/>
      <c r="AT145" s="121"/>
      <c r="AU145" s="114"/>
      <c r="AV145" s="114"/>
      <c r="AW145" s="114"/>
      <c r="AX145" s="114"/>
      <c r="AY145" s="114"/>
      <c r="AZ145" s="114"/>
      <c r="BA145" s="114"/>
      <c r="BB145" s="114"/>
      <c r="BC145" s="114"/>
      <c r="BD145" s="114"/>
      <c r="BE145" s="114"/>
      <c r="BF145" s="121"/>
      <c r="BG145" s="114"/>
      <c r="BH145" s="114"/>
      <c r="BI145" s="114"/>
      <c r="BJ145" s="114"/>
      <c r="BK145" s="114"/>
      <c r="BL145" s="114"/>
      <c r="BM145" s="114"/>
      <c r="BN145" s="116">
        <f t="shared" si="31"/>
        <v>0</v>
      </c>
      <c r="BO145" s="117">
        <f t="shared" si="36"/>
        <v>100000</v>
      </c>
      <c r="BP145" s="117">
        <v>0.0</v>
      </c>
      <c r="BQ145" s="118">
        <f t="shared" si="32"/>
        <v>100000</v>
      </c>
      <c r="BR145" s="119">
        <f t="shared" si="33"/>
        <v>100000</v>
      </c>
    </row>
    <row r="146" ht="27.0" customHeight="1">
      <c r="A146" s="12">
        <f t="shared" si="34"/>
        <v>142</v>
      </c>
      <c r="B146" s="71" t="s">
        <v>163</v>
      </c>
      <c r="C146" s="12">
        <v>1782.0</v>
      </c>
      <c r="D146" s="16" t="s">
        <v>756</v>
      </c>
      <c r="E146" s="16" t="s">
        <v>204</v>
      </c>
      <c r="F146" s="122" t="s">
        <v>768</v>
      </c>
      <c r="G146" s="40" t="s">
        <v>769</v>
      </c>
      <c r="H146" s="195" t="s">
        <v>769</v>
      </c>
      <c r="I146" s="195"/>
      <c r="J146" s="15" t="s">
        <v>420</v>
      </c>
      <c r="K146" s="20" t="s">
        <v>446</v>
      </c>
      <c r="L146" s="21" t="s">
        <v>338</v>
      </c>
      <c r="M146" s="21"/>
      <c r="N146" s="109">
        <v>45589.0</v>
      </c>
      <c r="O146" s="109">
        <v>45589.0</v>
      </c>
      <c r="P146" s="110" t="s">
        <v>422</v>
      </c>
      <c r="Q146" s="111">
        <v>45615.0</v>
      </c>
      <c r="R146" s="112"/>
      <c r="S146" s="21" t="s">
        <v>423</v>
      </c>
      <c r="T146" s="21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>
        <v>100000.0</v>
      </c>
      <c r="AS146" s="114" t="s">
        <v>424</v>
      </c>
      <c r="AT146" s="121"/>
      <c r="AU146" s="114"/>
      <c r="AV146" s="114"/>
      <c r="AW146" s="114"/>
      <c r="AX146" s="114"/>
      <c r="AY146" s="114"/>
      <c r="AZ146" s="114"/>
      <c r="BA146" s="114"/>
      <c r="BB146" s="114"/>
      <c r="BC146" s="114"/>
      <c r="BD146" s="114"/>
      <c r="BE146" s="114"/>
      <c r="BF146" s="121"/>
      <c r="BG146" s="114"/>
      <c r="BH146" s="114"/>
      <c r="BI146" s="114"/>
      <c r="BJ146" s="114"/>
      <c r="BK146" s="114"/>
      <c r="BL146" s="114"/>
      <c r="BM146" s="114"/>
      <c r="BN146" s="116">
        <f t="shared" si="31"/>
        <v>0</v>
      </c>
      <c r="BO146" s="117">
        <f>SUM(AR146)</f>
        <v>100000</v>
      </c>
      <c r="BP146" s="117">
        <v>0.0</v>
      </c>
      <c r="BQ146" s="118">
        <f t="shared" si="32"/>
        <v>100000</v>
      </c>
      <c r="BR146" s="119">
        <f t="shared" si="33"/>
        <v>100000</v>
      </c>
    </row>
    <row r="147" ht="27.0" customHeight="1">
      <c r="A147" s="12">
        <f t="shared" si="34"/>
        <v>143</v>
      </c>
      <c r="B147" s="71" t="s">
        <v>163</v>
      </c>
      <c r="C147" s="12">
        <v>1782.0</v>
      </c>
      <c r="D147" s="16" t="s">
        <v>756</v>
      </c>
      <c r="E147" s="16" t="s">
        <v>204</v>
      </c>
      <c r="F147" s="122">
        <v>14006.0</v>
      </c>
      <c r="G147" s="69" t="s">
        <v>770</v>
      </c>
      <c r="H147" s="69" t="s">
        <v>771</v>
      </c>
      <c r="I147" s="182" t="s">
        <v>772</v>
      </c>
      <c r="J147" s="15" t="s">
        <v>420</v>
      </c>
      <c r="K147" s="20" t="s">
        <v>446</v>
      </c>
      <c r="L147" s="21" t="s">
        <v>338</v>
      </c>
      <c r="M147" s="21"/>
      <c r="N147" s="109">
        <v>45629.0</v>
      </c>
      <c r="O147" s="109">
        <v>45636.0</v>
      </c>
      <c r="P147" s="110" t="s">
        <v>422</v>
      </c>
      <c r="Q147" s="111">
        <v>46197.0</v>
      </c>
      <c r="R147" s="112"/>
      <c r="S147" s="21" t="s">
        <v>423</v>
      </c>
      <c r="T147" s="21" t="s">
        <v>434</v>
      </c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21">
        <v>100000.0</v>
      </c>
      <c r="AU147" s="114" t="s">
        <v>424</v>
      </c>
      <c r="AV147" s="114"/>
      <c r="AW147" s="114"/>
      <c r="AX147" s="114"/>
      <c r="AY147" s="114"/>
      <c r="AZ147" s="114"/>
      <c r="BA147" s="114"/>
      <c r="BB147" s="114"/>
      <c r="BC147" s="114"/>
      <c r="BD147" s="114"/>
      <c r="BE147" s="114"/>
      <c r="BF147" s="121"/>
      <c r="BG147" s="114"/>
      <c r="BH147" s="114"/>
      <c r="BI147" s="114"/>
      <c r="BJ147" s="114"/>
      <c r="BK147" s="114"/>
      <c r="BL147" s="114"/>
      <c r="BM147" s="114"/>
      <c r="BN147" s="123">
        <f t="shared" si="31"/>
        <v>0</v>
      </c>
      <c r="BO147" s="117">
        <v>100000.0</v>
      </c>
      <c r="BP147" s="117">
        <v>0.0</v>
      </c>
      <c r="BQ147" s="118">
        <f t="shared" ref="BQ147:BQ148" si="37">sum(BO147)</f>
        <v>100000</v>
      </c>
      <c r="BR147" s="119">
        <f t="shared" si="33"/>
        <v>100000</v>
      </c>
    </row>
    <row r="148" ht="27.0" customHeight="1">
      <c r="A148" s="12">
        <f t="shared" si="34"/>
        <v>144</v>
      </c>
      <c r="B148" s="71" t="s">
        <v>163</v>
      </c>
      <c r="C148" s="12">
        <v>1782.0</v>
      </c>
      <c r="D148" s="16" t="s">
        <v>756</v>
      </c>
      <c r="E148" s="16" t="s">
        <v>204</v>
      </c>
      <c r="F148" s="122" t="s">
        <v>773</v>
      </c>
      <c r="G148" s="69" t="s">
        <v>774</v>
      </c>
      <c r="H148" s="69" t="s">
        <v>775</v>
      </c>
      <c r="I148" s="182" t="s">
        <v>776</v>
      </c>
      <c r="J148" s="15" t="s">
        <v>420</v>
      </c>
      <c r="K148" s="20" t="s">
        <v>446</v>
      </c>
      <c r="L148" s="21" t="s">
        <v>338</v>
      </c>
      <c r="M148" s="21"/>
      <c r="N148" s="109"/>
      <c r="O148" s="109"/>
      <c r="P148" s="110" t="s">
        <v>422</v>
      </c>
      <c r="Q148" s="111">
        <v>46197.0</v>
      </c>
      <c r="R148" s="112"/>
      <c r="S148" s="21" t="s">
        <v>423</v>
      </c>
      <c r="T148" s="21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39"/>
      <c r="AU148" s="114"/>
      <c r="AV148" s="114"/>
      <c r="AW148" s="114"/>
      <c r="AX148" s="114"/>
      <c r="AY148" s="114"/>
      <c r="AZ148" s="114"/>
      <c r="BA148" s="114"/>
      <c r="BB148" s="114"/>
      <c r="BC148" s="114"/>
      <c r="BD148" s="114"/>
      <c r="BE148" s="114"/>
      <c r="BF148" s="121"/>
      <c r="BG148" s="114"/>
      <c r="BH148" s="114"/>
      <c r="BI148" s="114"/>
      <c r="BJ148" s="114">
        <v>120000.0</v>
      </c>
      <c r="BK148" s="114" t="s">
        <v>424</v>
      </c>
      <c r="BL148" s="114"/>
      <c r="BM148" s="114"/>
      <c r="BN148" s="123">
        <f t="shared" si="31"/>
        <v>0</v>
      </c>
      <c r="BO148" s="117">
        <v>120000.0</v>
      </c>
      <c r="BP148" s="117">
        <v>0.0</v>
      </c>
      <c r="BQ148" s="118">
        <f t="shared" si="37"/>
        <v>120000</v>
      </c>
      <c r="BR148" s="119">
        <f t="shared" si="33"/>
        <v>120000</v>
      </c>
    </row>
    <row r="149" ht="27.0" customHeight="1">
      <c r="A149" s="12">
        <f t="shared" si="34"/>
        <v>145</v>
      </c>
      <c r="B149" s="71" t="s">
        <v>163</v>
      </c>
      <c r="C149" s="15">
        <v>6343.0</v>
      </c>
      <c r="D149" s="16" t="s">
        <v>213</v>
      </c>
      <c r="E149" s="16" t="s">
        <v>214</v>
      </c>
      <c r="F149" s="124">
        <v>11295.0</v>
      </c>
      <c r="G149" s="40" t="s">
        <v>777</v>
      </c>
      <c r="H149" s="40" t="s">
        <v>778</v>
      </c>
      <c r="I149" s="40"/>
      <c r="J149" s="15" t="s">
        <v>420</v>
      </c>
      <c r="K149" s="20" t="s">
        <v>443</v>
      </c>
      <c r="L149" s="21" t="s">
        <v>338</v>
      </c>
      <c r="M149" s="21"/>
      <c r="N149" s="109">
        <v>45343.0</v>
      </c>
      <c r="O149" s="109">
        <v>45343.0</v>
      </c>
      <c r="P149" s="110" t="s">
        <v>422</v>
      </c>
      <c r="Q149" s="111"/>
      <c r="R149" s="112"/>
      <c r="S149" s="21" t="s">
        <v>450</v>
      </c>
      <c r="T149" s="21" t="s">
        <v>434</v>
      </c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>
        <v>8333.0</v>
      </c>
      <c r="AK149" s="113">
        <v>8333.0</v>
      </c>
      <c r="AL149" s="113">
        <v>8333.0</v>
      </c>
      <c r="AM149" s="113">
        <v>8333.0</v>
      </c>
      <c r="AN149" s="113">
        <v>8333.0</v>
      </c>
      <c r="AO149" s="114" t="s">
        <v>440</v>
      </c>
      <c r="AP149" s="114" t="s">
        <v>440</v>
      </c>
      <c r="AQ149" s="114" t="s">
        <v>440</v>
      </c>
      <c r="AR149" s="114" t="s">
        <v>440</v>
      </c>
      <c r="AS149" s="114" t="s">
        <v>440</v>
      </c>
      <c r="AT149" s="121" t="s">
        <v>440</v>
      </c>
      <c r="AU149" s="114" t="s">
        <v>440</v>
      </c>
      <c r="AV149" s="114" t="s">
        <v>424</v>
      </c>
      <c r="AW149" s="114"/>
      <c r="AX149" s="114"/>
      <c r="AY149" s="114"/>
      <c r="AZ149" s="114"/>
      <c r="BA149" s="114"/>
      <c r="BB149" s="114"/>
      <c r="BC149" s="114"/>
      <c r="BD149" s="114"/>
      <c r="BE149" s="114"/>
      <c r="BF149" s="121"/>
      <c r="BG149" s="114"/>
      <c r="BH149" s="114"/>
      <c r="BI149" s="114"/>
      <c r="BJ149" s="114"/>
      <c r="BK149" s="114"/>
      <c r="BL149" s="114"/>
      <c r="BM149" s="114"/>
      <c r="BN149" s="123">
        <f t="shared" si="31"/>
        <v>33332</v>
      </c>
      <c r="BO149" s="117">
        <v>0.0</v>
      </c>
      <c r="BP149" s="117">
        <v>0.0</v>
      </c>
      <c r="BQ149" s="118">
        <f t="shared" ref="BQ149:BQ150" si="38">AJ149</f>
        <v>8333</v>
      </c>
      <c r="BR149" s="119">
        <f t="shared" si="33"/>
        <v>41665</v>
      </c>
    </row>
    <row r="150" ht="27.0" customHeight="1">
      <c r="A150" s="12">
        <f t="shared" si="34"/>
        <v>146</v>
      </c>
      <c r="B150" s="71" t="s">
        <v>163</v>
      </c>
      <c r="C150" s="15">
        <v>6343.0</v>
      </c>
      <c r="D150" s="16" t="s">
        <v>213</v>
      </c>
      <c r="E150" s="16" t="s">
        <v>214</v>
      </c>
      <c r="F150" s="124">
        <v>11295.0</v>
      </c>
      <c r="G150" s="40" t="s">
        <v>777</v>
      </c>
      <c r="H150" s="40" t="s">
        <v>779</v>
      </c>
      <c r="I150" s="40"/>
      <c r="J150" s="15" t="s">
        <v>420</v>
      </c>
      <c r="K150" s="20" t="s">
        <v>443</v>
      </c>
      <c r="L150" s="21" t="s">
        <v>338</v>
      </c>
      <c r="M150" s="21"/>
      <c r="N150" s="109">
        <v>45343.0</v>
      </c>
      <c r="O150" s="109">
        <v>45343.0</v>
      </c>
      <c r="P150" s="110" t="s">
        <v>422</v>
      </c>
      <c r="Q150" s="111"/>
      <c r="R150" s="112"/>
      <c r="S150" s="21" t="s">
        <v>450</v>
      </c>
      <c r="T150" s="21" t="s">
        <v>434</v>
      </c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>
        <v>8333.0</v>
      </c>
      <c r="AK150" s="113">
        <v>8333.0</v>
      </c>
      <c r="AL150" s="113">
        <v>8333.0</v>
      </c>
      <c r="AM150" s="113">
        <v>8333.0</v>
      </c>
      <c r="AN150" s="113">
        <v>8333.0</v>
      </c>
      <c r="AO150" s="113">
        <v>8333.0</v>
      </c>
      <c r="AP150" s="113">
        <v>8333.0</v>
      </c>
      <c r="AQ150" s="113">
        <v>8333.0</v>
      </c>
      <c r="AR150" s="113">
        <v>8333.0</v>
      </c>
      <c r="AS150" s="113">
        <v>8333.0</v>
      </c>
      <c r="AT150" s="115">
        <v>8333.0</v>
      </c>
      <c r="AU150" s="113">
        <v>8333.0</v>
      </c>
      <c r="AV150" s="114" t="s">
        <v>424</v>
      </c>
      <c r="AW150" s="113"/>
      <c r="AX150" s="113"/>
      <c r="AY150" s="113"/>
      <c r="AZ150" s="113"/>
      <c r="BA150" s="113"/>
      <c r="BB150" s="113"/>
      <c r="BC150" s="113"/>
      <c r="BD150" s="113"/>
      <c r="BE150" s="113"/>
      <c r="BF150" s="115"/>
      <c r="BG150" s="113"/>
      <c r="BH150" s="113"/>
      <c r="BI150" s="113"/>
      <c r="BJ150" s="113"/>
      <c r="BK150" s="113"/>
      <c r="BL150" s="113"/>
      <c r="BM150" s="113"/>
      <c r="BN150" s="123">
        <f t="shared" si="31"/>
        <v>91663</v>
      </c>
      <c r="BO150" s="117">
        <v>0.0</v>
      </c>
      <c r="BP150" s="117">
        <v>0.0</v>
      </c>
      <c r="BQ150" s="118">
        <f t="shared" si="38"/>
        <v>8333</v>
      </c>
      <c r="BR150" s="119">
        <f t="shared" si="33"/>
        <v>99996</v>
      </c>
    </row>
    <row r="151" ht="27.0" customHeight="1">
      <c r="A151" s="12">
        <f t="shared" si="34"/>
        <v>147</v>
      </c>
      <c r="B151" s="71" t="s">
        <v>163</v>
      </c>
      <c r="C151" s="15">
        <v>6343.0</v>
      </c>
      <c r="D151" s="16" t="s">
        <v>213</v>
      </c>
      <c r="E151" s="16" t="s">
        <v>214</v>
      </c>
      <c r="F151" s="124">
        <v>11703.0</v>
      </c>
      <c r="G151" s="40" t="s">
        <v>780</v>
      </c>
      <c r="H151" s="40" t="s">
        <v>780</v>
      </c>
      <c r="I151" s="40"/>
      <c r="J151" s="15" t="s">
        <v>420</v>
      </c>
      <c r="K151" s="20" t="s">
        <v>448</v>
      </c>
      <c r="L151" s="21" t="s">
        <v>338</v>
      </c>
      <c r="M151" s="21"/>
      <c r="N151" s="109">
        <v>45379.0</v>
      </c>
      <c r="O151" s="109">
        <v>45380.0</v>
      </c>
      <c r="P151" s="110" t="s">
        <v>422</v>
      </c>
      <c r="Q151" s="111"/>
      <c r="R151" s="112"/>
      <c r="S151" s="21" t="s">
        <v>433</v>
      </c>
      <c r="T151" s="21" t="s">
        <v>434</v>
      </c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3"/>
      <c r="AK151" s="113">
        <v>12500.0</v>
      </c>
      <c r="AL151" s="114" t="s">
        <v>128</v>
      </c>
      <c r="AM151" s="113">
        <v>12500.0</v>
      </c>
      <c r="AN151" s="113">
        <v>12500.0</v>
      </c>
      <c r="AO151" s="113">
        <v>12500.0</v>
      </c>
      <c r="AP151" s="113">
        <v>12500.0</v>
      </c>
      <c r="AQ151" s="113">
        <v>12500.0</v>
      </c>
      <c r="AR151" s="113">
        <v>12500.0</v>
      </c>
      <c r="AS151" s="113">
        <v>12500.0</v>
      </c>
      <c r="AT151" s="115">
        <v>12500.0</v>
      </c>
      <c r="AU151" s="113">
        <v>12500.0</v>
      </c>
      <c r="AV151" s="113">
        <v>12500.0</v>
      </c>
      <c r="AW151" s="113">
        <v>12500.0</v>
      </c>
      <c r="AX151" s="114" t="s">
        <v>424</v>
      </c>
      <c r="AY151" s="114"/>
      <c r="AZ151" s="114"/>
      <c r="BA151" s="114"/>
      <c r="BB151" s="114"/>
      <c r="BC151" s="114"/>
      <c r="BD151" s="114"/>
      <c r="BE151" s="114"/>
      <c r="BF151" s="121"/>
      <c r="BG151" s="114"/>
      <c r="BH151" s="114"/>
      <c r="BI151" s="114"/>
      <c r="BJ151" s="114"/>
      <c r="BK151" s="114"/>
      <c r="BL151" s="114"/>
      <c r="BM151" s="114"/>
      <c r="BN151" s="123">
        <f t="shared" si="31"/>
        <v>150000</v>
      </c>
      <c r="BO151" s="117">
        <v>0.0</v>
      </c>
      <c r="BP151" s="117">
        <v>0.0</v>
      </c>
      <c r="BQ151" s="118">
        <v>0.0</v>
      </c>
      <c r="BR151" s="119">
        <f t="shared" si="33"/>
        <v>150000</v>
      </c>
    </row>
    <row r="152" ht="27.0" customHeight="1">
      <c r="A152" s="12">
        <f t="shared" si="34"/>
        <v>148</v>
      </c>
      <c r="B152" s="71" t="s">
        <v>163</v>
      </c>
      <c r="C152" s="15">
        <v>6343.0</v>
      </c>
      <c r="D152" s="16" t="s">
        <v>213</v>
      </c>
      <c r="E152" s="16" t="s">
        <v>214</v>
      </c>
      <c r="F152" s="124">
        <v>12109.0</v>
      </c>
      <c r="G152" s="40" t="s">
        <v>781</v>
      </c>
      <c r="H152" s="40" t="s">
        <v>782</v>
      </c>
      <c r="I152" s="40"/>
      <c r="J152" s="15" t="s">
        <v>420</v>
      </c>
      <c r="K152" s="20" t="s">
        <v>448</v>
      </c>
      <c r="L152" s="21" t="s">
        <v>338</v>
      </c>
      <c r="M152" s="21"/>
      <c r="N152" s="109">
        <v>45422.0</v>
      </c>
      <c r="O152" s="109">
        <v>45422.0</v>
      </c>
      <c r="P152" s="110" t="s">
        <v>512</v>
      </c>
      <c r="Q152" s="111"/>
      <c r="R152" s="112"/>
      <c r="S152" s="21" t="s">
        <v>433</v>
      </c>
      <c r="T152" s="21" t="s">
        <v>434</v>
      </c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3"/>
      <c r="AK152" s="113"/>
      <c r="AL152" s="113"/>
      <c r="AM152" s="113">
        <v>12500.0</v>
      </c>
      <c r="AN152" s="114" t="s">
        <v>440</v>
      </c>
      <c r="AO152" s="114" t="s">
        <v>440</v>
      </c>
      <c r="AP152" s="114" t="s">
        <v>440</v>
      </c>
      <c r="AQ152" s="114" t="s">
        <v>440</v>
      </c>
      <c r="AR152" s="114" t="s">
        <v>440</v>
      </c>
      <c r="AS152" s="114" t="s">
        <v>440</v>
      </c>
      <c r="AT152" s="121" t="s">
        <v>440</v>
      </c>
      <c r="AU152" s="114" t="s">
        <v>440</v>
      </c>
      <c r="AV152" s="114" t="s">
        <v>440</v>
      </c>
      <c r="AW152" s="114" t="s">
        <v>440</v>
      </c>
      <c r="AX152" s="137">
        <f>8333*6</f>
        <v>49998</v>
      </c>
      <c r="AY152" s="113" t="s">
        <v>128</v>
      </c>
      <c r="AZ152" s="113" t="s">
        <v>128</v>
      </c>
      <c r="BA152" s="113" t="s">
        <v>128</v>
      </c>
      <c r="BB152" s="113" t="s">
        <v>128</v>
      </c>
      <c r="BC152" s="113" t="s">
        <v>128</v>
      </c>
      <c r="BD152" s="113" t="s">
        <v>128</v>
      </c>
      <c r="BE152" s="114" t="s">
        <v>440</v>
      </c>
      <c r="BF152" s="121" t="s">
        <v>440</v>
      </c>
      <c r="BG152" s="114" t="s">
        <v>440</v>
      </c>
      <c r="BH152" s="113"/>
      <c r="BI152" s="196"/>
      <c r="BJ152" s="196"/>
      <c r="BK152" s="196"/>
      <c r="BL152" s="196"/>
      <c r="BM152" s="196"/>
      <c r="BN152" s="123">
        <f t="shared" si="31"/>
        <v>62498</v>
      </c>
      <c r="BO152" s="117">
        <v>0.0</v>
      </c>
      <c r="BP152" s="117">
        <v>0.0</v>
      </c>
      <c r="BQ152" s="118">
        <v>0.0</v>
      </c>
      <c r="BR152" s="119">
        <f t="shared" si="33"/>
        <v>62498</v>
      </c>
    </row>
    <row r="153" ht="27.0" customHeight="1">
      <c r="A153" s="12">
        <f t="shared" si="34"/>
        <v>149</v>
      </c>
      <c r="B153" s="71" t="s">
        <v>163</v>
      </c>
      <c r="C153" s="15">
        <v>6343.0</v>
      </c>
      <c r="D153" s="16" t="s">
        <v>213</v>
      </c>
      <c r="E153" s="16" t="s">
        <v>214</v>
      </c>
      <c r="F153" s="122" t="s">
        <v>783</v>
      </c>
      <c r="G153" s="69" t="s">
        <v>784</v>
      </c>
      <c r="H153" s="40" t="s">
        <v>785</v>
      </c>
      <c r="I153" s="40"/>
      <c r="J153" s="15" t="s">
        <v>420</v>
      </c>
      <c r="K153" s="20" t="s">
        <v>421</v>
      </c>
      <c r="L153" s="21" t="s">
        <v>338</v>
      </c>
      <c r="M153" s="21"/>
      <c r="N153" s="109">
        <v>45665.0</v>
      </c>
      <c r="O153" s="109">
        <v>45671.0</v>
      </c>
      <c r="P153" s="110" t="s">
        <v>422</v>
      </c>
      <c r="Q153" s="111"/>
      <c r="R153" s="112"/>
      <c r="S153" s="21" t="s">
        <v>433</v>
      </c>
      <c r="T153" s="21" t="s">
        <v>434</v>
      </c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3"/>
      <c r="AK153" s="113"/>
      <c r="AL153" s="113"/>
      <c r="AM153" s="113"/>
      <c r="AN153" s="114"/>
      <c r="AO153" s="114"/>
      <c r="AP153" s="114"/>
      <c r="AQ153" s="114"/>
      <c r="AR153" s="114"/>
      <c r="AS153" s="114"/>
      <c r="AT153" s="121"/>
      <c r="AU153" s="137">
        <v>150000.0</v>
      </c>
      <c r="AV153" s="114" t="s">
        <v>424</v>
      </c>
      <c r="AW153" s="114"/>
      <c r="AX153" s="114"/>
      <c r="AY153" s="114"/>
      <c r="AZ153" s="114"/>
      <c r="BA153" s="114"/>
      <c r="BB153" s="114"/>
      <c r="BC153" s="114"/>
      <c r="BD153" s="114"/>
      <c r="BE153" s="114"/>
      <c r="BF153" s="121"/>
      <c r="BG153" s="114"/>
      <c r="BH153" s="114"/>
      <c r="BI153" s="114"/>
      <c r="BJ153" s="114"/>
      <c r="BK153" s="114"/>
      <c r="BL153" s="114"/>
      <c r="BM153" s="114"/>
      <c r="BN153" s="123">
        <f t="shared" si="31"/>
        <v>150000</v>
      </c>
      <c r="BO153" s="117">
        <v>0.0</v>
      </c>
      <c r="BP153" s="117">
        <v>0.0</v>
      </c>
      <c r="BQ153" s="118">
        <v>0.0</v>
      </c>
      <c r="BR153" s="119">
        <f t="shared" si="33"/>
        <v>150000</v>
      </c>
    </row>
    <row r="154" ht="27.0" customHeight="1">
      <c r="A154" s="12">
        <f t="shared" si="34"/>
        <v>150</v>
      </c>
      <c r="B154" s="71" t="s">
        <v>163</v>
      </c>
      <c r="C154" s="15">
        <v>6343.0</v>
      </c>
      <c r="D154" s="16" t="s">
        <v>213</v>
      </c>
      <c r="E154" s="16" t="s">
        <v>214</v>
      </c>
      <c r="F154" s="122" t="s">
        <v>786</v>
      </c>
      <c r="G154" s="172" t="s">
        <v>787</v>
      </c>
      <c r="H154" s="40" t="s">
        <v>788</v>
      </c>
      <c r="I154" s="40"/>
      <c r="J154" s="15" t="s">
        <v>420</v>
      </c>
      <c r="K154" s="20" t="s">
        <v>421</v>
      </c>
      <c r="L154" s="21" t="s">
        <v>338</v>
      </c>
      <c r="M154" s="21"/>
      <c r="N154" s="109">
        <v>45692.0</v>
      </c>
      <c r="O154" s="109">
        <v>45693.0</v>
      </c>
      <c r="P154" s="110" t="s">
        <v>422</v>
      </c>
      <c r="Q154" s="111"/>
      <c r="R154" s="112"/>
      <c r="S154" s="21" t="s">
        <v>433</v>
      </c>
      <c r="T154" s="21" t="s">
        <v>434</v>
      </c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3"/>
      <c r="AK154" s="113"/>
      <c r="AL154" s="113"/>
      <c r="AM154" s="113"/>
      <c r="AN154" s="114"/>
      <c r="AO154" s="114"/>
      <c r="AP154" s="114"/>
      <c r="AQ154" s="114"/>
      <c r="AR154" s="114"/>
      <c r="AS154" s="114"/>
      <c r="AT154" s="121"/>
      <c r="AU154" s="114"/>
      <c r="AV154" s="137">
        <v>150000.0</v>
      </c>
      <c r="AW154" s="114" t="s">
        <v>424</v>
      </c>
      <c r="AX154" s="114"/>
      <c r="AY154" s="114"/>
      <c r="AZ154" s="114"/>
      <c r="BA154" s="114"/>
      <c r="BB154" s="114"/>
      <c r="BC154" s="114"/>
      <c r="BD154" s="114"/>
      <c r="BE154" s="114"/>
      <c r="BF154" s="121"/>
      <c r="BG154" s="114"/>
      <c r="BH154" s="114"/>
      <c r="BI154" s="114"/>
      <c r="BJ154" s="114"/>
      <c r="BK154" s="114"/>
      <c r="BL154" s="114"/>
      <c r="BM154" s="114"/>
      <c r="BN154" s="123">
        <f t="shared" si="31"/>
        <v>150000</v>
      </c>
      <c r="BO154" s="117">
        <v>0.0</v>
      </c>
      <c r="BP154" s="117">
        <v>0.0</v>
      </c>
      <c r="BQ154" s="118">
        <v>0.0</v>
      </c>
      <c r="BR154" s="119">
        <f t="shared" si="33"/>
        <v>150000</v>
      </c>
    </row>
    <row r="155" ht="27.0" customHeight="1">
      <c r="A155" s="12">
        <f t="shared" si="34"/>
        <v>151</v>
      </c>
      <c r="B155" s="71" t="s">
        <v>163</v>
      </c>
      <c r="C155" s="15">
        <v>6343.0</v>
      </c>
      <c r="D155" s="16" t="s">
        <v>213</v>
      </c>
      <c r="E155" s="16" t="s">
        <v>214</v>
      </c>
      <c r="F155" s="122">
        <v>14660.0</v>
      </c>
      <c r="G155" s="40" t="s">
        <v>789</v>
      </c>
      <c r="H155" s="197" t="s">
        <v>790</v>
      </c>
      <c r="I155" s="197"/>
      <c r="J155" s="15" t="s">
        <v>420</v>
      </c>
      <c r="K155" s="20" t="s">
        <v>421</v>
      </c>
      <c r="L155" s="21" t="s">
        <v>338</v>
      </c>
      <c r="M155" s="21"/>
      <c r="N155" s="109">
        <v>45712.0</v>
      </c>
      <c r="O155" s="109">
        <v>45712.0</v>
      </c>
      <c r="P155" s="110" t="s">
        <v>422</v>
      </c>
      <c r="Q155" s="111"/>
      <c r="R155" s="112"/>
      <c r="S155" s="21" t="s">
        <v>433</v>
      </c>
      <c r="T155" s="21" t="s">
        <v>434</v>
      </c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3"/>
      <c r="AK155" s="113"/>
      <c r="AL155" s="113"/>
      <c r="AM155" s="113"/>
      <c r="AN155" s="114"/>
      <c r="AO155" s="114"/>
      <c r="AP155" s="114"/>
      <c r="AQ155" s="114"/>
      <c r="AR155" s="114"/>
      <c r="AS155" s="114"/>
      <c r="AT155" s="121"/>
      <c r="AU155" s="114"/>
      <c r="AV155" s="137">
        <v>150000.0</v>
      </c>
      <c r="AW155" s="114" t="s">
        <v>424</v>
      </c>
      <c r="AX155" s="114"/>
      <c r="AY155" s="114"/>
      <c r="AZ155" s="114"/>
      <c r="BA155" s="114"/>
      <c r="BB155" s="114"/>
      <c r="BC155" s="114"/>
      <c r="BD155" s="114"/>
      <c r="BE155" s="114"/>
      <c r="BF155" s="121"/>
      <c r="BG155" s="114"/>
      <c r="BH155" s="114"/>
      <c r="BI155" s="114"/>
      <c r="BJ155" s="114"/>
      <c r="BK155" s="114"/>
      <c r="BL155" s="114"/>
      <c r="BM155" s="114"/>
      <c r="BN155" s="123">
        <f t="shared" si="31"/>
        <v>150000</v>
      </c>
      <c r="BO155" s="117">
        <v>0.0</v>
      </c>
      <c r="BP155" s="117">
        <v>0.0</v>
      </c>
      <c r="BQ155" s="118">
        <v>0.0</v>
      </c>
      <c r="BR155" s="119">
        <f t="shared" si="33"/>
        <v>150000</v>
      </c>
    </row>
    <row r="156" ht="27.0" customHeight="1">
      <c r="A156" s="12">
        <f t="shared" si="34"/>
        <v>152</v>
      </c>
      <c r="B156" s="71" t="s">
        <v>163</v>
      </c>
      <c r="C156" s="15">
        <v>6343.0</v>
      </c>
      <c r="D156" s="30" t="s">
        <v>213</v>
      </c>
      <c r="E156" s="30" t="s">
        <v>214</v>
      </c>
      <c r="F156" s="25" t="s">
        <v>791</v>
      </c>
      <c r="G156" s="150" t="s">
        <v>792</v>
      </c>
      <c r="H156" s="53" t="s">
        <v>793</v>
      </c>
      <c r="I156" s="40"/>
      <c r="J156" s="15" t="s">
        <v>420</v>
      </c>
      <c r="K156" s="20" t="s">
        <v>439</v>
      </c>
      <c r="L156" s="21" t="s">
        <v>338</v>
      </c>
      <c r="M156" s="21"/>
      <c r="N156" s="109">
        <v>45939.0</v>
      </c>
      <c r="O156" s="109">
        <v>45964.0</v>
      </c>
      <c r="P156" s="110" t="s">
        <v>449</v>
      </c>
      <c r="Q156" s="111"/>
      <c r="R156" s="112"/>
      <c r="S156" s="21" t="s">
        <v>433</v>
      </c>
      <c r="T156" s="21" t="s">
        <v>434</v>
      </c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3"/>
      <c r="AK156" s="113"/>
      <c r="AL156" s="113"/>
      <c r="AM156" s="114"/>
      <c r="AN156" s="114"/>
      <c r="AO156" s="114"/>
      <c r="AP156" s="114"/>
      <c r="AQ156" s="114"/>
      <c r="AR156" s="114"/>
      <c r="AS156" s="114"/>
      <c r="AT156" s="121"/>
      <c r="AU156" s="114"/>
      <c r="AV156" s="114"/>
      <c r="AW156" s="137">
        <v>75000.0</v>
      </c>
      <c r="AX156" s="113" t="s">
        <v>128</v>
      </c>
      <c r="AY156" s="113" t="s">
        <v>128</v>
      </c>
      <c r="AZ156" s="113" t="s">
        <v>128</v>
      </c>
      <c r="BA156" s="113" t="s">
        <v>128</v>
      </c>
      <c r="BB156" s="113" t="s">
        <v>128</v>
      </c>
      <c r="BC156" s="113" t="s">
        <v>128</v>
      </c>
      <c r="BD156" s="137">
        <v>75000.0</v>
      </c>
      <c r="BE156" s="114" t="s">
        <v>424</v>
      </c>
      <c r="BF156" s="121"/>
      <c r="BG156" s="114"/>
      <c r="BH156" s="113"/>
      <c r="BI156" s="196"/>
      <c r="BJ156" s="196"/>
      <c r="BK156" s="196"/>
      <c r="BL156" s="196"/>
      <c r="BM156" s="196"/>
      <c r="BN156" s="123">
        <f t="shared" si="31"/>
        <v>150000</v>
      </c>
      <c r="BO156" s="117">
        <v>0.0</v>
      </c>
      <c r="BP156" s="117">
        <v>0.0</v>
      </c>
      <c r="BQ156" s="118">
        <v>0.0</v>
      </c>
      <c r="BR156" s="119">
        <f t="shared" si="33"/>
        <v>150000</v>
      </c>
    </row>
    <row r="157" ht="27.0" customHeight="1">
      <c r="A157" s="12">
        <f t="shared" si="34"/>
        <v>153</v>
      </c>
      <c r="B157" s="71" t="s">
        <v>163</v>
      </c>
      <c r="C157" s="15">
        <v>6343.0</v>
      </c>
      <c r="D157" s="30" t="s">
        <v>213</v>
      </c>
      <c r="E157" s="30" t="s">
        <v>214</v>
      </c>
      <c r="F157" s="25" t="s">
        <v>794</v>
      </c>
      <c r="G157" s="150" t="s">
        <v>795</v>
      </c>
      <c r="H157" s="53" t="s">
        <v>796</v>
      </c>
      <c r="I157" s="40"/>
      <c r="J157" s="15" t="s">
        <v>420</v>
      </c>
      <c r="K157" s="20" t="s">
        <v>421</v>
      </c>
      <c r="L157" s="21" t="s">
        <v>338</v>
      </c>
      <c r="M157" s="21"/>
      <c r="N157" s="109">
        <v>45784.0</v>
      </c>
      <c r="O157" s="109">
        <v>45785.0</v>
      </c>
      <c r="P157" s="110" t="s">
        <v>422</v>
      </c>
      <c r="Q157" s="111"/>
      <c r="R157" s="112"/>
      <c r="S157" s="21" t="s">
        <v>433</v>
      </c>
      <c r="T157" s="21" t="s">
        <v>434</v>
      </c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3"/>
      <c r="AK157" s="113"/>
      <c r="AL157" s="113"/>
      <c r="AM157" s="114"/>
      <c r="AN157" s="114"/>
      <c r="AO157" s="114"/>
      <c r="AP157" s="114"/>
      <c r="AQ157" s="114"/>
      <c r="AR157" s="114"/>
      <c r="AS157" s="114"/>
      <c r="AT157" s="121"/>
      <c r="AU157" s="114"/>
      <c r="AV157" s="114"/>
      <c r="AW157" s="114"/>
      <c r="AX157" s="114"/>
      <c r="AY157" s="137">
        <v>150000.0</v>
      </c>
      <c r="AZ157" s="114" t="s">
        <v>424</v>
      </c>
      <c r="BA157" s="114"/>
      <c r="BB157" s="114"/>
      <c r="BC157" s="114"/>
      <c r="BD157" s="114"/>
      <c r="BE157" s="114"/>
      <c r="BF157" s="121"/>
      <c r="BG157" s="114"/>
      <c r="BH157" s="114"/>
      <c r="BI157" s="114"/>
      <c r="BJ157" s="114"/>
      <c r="BK157" s="114"/>
      <c r="BL157" s="114"/>
      <c r="BM157" s="114"/>
      <c r="BN157" s="123">
        <f t="shared" si="31"/>
        <v>150000</v>
      </c>
      <c r="BO157" s="117">
        <v>0.0</v>
      </c>
      <c r="BP157" s="117">
        <v>0.0</v>
      </c>
      <c r="BQ157" s="118">
        <v>0.0</v>
      </c>
      <c r="BR157" s="119">
        <f t="shared" si="33"/>
        <v>150000</v>
      </c>
    </row>
    <row r="158" ht="27.0" customHeight="1">
      <c r="A158" s="12">
        <f t="shared" si="34"/>
        <v>154</v>
      </c>
      <c r="B158" s="71" t="s">
        <v>163</v>
      </c>
      <c r="C158" s="15">
        <v>6343.0</v>
      </c>
      <c r="D158" s="30" t="s">
        <v>213</v>
      </c>
      <c r="E158" s="30" t="s">
        <v>214</v>
      </c>
      <c r="F158" s="25" t="s">
        <v>797</v>
      </c>
      <c r="G158" s="150" t="s">
        <v>798</v>
      </c>
      <c r="H158" s="150" t="s">
        <v>799</v>
      </c>
      <c r="I158" s="69"/>
      <c r="J158" s="15" t="s">
        <v>420</v>
      </c>
      <c r="K158" s="20" t="s">
        <v>439</v>
      </c>
      <c r="L158" s="21" t="s">
        <v>338</v>
      </c>
      <c r="M158" s="21"/>
      <c r="N158" s="109">
        <v>45836.0</v>
      </c>
      <c r="O158" s="109">
        <v>45837.0</v>
      </c>
      <c r="P158" s="110" t="s">
        <v>449</v>
      </c>
      <c r="Q158" s="111"/>
      <c r="R158" s="112"/>
      <c r="S158" s="21" t="s">
        <v>433</v>
      </c>
      <c r="T158" s="21" t="s">
        <v>434</v>
      </c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3"/>
      <c r="AK158" s="113"/>
      <c r="AL158" s="113"/>
      <c r="AM158" s="114"/>
      <c r="AN158" s="114"/>
      <c r="AO158" s="114"/>
      <c r="AP158" s="114"/>
      <c r="AQ158" s="114"/>
      <c r="AR158" s="114"/>
      <c r="AS158" s="114"/>
      <c r="AT158" s="121"/>
      <c r="AU158" s="114"/>
      <c r="AV158" s="114"/>
      <c r="AW158" s="114"/>
      <c r="AX158" s="114"/>
      <c r="AY158" s="114"/>
      <c r="AZ158" s="137">
        <v>75000.0</v>
      </c>
      <c r="BA158" s="137" t="s">
        <v>128</v>
      </c>
      <c r="BB158" s="137" t="s">
        <v>128</v>
      </c>
      <c r="BC158" s="137" t="s">
        <v>128</v>
      </c>
      <c r="BD158" s="137" t="s">
        <v>128</v>
      </c>
      <c r="BE158" s="137" t="s">
        <v>128</v>
      </c>
      <c r="BF158" s="137" t="s">
        <v>128</v>
      </c>
      <c r="BG158" s="198">
        <v>49998.0</v>
      </c>
      <c r="BH158" s="114" t="s">
        <v>424</v>
      </c>
      <c r="BI158" s="113"/>
      <c r="BJ158" s="113"/>
      <c r="BK158" s="113"/>
      <c r="BL158" s="113"/>
      <c r="BM158" s="113"/>
      <c r="BN158" s="123">
        <f t="shared" si="31"/>
        <v>124998</v>
      </c>
      <c r="BO158" s="117">
        <v>0.0</v>
      </c>
      <c r="BP158" s="117">
        <v>0.0</v>
      </c>
      <c r="BQ158" s="118">
        <v>0.0</v>
      </c>
      <c r="BR158" s="119">
        <f t="shared" si="33"/>
        <v>124998</v>
      </c>
    </row>
    <row r="159" ht="27.0" customHeight="1">
      <c r="A159" s="12">
        <f t="shared" si="34"/>
        <v>155</v>
      </c>
      <c r="B159" s="71" t="s">
        <v>163</v>
      </c>
      <c r="C159" s="15">
        <v>6343.0</v>
      </c>
      <c r="D159" s="30" t="s">
        <v>800</v>
      </c>
      <c r="E159" s="30" t="s">
        <v>214</v>
      </c>
      <c r="F159" s="33" t="s">
        <v>801</v>
      </c>
      <c r="G159" s="69" t="s">
        <v>802</v>
      </c>
      <c r="H159" s="69" t="s">
        <v>803</v>
      </c>
      <c r="I159" s="69"/>
      <c r="J159" s="15" t="s">
        <v>420</v>
      </c>
      <c r="K159" s="20" t="s">
        <v>421</v>
      </c>
      <c r="L159" s="21" t="s">
        <v>338</v>
      </c>
      <c r="M159" s="21"/>
      <c r="N159" s="109">
        <v>45939.0</v>
      </c>
      <c r="O159" s="109">
        <v>45939.0</v>
      </c>
      <c r="P159" s="110" t="s">
        <v>422</v>
      </c>
      <c r="Q159" s="111"/>
      <c r="R159" s="112"/>
      <c r="S159" s="21" t="s">
        <v>433</v>
      </c>
      <c r="T159" s="21" t="s">
        <v>434</v>
      </c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3"/>
      <c r="AK159" s="113"/>
      <c r="AL159" s="113"/>
      <c r="AM159" s="114"/>
      <c r="AN159" s="114"/>
      <c r="AO159" s="114"/>
      <c r="AP159" s="114"/>
      <c r="AQ159" s="114"/>
      <c r="AR159" s="114"/>
      <c r="AS159" s="114"/>
      <c r="AT159" s="121"/>
      <c r="AU159" s="114"/>
      <c r="AV159" s="114"/>
      <c r="AW159" s="114"/>
      <c r="AX159" s="114"/>
      <c r="AY159" s="114"/>
      <c r="AZ159" s="137"/>
      <c r="BA159" s="114"/>
      <c r="BB159" s="114"/>
      <c r="BC159" s="114"/>
      <c r="BD159" s="137">
        <v>150000.0</v>
      </c>
      <c r="BE159" s="114" t="s">
        <v>424</v>
      </c>
      <c r="BF159" s="139"/>
      <c r="BG159" s="137"/>
      <c r="BH159" s="137"/>
      <c r="BI159" s="137"/>
      <c r="BJ159" s="137"/>
      <c r="BK159" s="137"/>
      <c r="BL159" s="137"/>
      <c r="BM159" s="137"/>
      <c r="BN159" s="123">
        <f t="shared" si="31"/>
        <v>150000</v>
      </c>
      <c r="BO159" s="117">
        <v>0.0</v>
      </c>
      <c r="BP159" s="117">
        <v>0.0</v>
      </c>
      <c r="BQ159" s="118">
        <v>0.0</v>
      </c>
      <c r="BR159" s="119">
        <f t="shared" si="33"/>
        <v>150000</v>
      </c>
    </row>
    <row r="160" ht="27.0" customHeight="1">
      <c r="A160" s="12">
        <f t="shared" si="34"/>
        <v>156</v>
      </c>
      <c r="B160" s="71" t="s">
        <v>163</v>
      </c>
      <c r="C160" s="15">
        <v>6343.0</v>
      </c>
      <c r="D160" s="30" t="s">
        <v>800</v>
      </c>
      <c r="E160" s="30" t="s">
        <v>214</v>
      </c>
      <c r="F160" s="33" t="s">
        <v>804</v>
      </c>
      <c r="G160" s="69" t="s">
        <v>805</v>
      </c>
      <c r="H160" s="199" t="s">
        <v>806</v>
      </c>
      <c r="I160" s="30"/>
      <c r="J160" s="15" t="s">
        <v>420</v>
      </c>
      <c r="K160" s="20" t="s">
        <v>446</v>
      </c>
      <c r="L160" s="21" t="s">
        <v>338</v>
      </c>
      <c r="M160" s="21"/>
      <c r="N160" s="109">
        <v>45974.0</v>
      </c>
      <c r="O160" s="109">
        <v>45974.0</v>
      </c>
      <c r="P160" s="110" t="s">
        <v>422</v>
      </c>
      <c r="Q160" s="111"/>
      <c r="R160" s="112"/>
      <c r="S160" s="21" t="s">
        <v>433</v>
      </c>
      <c r="T160" s="21" t="s">
        <v>434</v>
      </c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3"/>
      <c r="AK160" s="113"/>
      <c r="AL160" s="113"/>
      <c r="AM160" s="114"/>
      <c r="AN160" s="114"/>
      <c r="AO160" s="114"/>
      <c r="AP160" s="114"/>
      <c r="AQ160" s="114"/>
      <c r="AR160" s="114"/>
      <c r="AS160" s="114"/>
      <c r="AT160" s="121"/>
      <c r="AU160" s="114"/>
      <c r="AV160" s="114"/>
      <c r="AW160" s="114"/>
      <c r="AX160" s="114"/>
      <c r="AY160" s="114"/>
      <c r="AZ160" s="137"/>
      <c r="BA160" s="114"/>
      <c r="BB160" s="114"/>
      <c r="BC160" s="114"/>
      <c r="BD160" s="137"/>
      <c r="BE160" s="137">
        <v>120000.0</v>
      </c>
      <c r="BF160" s="121" t="s">
        <v>424</v>
      </c>
      <c r="BG160" s="137"/>
      <c r="BH160" s="137"/>
      <c r="BI160" s="137"/>
      <c r="BJ160" s="137"/>
      <c r="BK160" s="137"/>
      <c r="BL160" s="137"/>
      <c r="BM160" s="137"/>
      <c r="BN160" s="123">
        <f t="shared" si="31"/>
        <v>120000</v>
      </c>
      <c r="BO160" s="117">
        <v>0.0</v>
      </c>
      <c r="BP160" s="117">
        <v>0.0</v>
      </c>
      <c r="BQ160" s="118">
        <v>0.0</v>
      </c>
      <c r="BR160" s="119">
        <f t="shared" si="33"/>
        <v>120000</v>
      </c>
    </row>
    <row r="161" ht="27.0" customHeight="1">
      <c r="A161" s="12">
        <f t="shared" si="34"/>
        <v>157</v>
      </c>
      <c r="B161" s="71" t="s">
        <v>163</v>
      </c>
      <c r="C161" s="15">
        <v>989.0</v>
      </c>
      <c r="D161" s="16" t="s">
        <v>219</v>
      </c>
      <c r="E161" s="16" t="s">
        <v>220</v>
      </c>
      <c r="F161" s="124">
        <v>11954.0</v>
      </c>
      <c r="G161" s="40" t="s">
        <v>807</v>
      </c>
      <c r="H161" s="40" t="s">
        <v>808</v>
      </c>
      <c r="I161" s="40"/>
      <c r="J161" s="15" t="s">
        <v>432</v>
      </c>
      <c r="K161" s="20" t="s">
        <v>421</v>
      </c>
      <c r="L161" s="21" t="s">
        <v>338</v>
      </c>
      <c r="M161" s="21"/>
      <c r="N161" s="109">
        <v>45422.0</v>
      </c>
      <c r="O161" s="109">
        <v>45422.0</v>
      </c>
      <c r="P161" s="110" t="s">
        <v>422</v>
      </c>
      <c r="Q161" s="111">
        <v>45768.0</v>
      </c>
      <c r="R161" s="112"/>
      <c r="S161" s="21" t="s">
        <v>423</v>
      </c>
      <c r="T161" s="21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3"/>
      <c r="AK161" s="113"/>
      <c r="AL161" s="113"/>
      <c r="AM161" s="114">
        <v>181720.0</v>
      </c>
      <c r="AN161" s="114" t="s">
        <v>424</v>
      </c>
      <c r="AO161" s="114"/>
      <c r="AP161" s="114"/>
      <c r="AQ161" s="114"/>
      <c r="AR161" s="114"/>
      <c r="AS161" s="114"/>
      <c r="AT161" s="121"/>
      <c r="AU161" s="114"/>
      <c r="AV161" s="114"/>
      <c r="AW161" s="114"/>
      <c r="AX161" s="114"/>
      <c r="AY161" s="114"/>
      <c r="AZ161" s="114"/>
      <c r="BA161" s="114"/>
      <c r="BB161" s="114"/>
      <c r="BC161" s="114"/>
      <c r="BD161" s="114"/>
      <c r="BE161" s="114"/>
      <c r="BF161" s="121"/>
      <c r="BG161" s="114"/>
      <c r="BH161" s="114"/>
      <c r="BI161" s="114"/>
      <c r="BJ161" s="114"/>
      <c r="BK161" s="114"/>
      <c r="BL161" s="114"/>
      <c r="BM161" s="114"/>
      <c r="BN161" s="116">
        <f t="shared" si="31"/>
        <v>0</v>
      </c>
      <c r="BO161" s="117">
        <v>181720.0</v>
      </c>
      <c r="BP161" s="117">
        <v>0.0</v>
      </c>
      <c r="BQ161" s="118">
        <f t="shared" ref="BQ161:BQ165" si="39">sum(U161:BH161)</f>
        <v>181720</v>
      </c>
      <c r="BR161" s="119">
        <f t="shared" si="33"/>
        <v>181720</v>
      </c>
    </row>
    <row r="162" ht="27.0" customHeight="1">
      <c r="A162" s="12">
        <f t="shared" si="34"/>
        <v>158</v>
      </c>
      <c r="B162" s="71" t="s">
        <v>163</v>
      </c>
      <c r="C162" s="15">
        <v>989.0</v>
      </c>
      <c r="D162" s="16" t="s">
        <v>219</v>
      </c>
      <c r="E162" s="16" t="s">
        <v>220</v>
      </c>
      <c r="F162" s="122" t="s">
        <v>809</v>
      </c>
      <c r="G162" s="40" t="s">
        <v>810</v>
      </c>
      <c r="H162" s="40" t="s">
        <v>811</v>
      </c>
      <c r="I162" s="40"/>
      <c r="J162" s="15" t="s">
        <v>420</v>
      </c>
      <c r="K162" s="20" t="s">
        <v>421</v>
      </c>
      <c r="L162" s="21" t="s">
        <v>338</v>
      </c>
      <c r="M162" s="21"/>
      <c r="N162" s="109">
        <v>45534.0</v>
      </c>
      <c r="O162" s="109">
        <v>45540.0</v>
      </c>
      <c r="P162" s="110" t="s">
        <v>422</v>
      </c>
      <c r="Q162" s="111">
        <v>45768.0</v>
      </c>
      <c r="R162" s="112"/>
      <c r="S162" s="21" t="s">
        <v>423</v>
      </c>
      <c r="T162" s="21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3"/>
      <c r="AK162" s="113"/>
      <c r="AL162" s="113"/>
      <c r="AM162" s="114"/>
      <c r="AN162" s="114"/>
      <c r="AO162" s="114"/>
      <c r="AP162" s="114">
        <v>150000.0</v>
      </c>
      <c r="AQ162" s="114" t="s">
        <v>424</v>
      </c>
      <c r="AR162" s="114"/>
      <c r="AS162" s="114"/>
      <c r="AT162" s="121"/>
      <c r="AU162" s="114"/>
      <c r="AV162" s="114"/>
      <c r="AW162" s="114"/>
      <c r="AX162" s="114"/>
      <c r="AY162" s="114"/>
      <c r="AZ162" s="114"/>
      <c r="BA162" s="114"/>
      <c r="BB162" s="114"/>
      <c r="BC162" s="114"/>
      <c r="BD162" s="114"/>
      <c r="BE162" s="114"/>
      <c r="BF162" s="121"/>
      <c r="BG162" s="114"/>
      <c r="BH162" s="114"/>
      <c r="BI162" s="114"/>
      <c r="BJ162" s="114"/>
      <c r="BK162" s="114"/>
      <c r="BL162" s="114"/>
      <c r="BM162" s="114"/>
      <c r="BN162" s="116">
        <f t="shared" si="31"/>
        <v>0</v>
      </c>
      <c r="BO162" s="117">
        <v>150000.0</v>
      </c>
      <c r="BP162" s="117">
        <v>0.0</v>
      </c>
      <c r="BQ162" s="118">
        <f t="shared" si="39"/>
        <v>150000</v>
      </c>
      <c r="BR162" s="119">
        <f t="shared" si="33"/>
        <v>150000</v>
      </c>
    </row>
    <row r="163" ht="27.0" customHeight="1">
      <c r="A163" s="12">
        <f t="shared" si="34"/>
        <v>159</v>
      </c>
      <c r="B163" s="71" t="s">
        <v>163</v>
      </c>
      <c r="C163" s="15">
        <v>989.0</v>
      </c>
      <c r="D163" s="16" t="s">
        <v>219</v>
      </c>
      <c r="E163" s="16" t="s">
        <v>220</v>
      </c>
      <c r="F163" s="122">
        <v>13503.0</v>
      </c>
      <c r="G163" s="40" t="s">
        <v>812</v>
      </c>
      <c r="H163" s="40" t="s">
        <v>813</v>
      </c>
      <c r="I163" s="40"/>
      <c r="J163" s="15" t="s">
        <v>420</v>
      </c>
      <c r="K163" s="20" t="s">
        <v>439</v>
      </c>
      <c r="L163" s="21" t="s">
        <v>338</v>
      </c>
      <c r="M163" s="21"/>
      <c r="N163" s="109">
        <v>45574.0</v>
      </c>
      <c r="O163" s="109">
        <v>45574.0</v>
      </c>
      <c r="P163" s="110" t="s">
        <v>422</v>
      </c>
      <c r="Q163" s="111">
        <v>45768.0</v>
      </c>
      <c r="R163" s="112"/>
      <c r="S163" s="21" t="s">
        <v>423</v>
      </c>
      <c r="T163" s="21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3"/>
      <c r="AK163" s="113"/>
      <c r="AL163" s="113"/>
      <c r="AM163" s="114"/>
      <c r="AN163" s="114"/>
      <c r="AO163" s="114"/>
      <c r="AP163" s="114"/>
      <c r="AQ163" s="114"/>
      <c r="AR163" s="114">
        <f>12500*6</f>
        <v>75000</v>
      </c>
      <c r="AS163" s="114" t="s">
        <v>128</v>
      </c>
      <c r="AT163" s="121" t="s">
        <v>128</v>
      </c>
      <c r="AU163" s="114" t="s">
        <v>128</v>
      </c>
      <c r="AV163" s="114" t="s">
        <v>128</v>
      </c>
      <c r="AW163" s="114">
        <f>12500*6</f>
        <v>75000</v>
      </c>
      <c r="AX163" s="114" t="s">
        <v>632</v>
      </c>
      <c r="AY163" s="114"/>
      <c r="AZ163" s="114"/>
      <c r="BA163" s="114"/>
      <c r="BB163" s="114"/>
      <c r="BC163" s="114"/>
      <c r="BD163" s="114"/>
      <c r="BE163" s="114"/>
      <c r="BF163" s="121"/>
      <c r="BG163" s="114"/>
      <c r="BH163" s="114"/>
      <c r="BI163" s="114"/>
      <c r="BJ163" s="114"/>
      <c r="BK163" s="114"/>
      <c r="BL163" s="114"/>
      <c r="BM163" s="114"/>
      <c r="BN163" s="116">
        <f t="shared" si="31"/>
        <v>0</v>
      </c>
      <c r="BO163" s="117">
        <v>150000.0</v>
      </c>
      <c r="BP163" s="117">
        <v>0.0</v>
      </c>
      <c r="BQ163" s="118">
        <f t="shared" si="39"/>
        <v>150000</v>
      </c>
      <c r="BR163" s="119">
        <f t="shared" si="33"/>
        <v>150000</v>
      </c>
    </row>
    <row r="164" ht="27.0" customHeight="1">
      <c r="A164" s="12">
        <f t="shared" si="34"/>
        <v>160</v>
      </c>
      <c r="B164" s="71" t="s">
        <v>163</v>
      </c>
      <c r="C164" s="15">
        <v>989.0</v>
      </c>
      <c r="D164" s="16" t="s">
        <v>219</v>
      </c>
      <c r="E164" s="16" t="s">
        <v>220</v>
      </c>
      <c r="F164" s="122">
        <v>13940.0</v>
      </c>
      <c r="G164" s="40" t="s">
        <v>814</v>
      </c>
      <c r="H164" s="40" t="s">
        <v>815</v>
      </c>
      <c r="I164" s="40"/>
      <c r="J164" s="15" t="s">
        <v>432</v>
      </c>
      <c r="K164" s="20" t="s">
        <v>421</v>
      </c>
      <c r="L164" s="21" t="s">
        <v>338</v>
      </c>
      <c r="M164" s="21"/>
      <c r="N164" s="109">
        <v>45636.0</v>
      </c>
      <c r="O164" s="109">
        <v>45636.0</v>
      </c>
      <c r="P164" s="110" t="s">
        <v>422</v>
      </c>
      <c r="Q164" s="111">
        <v>45768.0</v>
      </c>
      <c r="R164" s="112"/>
      <c r="S164" s="21" t="s">
        <v>423</v>
      </c>
      <c r="T164" s="21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3"/>
      <c r="AJ164" s="113"/>
      <c r="AK164" s="113"/>
      <c r="AL164" s="113"/>
      <c r="AM164" s="114"/>
      <c r="AN164" s="114"/>
      <c r="AO164" s="114"/>
      <c r="AP164" s="114"/>
      <c r="AQ164" s="114"/>
      <c r="AR164" s="114"/>
      <c r="AS164" s="114"/>
      <c r="AT164" s="121">
        <v>181720.0</v>
      </c>
      <c r="AU164" s="114" t="s">
        <v>424</v>
      </c>
      <c r="AV164" s="114"/>
      <c r="AW164" s="114"/>
      <c r="AX164" s="114"/>
      <c r="AY164" s="114"/>
      <c r="AZ164" s="114"/>
      <c r="BA164" s="114"/>
      <c r="BB164" s="114"/>
      <c r="BC164" s="114"/>
      <c r="BD164" s="114"/>
      <c r="BE164" s="114"/>
      <c r="BF164" s="121"/>
      <c r="BG164" s="114"/>
      <c r="BH164" s="114"/>
      <c r="BI164" s="114"/>
      <c r="BJ164" s="114"/>
      <c r="BK164" s="114"/>
      <c r="BL164" s="114"/>
      <c r="BM164" s="114"/>
      <c r="BN164" s="116">
        <f t="shared" si="31"/>
        <v>0</v>
      </c>
      <c r="BO164" s="117">
        <v>181720.0</v>
      </c>
      <c r="BP164" s="117">
        <v>0.0</v>
      </c>
      <c r="BQ164" s="118">
        <f t="shared" si="39"/>
        <v>181720</v>
      </c>
      <c r="BR164" s="119">
        <f t="shared" si="33"/>
        <v>181720</v>
      </c>
    </row>
    <row r="165" ht="27.0" customHeight="1">
      <c r="A165" s="12">
        <f t="shared" si="34"/>
        <v>161</v>
      </c>
      <c r="B165" s="71" t="s">
        <v>163</v>
      </c>
      <c r="C165" s="15">
        <v>989.0</v>
      </c>
      <c r="D165" s="16" t="s">
        <v>219</v>
      </c>
      <c r="E165" s="16" t="s">
        <v>220</v>
      </c>
      <c r="F165" s="122">
        <v>14570.0</v>
      </c>
      <c r="G165" s="69" t="s">
        <v>816</v>
      </c>
      <c r="H165" s="155" t="s">
        <v>817</v>
      </c>
      <c r="I165" s="155"/>
      <c r="J165" s="15" t="s">
        <v>420</v>
      </c>
      <c r="K165" s="20" t="s">
        <v>421</v>
      </c>
      <c r="L165" s="21" t="s">
        <v>338</v>
      </c>
      <c r="M165" s="21"/>
      <c r="N165" s="109">
        <v>45692.0</v>
      </c>
      <c r="O165" s="109">
        <v>45694.0</v>
      </c>
      <c r="P165" s="110" t="s">
        <v>422</v>
      </c>
      <c r="Q165" s="111">
        <v>45768.0</v>
      </c>
      <c r="R165" s="112"/>
      <c r="S165" s="21" t="s">
        <v>423</v>
      </c>
      <c r="T165" s="21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3"/>
      <c r="AJ165" s="113"/>
      <c r="AK165" s="113"/>
      <c r="AL165" s="113"/>
      <c r="AM165" s="114"/>
      <c r="AN165" s="114"/>
      <c r="AO165" s="114"/>
      <c r="AP165" s="114"/>
      <c r="AQ165" s="114"/>
      <c r="AR165" s="114"/>
      <c r="AS165" s="114"/>
      <c r="AT165" s="121"/>
      <c r="AU165" s="114"/>
      <c r="AV165" s="114">
        <v>150000.0</v>
      </c>
      <c r="AW165" s="114" t="s">
        <v>424</v>
      </c>
      <c r="AX165" s="114"/>
      <c r="AY165" s="114"/>
      <c r="AZ165" s="114"/>
      <c r="BA165" s="114"/>
      <c r="BB165" s="114"/>
      <c r="BC165" s="114"/>
      <c r="BD165" s="114"/>
      <c r="BE165" s="114"/>
      <c r="BF165" s="121"/>
      <c r="BG165" s="114"/>
      <c r="BH165" s="114"/>
      <c r="BI165" s="114"/>
      <c r="BJ165" s="114"/>
      <c r="BK165" s="114"/>
      <c r="BL165" s="114"/>
      <c r="BM165" s="114"/>
      <c r="BN165" s="116">
        <f t="shared" si="31"/>
        <v>0</v>
      </c>
      <c r="BO165" s="117">
        <v>150000.0</v>
      </c>
      <c r="BP165" s="117">
        <v>0.0</v>
      </c>
      <c r="BQ165" s="118">
        <f t="shared" si="39"/>
        <v>150000</v>
      </c>
      <c r="BR165" s="119">
        <f t="shared" si="33"/>
        <v>150000</v>
      </c>
    </row>
    <row r="166" ht="27.0" customHeight="1">
      <c r="A166" s="12">
        <f t="shared" si="34"/>
        <v>162</v>
      </c>
      <c r="B166" s="71" t="s">
        <v>163</v>
      </c>
      <c r="C166" s="15">
        <v>989.0</v>
      </c>
      <c r="D166" s="16" t="s">
        <v>219</v>
      </c>
      <c r="E166" s="16" t="s">
        <v>220</v>
      </c>
      <c r="F166" s="200" t="s">
        <v>818</v>
      </c>
      <c r="G166" s="201" t="s">
        <v>819</v>
      </c>
      <c r="H166" s="30" t="s">
        <v>820</v>
      </c>
      <c r="I166" s="202" t="s">
        <v>821</v>
      </c>
      <c r="J166" s="15" t="s">
        <v>420</v>
      </c>
      <c r="K166" s="20" t="s">
        <v>439</v>
      </c>
      <c r="L166" s="21" t="s">
        <v>338</v>
      </c>
      <c r="M166" s="21"/>
      <c r="N166" s="109">
        <v>45897.0</v>
      </c>
      <c r="O166" s="109">
        <v>45897.0</v>
      </c>
      <c r="P166" s="110" t="s">
        <v>512</v>
      </c>
      <c r="Q166" s="111">
        <v>46205.0</v>
      </c>
      <c r="R166" s="112"/>
      <c r="S166" s="21" t="s">
        <v>423</v>
      </c>
      <c r="T166" s="21" t="s">
        <v>434</v>
      </c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3"/>
      <c r="AJ166" s="113"/>
      <c r="AK166" s="113"/>
      <c r="AL166" s="113"/>
      <c r="AM166" s="114"/>
      <c r="AN166" s="114"/>
      <c r="AO166" s="114"/>
      <c r="AP166" s="114"/>
      <c r="AQ166" s="114"/>
      <c r="AR166" s="114"/>
      <c r="AS166" s="114"/>
      <c r="AT166" s="121"/>
      <c r="AU166" s="114"/>
      <c r="AV166" s="114"/>
      <c r="AW166" s="114"/>
      <c r="AX166" s="114"/>
      <c r="AY166" s="114"/>
      <c r="AZ166" s="114"/>
      <c r="BA166" s="114"/>
      <c r="BB166" s="137">
        <v>75000.0</v>
      </c>
      <c r="BC166" s="113" t="s">
        <v>128</v>
      </c>
      <c r="BD166" s="113" t="s">
        <v>128</v>
      </c>
      <c r="BE166" s="113" t="s">
        <v>128</v>
      </c>
      <c r="BF166" s="115" t="s">
        <v>128</v>
      </c>
      <c r="BG166" s="113" t="s">
        <v>128</v>
      </c>
      <c r="BH166" s="113" t="s">
        <v>128</v>
      </c>
      <c r="BI166" s="126" t="s">
        <v>440</v>
      </c>
      <c r="BJ166" s="126" t="s">
        <v>440</v>
      </c>
      <c r="BK166" s="126" t="s">
        <v>440</v>
      </c>
      <c r="BL166" s="126" t="s">
        <v>440</v>
      </c>
      <c r="BM166" s="203"/>
      <c r="BN166" s="123">
        <f t="shared" si="31"/>
        <v>0</v>
      </c>
      <c r="BO166" s="117">
        <v>75000.0</v>
      </c>
      <c r="BP166" s="117">
        <v>0.0</v>
      </c>
      <c r="BQ166" s="118">
        <f t="shared" ref="BQ166:BQ168" si="40">BO166</f>
        <v>75000</v>
      </c>
      <c r="BR166" s="119">
        <f t="shared" si="33"/>
        <v>75000</v>
      </c>
    </row>
    <row r="167" ht="27.0" customHeight="1">
      <c r="A167" s="12">
        <f t="shared" si="34"/>
        <v>163</v>
      </c>
      <c r="B167" s="71" t="s">
        <v>163</v>
      </c>
      <c r="C167" s="15">
        <v>989.0</v>
      </c>
      <c r="D167" s="16" t="s">
        <v>219</v>
      </c>
      <c r="E167" s="16" t="s">
        <v>220</v>
      </c>
      <c r="F167" s="204" t="s">
        <v>822</v>
      </c>
      <c r="G167" s="205" t="s">
        <v>823</v>
      </c>
      <c r="H167" s="30" t="s">
        <v>824</v>
      </c>
      <c r="I167" s="202" t="s">
        <v>825</v>
      </c>
      <c r="J167" s="15" t="s">
        <v>420</v>
      </c>
      <c r="K167" s="20" t="s">
        <v>421</v>
      </c>
      <c r="L167" s="21" t="s">
        <v>338</v>
      </c>
      <c r="M167" s="21"/>
      <c r="N167" s="109"/>
      <c r="O167" s="109"/>
      <c r="P167" s="110" t="s">
        <v>449</v>
      </c>
      <c r="Q167" s="111">
        <v>46205.0</v>
      </c>
      <c r="R167" s="112"/>
      <c r="S167" s="21" t="s">
        <v>423</v>
      </c>
      <c r="T167" s="21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3"/>
      <c r="AJ167" s="113"/>
      <c r="AK167" s="113"/>
      <c r="AL167" s="113"/>
      <c r="AM167" s="114"/>
      <c r="AN167" s="114"/>
      <c r="AO167" s="114"/>
      <c r="AP167" s="114"/>
      <c r="AQ167" s="114"/>
      <c r="AR167" s="114"/>
      <c r="AS167" s="114"/>
      <c r="AT167" s="121"/>
      <c r="AU167" s="114"/>
      <c r="AV167" s="114"/>
      <c r="AW167" s="114"/>
      <c r="AX167" s="114"/>
      <c r="AY167" s="114"/>
      <c r="AZ167" s="114"/>
      <c r="BA167" s="114"/>
      <c r="BB167" s="137"/>
      <c r="BC167" s="113"/>
      <c r="BD167" s="113"/>
      <c r="BE167" s="113"/>
      <c r="BF167" s="115"/>
      <c r="BG167" s="113"/>
      <c r="BH167" s="113"/>
      <c r="BI167" s="126"/>
      <c r="BJ167" s="126"/>
      <c r="BK167" s="126"/>
      <c r="BL167" s="113">
        <v>180000.0</v>
      </c>
      <c r="BM167" s="114" t="s">
        <v>424</v>
      </c>
      <c r="BN167" s="123">
        <f t="shared" si="31"/>
        <v>0</v>
      </c>
      <c r="BO167" s="117">
        <v>180000.0</v>
      </c>
      <c r="BP167" s="117">
        <v>0.0</v>
      </c>
      <c r="BQ167" s="118">
        <f t="shared" si="40"/>
        <v>180000</v>
      </c>
      <c r="BR167" s="119">
        <f t="shared" ref="BR167:BR168" si="41">SUM(U167:BL167)</f>
        <v>180000</v>
      </c>
    </row>
    <row r="168" ht="27.0" customHeight="1">
      <c r="A168" s="12">
        <f t="shared" si="34"/>
        <v>164</v>
      </c>
      <c r="B168" s="71"/>
      <c r="C168" s="15">
        <v>989.0</v>
      </c>
      <c r="D168" s="16" t="s">
        <v>219</v>
      </c>
      <c r="E168" s="16" t="s">
        <v>220</v>
      </c>
      <c r="F168" s="204" t="s">
        <v>826</v>
      </c>
      <c r="G168" s="205" t="s">
        <v>827</v>
      </c>
      <c r="H168" s="30" t="s">
        <v>828</v>
      </c>
      <c r="I168" s="202" t="s">
        <v>829</v>
      </c>
      <c r="J168" s="15" t="s">
        <v>420</v>
      </c>
      <c r="K168" s="20" t="s">
        <v>446</v>
      </c>
      <c r="L168" s="21" t="s">
        <v>338</v>
      </c>
      <c r="M168" s="21"/>
      <c r="N168" s="109"/>
      <c r="O168" s="109"/>
      <c r="P168" s="110" t="s">
        <v>449</v>
      </c>
      <c r="Q168" s="111">
        <v>46205.0</v>
      </c>
      <c r="R168" s="112"/>
      <c r="S168" s="21" t="s">
        <v>423</v>
      </c>
      <c r="T168" s="21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3"/>
      <c r="AJ168" s="113"/>
      <c r="AK168" s="113"/>
      <c r="AL168" s="113"/>
      <c r="AM168" s="114"/>
      <c r="AN168" s="114"/>
      <c r="AO168" s="114"/>
      <c r="AP168" s="114"/>
      <c r="AQ168" s="114"/>
      <c r="AR168" s="114"/>
      <c r="AS168" s="114"/>
      <c r="AT168" s="121"/>
      <c r="AU168" s="114"/>
      <c r="AV168" s="114"/>
      <c r="AW168" s="114"/>
      <c r="AX168" s="114"/>
      <c r="AY168" s="114"/>
      <c r="AZ168" s="114"/>
      <c r="BA168" s="114"/>
      <c r="BB168" s="137"/>
      <c r="BC168" s="113"/>
      <c r="BD168" s="113"/>
      <c r="BE168" s="113"/>
      <c r="BF168" s="115"/>
      <c r="BG168" s="113"/>
      <c r="BH168" s="113"/>
      <c r="BI168" s="126"/>
      <c r="BJ168" s="126"/>
      <c r="BK168" s="126"/>
      <c r="BL168" s="113">
        <v>120000.0</v>
      </c>
      <c r="BM168" s="114" t="s">
        <v>424</v>
      </c>
      <c r="BN168" s="123">
        <f t="shared" si="31"/>
        <v>0</v>
      </c>
      <c r="BO168" s="117">
        <v>120000.0</v>
      </c>
      <c r="BP168" s="117">
        <v>0.0</v>
      </c>
      <c r="BQ168" s="118">
        <f t="shared" si="40"/>
        <v>120000</v>
      </c>
      <c r="BR168" s="119">
        <f t="shared" si="41"/>
        <v>120000</v>
      </c>
    </row>
    <row r="169" ht="27.0" customHeight="1">
      <c r="A169" s="12">
        <f t="shared" si="34"/>
        <v>165</v>
      </c>
      <c r="B169" s="71" t="s">
        <v>163</v>
      </c>
      <c r="C169" s="15" t="s">
        <v>128</v>
      </c>
      <c r="D169" s="16" t="s">
        <v>227</v>
      </c>
      <c r="E169" s="16" t="s">
        <v>228</v>
      </c>
      <c r="F169" s="124">
        <v>9080.0</v>
      </c>
      <c r="G169" s="30" t="s">
        <v>830</v>
      </c>
      <c r="H169" s="30" t="s">
        <v>831</v>
      </c>
      <c r="I169" s="30"/>
      <c r="J169" s="15" t="s">
        <v>420</v>
      </c>
      <c r="K169" s="20" t="s">
        <v>443</v>
      </c>
      <c r="L169" s="21" t="s">
        <v>338</v>
      </c>
      <c r="M169" s="21"/>
      <c r="N169" s="109">
        <v>45082.0</v>
      </c>
      <c r="O169" s="109">
        <v>45417.0</v>
      </c>
      <c r="P169" s="110" t="s">
        <v>422</v>
      </c>
      <c r="Q169" s="111"/>
      <c r="R169" s="112"/>
      <c r="S169" s="21" t="s">
        <v>433</v>
      </c>
      <c r="T169" s="21" t="s">
        <v>434</v>
      </c>
      <c r="U169" s="206"/>
      <c r="V169" s="206"/>
      <c r="W169" s="206"/>
      <c r="X169" s="206"/>
      <c r="Y169" s="206"/>
      <c r="Z169" s="206"/>
      <c r="AA169" s="206"/>
      <c r="AB169" s="113">
        <v>8333.0</v>
      </c>
      <c r="AC169" s="113">
        <v>8333.0</v>
      </c>
      <c r="AD169" s="113">
        <v>8333.0</v>
      </c>
      <c r="AE169" s="113">
        <v>8333.0</v>
      </c>
      <c r="AF169" s="113">
        <v>8333.0</v>
      </c>
      <c r="AG169" s="113">
        <v>8333.0</v>
      </c>
      <c r="AH169" s="113">
        <v>8333.0</v>
      </c>
      <c r="AI169" s="113">
        <v>8333.0</v>
      </c>
      <c r="AJ169" s="113">
        <v>8333.0</v>
      </c>
      <c r="AK169" s="113">
        <v>8333.0</v>
      </c>
      <c r="AL169" s="113">
        <v>8333.0</v>
      </c>
      <c r="AM169" s="113">
        <v>8333.0</v>
      </c>
      <c r="AN169" s="114" t="s">
        <v>424</v>
      </c>
      <c r="AO169" s="137"/>
      <c r="AP169" s="137"/>
      <c r="AQ169" s="137"/>
      <c r="AR169" s="137"/>
      <c r="AS169" s="137"/>
      <c r="AT169" s="139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9"/>
      <c r="BG169" s="137"/>
      <c r="BH169" s="137"/>
      <c r="BI169" s="137"/>
      <c r="BJ169" s="137"/>
      <c r="BK169" s="137"/>
      <c r="BL169" s="137"/>
      <c r="BM169" s="137"/>
      <c r="BN169" s="123">
        <f t="shared" si="31"/>
        <v>99996</v>
      </c>
      <c r="BO169" s="117">
        <v>0.0</v>
      </c>
      <c r="BP169" s="117">
        <v>0.0</v>
      </c>
      <c r="BQ169" s="118">
        <v>0.0</v>
      </c>
      <c r="BR169" s="119">
        <f t="shared" ref="BR169:BR208" si="42">SUM(U169:BJ169)</f>
        <v>99996</v>
      </c>
    </row>
    <row r="170" ht="27.0" customHeight="1">
      <c r="A170" s="12">
        <f t="shared" si="34"/>
        <v>166</v>
      </c>
      <c r="B170" s="71" t="s">
        <v>163</v>
      </c>
      <c r="C170" s="15" t="s">
        <v>128</v>
      </c>
      <c r="D170" s="40" t="s">
        <v>227</v>
      </c>
      <c r="E170" s="40" t="s">
        <v>228</v>
      </c>
      <c r="F170" s="25" t="s">
        <v>832</v>
      </c>
      <c r="G170" s="30" t="s">
        <v>833</v>
      </c>
      <c r="H170" s="30" t="s">
        <v>834</v>
      </c>
      <c r="I170" s="30"/>
      <c r="J170" s="15" t="s">
        <v>420</v>
      </c>
      <c r="K170" s="20" t="s">
        <v>835</v>
      </c>
      <c r="L170" s="21" t="s">
        <v>338</v>
      </c>
      <c r="M170" s="21"/>
      <c r="N170" s="109">
        <v>45953.0</v>
      </c>
      <c r="O170" s="109">
        <v>45959.0</v>
      </c>
      <c r="P170" s="110" t="s">
        <v>512</v>
      </c>
      <c r="Q170" s="111"/>
      <c r="R170" s="112"/>
      <c r="S170" s="21" t="s">
        <v>433</v>
      </c>
      <c r="T170" s="21" t="s">
        <v>434</v>
      </c>
      <c r="U170" s="206"/>
      <c r="V170" s="206"/>
      <c r="W170" s="206"/>
      <c r="X170" s="206"/>
      <c r="Y170" s="206"/>
      <c r="Z170" s="206"/>
      <c r="AA170" s="206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4"/>
      <c r="AO170" s="137"/>
      <c r="AP170" s="137"/>
      <c r="AQ170" s="137"/>
      <c r="AR170" s="137"/>
      <c r="AS170" s="137"/>
      <c r="AT170" s="139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>
        <f>(180000/12)*9</f>
        <v>135000</v>
      </c>
      <c r="BE170" s="113" t="s">
        <v>128</v>
      </c>
      <c r="BF170" s="115" t="s">
        <v>128</v>
      </c>
      <c r="BG170" s="113" t="s">
        <v>128</v>
      </c>
      <c r="BH170" s="113" t="s">
        <v>128</v>
      </c>
      <c r="BI170" s="113" t="s">
        <v>128</v>
      </c>
      <c r="BJ170" s="113" t="s">
        <v>128</v>
      </c>
      <c r="BK170" s="113" t="s">
        <v>128</v>
      </c>
      <c r="BL170" s="113" t="s">
        <v>128</v>
      </c>
      <c r="BM170" s="113" t="s">
        <v>128</v>
      </c>
      <c r="BN170" s="123">
        <f t="shared" si="31"/>
        <v>135000</v>
      </c>
      <c r="BO170" s="117">
        <v>0.0</v>
      </c>
      <c r="BP170" s="117">
        <v>0.0</v>
      </c>
      <c r="BQ170" s="118">
        <v>0.0</v>
      </c>
      <c r="BR170" s="119">
        <f t="shared" si="42"/>
        <v>135000</v>
      </c>
    </row>
    <row r="171" ht="27.0" customHeight="1">
      <c r="A171" s="12">
        <f t="shared" si="34"/>
        <v>167</v>
      </c>
      <c r="B171" s="71" t="s">
        <v>163</v>
      </c>
      <c r="C171" s="15">
        <v>6509.0</v>
      </c>
      <c r="D171" s="51" t="s">
        <v>836</v>
      </c>
      <c r="E171" s="207" t="s">
        <v>837</v>
      </c>
      <c r="F171" s="124">
        <v>9074.0</v>
      </c>
      <c r="G171" s="30" t="s">
        <v>838</v>
      </c>
      <c r="H171" s="30" t="s">
        <v>839</v>
      </c>
      <c r="I171" s="30"/>
      <c r="J171" s="15" t="s">
        <v>420</v>
      </c>
      <c r="K171" s="20" t="s">
        <v>421</v>
      </c>
      <c r="L171" s="21" t="s">
        <v>338</v>
      </c>
      <c r="M171" s="21"/>
      <c r="N171" s="109">
        <v>45072.0</v>
      </c>
      <c r="O171" s="109">
        <v>45429.0</v>
      </c>
      <c r="P171" s="110" t="s">
        <v>422</v>
      </c>
      <c r="Q171" s="111"/>
      <c r="R171" s="112"/>
      <c r="S171" s="21" t="s">
        <v>433</v>
      </c>
      <c r="T171" s="21" t="s">
        <v>434</v>
      </c>
      <c r="U171" s="114"/>
      <c r="V171" s="114"/>
      <c r="W171" s="114"/>
      <c r="X171" s="114"/>
      <c r="Y171" s="114"/>
      <c r="Z171" s="114"/>
      <c r="AA171" s="137">
        <v>150000.0</v>
      </c>
      <c r="AB171" s="114" t="s">
        <v>424</v>
      </c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14"/>
      <c r="AN171" s="114"/>
      <c r="AO171" s="114"/>
      <c r="AP171" s="114"/>
      <c r="AQ171" s="114"/>
      <c r="AR171" s="114"/>
      <c r="AS171" s="114"/>
      <c r="AT171" s="121"/>
      <c r="AU171" s="114"/>
      <c r="AV171" s="114"/>
      <c r="AW171" s="114"/>
      <c r="AX171" s="114"/>
      <c r="AY171" s="114"/>
      <c r="AZ171" s="114"/>
      <c r="BA171" s="114"/>
      <c r="BB171" s="114"/>
      <c r="BC171" s="114"/>
      <c r="BD171" s="114"/>
      <c r="BE171" s="114"/>
      <c r="BF171" s="121"/>
      <c r="BG171" s="114"/>
      <c r="BH171" s="114"/>
      <c r="BI171" s="114"/>
      <c r="BJ171" s="114"/>
      <c r="BK171" s="114"/>
      <c r="BL171" s="114"/>
      <c r="BM171" s="114"/>
      <c r="BN171" s="123">
        <f t="shared" si="31"/>
        <v>150000</v>
      </c>
      <c r="BO171" s="117">
        <v>0.0</v>
      </c>
      <c r="BP171" s="117">
        <v>0.0</v>
      </c>
      <c r="BQ171" s="118">
        <v>0.0</v>
      </c>
      <c r="BR171" s="119">
        <f t="shared" si="42"/>
        <v>150000</v>
      </c>
    </row>
    <row r="172" ht="27.0" customHeight="1">
      <c r="A172" s="12">
        <f t="shared" si="34"/>
        <v>168</v>
      </c>
      <c r="B172" s="71" t="s">
        <v>163</v>
      </c>
      <c r="C172" s="15">
        <v>6509.0</v>
      </c>
      <c r="D172" s="51" t="s">
        <v>836</v>
      </c>
      <c r="E172" s="207" t="s">
        <v>837</v>
      </c>
      <c r="F172" s="124">
        <v>9815.0</v>
      </c>
      <c r="G172" s="30" t="s">
        <v>840</v>
      </c>
      <c r="H172" s="30" t="s">
        <v>841</v>
      </c>
      <c r="I172" s="30"/>
      <c r="J172" s="15" t="s">
        <v>420</v>
      </c>
      <c r="K172" s="20" t="s">
        <v>448</v>
      </c>
      <c r="L172" s="21" t="s">
        <v>338</v>
      </c>
      <c r="M172" s="21"/>
      <c r="N172" s="109">
        <v>45161.0</v>
      </c>
      <c r="O172" s="109">
        <v>45463.0</v>
      </c>
      <c r="P172" s="110" t="s">
        <v>422</v>
      </c>
      <c r="Q172" s="111"/>
      <c r="R172" s="112"/>
      <c r="S172" s="21" t="s">
        <v>433</v>
      </c>
      <c r="T172" s="21" t="s">
        <v>434</v>
      </c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3">
        <v>12500.0</v>
      </c>
      <c r="AE172" s="113">
        <v>12500.0</v>
      </c>
      <c r="AF172" s="113">
        <v>12500.0</v>
      </c>
      <c r="AG172" s="113">
        <v>12500.0</v>
      </c>
      <c r="AH172" s="113">
        <v>12500.0</v>
      </c>
      <c r="AI172" s="113">
        <v>12500.0</v>
      </c>
      <c r="AJ172" s="113">
        <v>12500.0</v>
      </c>
      <c r="AK172" s="113">
        <v>12500.0</v>
      </c>
      <c r="AL172" s="113">
        <v>12500.0</v>
      </c>
      <c r="AM172" s="113">
        <v>12500.0</v>
      </c>
      <c r="AN172" s="113">
        <v>12500.0</v>
      </c>
      <c r="AO172" s="113">
        <v>12500.0</v>
      </c>
      <c r="AP172" s="114" t="s">
        <v>424</v>
      </c>
      <c r="AQ172" s="113"/>
      <c r="AR172" s="113"/>
      <c r="AS172" s="113"/>
      <c r="AT172" s="115"/>
      <c r="AU172" s="113"/>
      <c r="AV172" s="113"/>
      <c r="AW172" s="113"/>
      <c r="AX172" s="113"/>
      <c r="AY172" s="113"/>
      <c r="AZ172" s="113"/>
      <c r="BA172" s="113"/>
      <c r="BB172" s="113"/>
      <c r="BC172" s="113"/>
      <c r="BD172" s="113"/>
      <c r="BE172" s="113"/>
      <c r="BF172" s="115"/>
      <c r="BG172" s="113"/>
      <c r="BH172" s="113"/>
      <c r="BI172" s="113"/>
      <c r="BJ172" s="113"/>
      <c r="BK172" s="113"/>
      <c r="BL172" s="113"/>
      <c r="BM172" s="113"/>
      <c r="BN172" s="123">
        <f t="shared" si="31"/>
        <v>150000</v>
      </c>
      <c r="BO172" s="117">
        <v>0.0</v>
      </c>
      <c r="BP172" s="117">
        <v>0.0</v>
      </c>
      <c r="BQ172" s="118">
        <v>0.0</v>
      </c>
      <c r="BR172" s="119">
        <f t="shared" si="42"/>
        <v>150000</v>
      </c>
    </row>
    <row r="173" ht="27.0" customHeight="1">
      <c r="A173" s="12">
        <f t="shared" si="34"/>
        <v>169</v>
      </c>
      <c r="B173" s="71" t="s">
        <v>163</v>
      </c>
      <c r="C173" s="15">
        <v>6509.0</v>
      </c>
      <c r="D173" s="51" t="s">
        <v>836</v>
      </c>
      <c r="E173" s="52" t="s">
        <v>837</v>
      </c>
      <c r="F173" s="124">
        <v>9815.0</v>
      </c>
      <c r="G173" s="30" t="s">
        <v>840</v>
      </c>
      <c r="H173" s="30" t="s">
        <v>842</v>
      </c>
      <c r="I173" s="30"/>
      <c r="J173" s="15" t="s">
        <v>420</v>
      </c>
      <c r="K173" s="20" t="s">
        <v>448</v>
      </c>
      <c r="L173" s="21" t="s">
        <v>338</v>
      </c>
      <c r="M173" s="21"/>
      <c r="N173" s="109">
        <v>45161.0</v>
      </c>
      <c r="O173" s="109">
        <v>45463.0</v>
      </c>
      <c r="P173" s="110" t="s">
        <v>422</v>
      </c>
      <c r="Q173" s="111"/>
      <c r="R173" s="112"/>
      <c r="S173" s="21" t="s">
        <v>433</v>
      </c>
      <c r="T173" s="21" t="s">
        <v>434</v>
      </c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3">
        <v>12500.0</v>
      </c>
      <c r="AE173" s="113">
        <v>12500.0</v>
      </c>
      <c r="AF173" s="113">
        <v>12500.0</v>
      </c>
      <c r="AG173" s="113">
        <v>12500.0</v>
      </c>
      <c r="AH173" s="113">
        <v>12500.0</v>
      </c>
      <c r="AI173" s="113">
        <v>12500.0</v>
      </c>
      <c r="AJ173" s="113">
        <v>12500.0</v>
      </c>
      <c r="AK173" s="113">
        <v>12500.0</v>
      </c>
      <c r="AL173" s="113">
        <v>12500.0</v>
      </c>
      <c r="AM173" s="113">
        <v>12500.0</v>
      </c>
      <c r="AN173" s="113">
        <v>12500.0</v>
      </c>
      <c r="AO173" s="113">
        <v>12500.0</v>
      </c>
      <c r="AP173" s="114" t="s">
        <v>424</v>
      </c>
      <c r="AQ173" s="113"/>
      <c r="AR173" s="113"/>
      <c r="AS173" s="113"/>
      <c r="AT173" s="115"/>
      <c r="AU173" s="113"/>
      <c r="AV173" s="113"/>
      <c r="AW173" s="113"/>
      <c r="AX173" s="113"/>
      <c r="AY173" s="113"/>
      <c r="AZ173" s="113"/>
      <c r="BA173" s="113"/>
      <c r="BB173" s="113"/>
      <c r="BC173" s="113"/>
      <c r="BD173" s="113"/>
      <c r="BE173" s="113"/>
      <c r="BF173" s="115"/>
      <c r="BG173" s="113"/>
      <c r="BH173" s="113"/>
      <c r="BI173" s="113"/>
      <c r="BJ173" s="113"/>
      <c r="BK173" s="113"/>
      <c r="BL173" s="113"/>
      <c r="BM173" s="113"/>
      <c r="BN173" s="123">
        <f t="shared" si="31"/>
        <v>150000</v>
      </c>
      <c r="BO173" s="117">
        <v>0.0</v>
      </c>
      <c r="BP173" s="117">
        <v>0.0</v>
      </c>
      <c r="BQ173" s="118">
        <v>0.0</v>
      </c>
      <c r="BR173" s="119">
        <f t="shared" si="42"/>
        <v>150000</v>
      </c>
    </row>
    <row r="174" ht="27.0" customHeight="1">
      <c r="A174" s="12">
        <f t="shared" si="34"/>
        <v>170</v>
      </c>
      <c r="B174" s="71" t="s">
        <v>163</v>
      </c>
      <c r="C174" s="15">
        <v>6509.0</v>
      </c>
      <c r="D174" s="51" t="s">
        <v>836</v>
      </c>
      <c r="E174" s="207" t="s">
        <v>837</v>
      </c>
      <c r="F174" s="124">
        <v>9902.0</v>
      </c>
      <c r="G174" s="30" t="s">
        <v>843</v>
      </c>
      <c r="H174" s="30" t="s">
        <v>843</v>
      </c>
      <c r="I174" s="30"/>
      <c r="J174" s="15" t="s">
        <v>420</v>
      </c>
      <c r="K174" s="20" t="s">
        <v>443</v>
      </c>
      <c r="L174" s="21" t="s">
        <v>338</v>
      </c>
      <c r="M174" s="21"/>
      <c r="N174" s="109">
        <v>45171.0</v>
      </c>
      <c r="O174" s="109">
        <v>45466.0</v>
      </c>
      <c r="P174" s="110" t="s">
        <v>422</v>
      </c>
      <c r="Q174" s="111"/>
      <c r="R174" s="112"/>
      <c r="S174" s="21" t="s">
        <v>433</v>
      </c>
      <c r="T174" s="21" t="s">
        <v>434</v>
      </c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3">
        <v>8333.0</v>
      </c>
      <c r="AF174" s="137" t="s">
        <v>128</v>
      </c>
      <c r="AG174" s="113">
        <v>8333.0</v>
      </c>
      <c r="AH174" s="113">
        <v>8333.0</v>
      </c>
      <c r="AI174" s="113">
        <v>8333.0</v>
      </c>
      <c r="AJ174" s="113">
        <v>8333.0</v>
      </c>
      <c r="AK174" s="113">
        <v>8333.0</v>
      </c>
      <c r="AL174" s="113">
        <v>8333.0</v>
      </c>
      <c r="AM174" s="113">
        <v>8333.0</v>
      </c>
      <c r="AN174" s="113">
        <v>8333.0</v>
      </c>
      <c r="AO174" s="113">
        <v>8333.0</v>
      </c>
      <c r="AP174" s="113">
        <v>8333.0</v>
      </c>
      <c r="AQ174" s="114" t="s">
        <v>424</v>
      </c>
      <c r="AR174" s="113"/>
      <c r="AS174" s="113"/>
      <c r="AT174" s="115"/>
      <c r="AU174" s="113"/>
      <c r="AV174" s="113"/>
      <c r="AW174" s="113"/>
      <c r="AX174" s="113"/>
      <c r="AY174" s="113"/>
      <c r="AZ174" s="113"/>
      <c r="BA174" s="113"/>
      <c r="BB174" s="113"/>
      <c r="BC174" s="113"/>
      <c r="BD174" s="113"/>
      <c r="BE174" s="113"/>
      <c r="BF174" s="115"/>
      <c r="BG174" s="113"/>
      <c r="BH174" s="113"/>
      <c r="BI174" s="113"/>
      <c r="BJ174" s="113"/>
      <c r="BK174" s="113"/>
      <c r="BL174" s="113"/>
      <c r="BM174" s="113"/>
      <c r="BN174" s="123">
        <f t="shared" si="31"/>
        <v>91663</v>
      </c>
      <c r="BO174" s="117">
        <v>0.0</v>
      </c>
      <c r="BP174" s="117">
        <v>0.0</v>
      </c>
      <c r="BQ174" s="118">
        <v>0.0</v>
      </c>
      <c r="BR174" s="119">
        <f t="shared" si="42"/>
        <v>91663</v>
      </c>
    </row>
    <row r="175" ht="27.0" customHeight="1">
      <c r="A175" s="12">
        <f t="shared" si="34"/>
        <v>171</v>
      </c>
      <c r="B175" s="71" t="s">
        <v>163</v>
      </c>
      <c r="C175" s="15">
        <v>6509.0</v>
      </c>
      <c r="D175" s="51" t="s">
        <v>836</v>
      </c>
      <c r="E175" s="207" t="s">
        <v>837</v>
      </c>
      <c r="F175" s="124">
        <v>10043.0</v>
      </c>
      <c r="G175" s="30" t="s">
        <v>844</v>
      </c>
      <c r="H175" s="30" t="s">
        <v>844</v>
      </c>
      <c r="I175" s="30"/>
      <c r="J175" s="15" t="s">
        <v>420</v>
      </c>
      <c r="K175" s="20" t="s">
        <v>421</v>
      </c>
      <c r="L175" s="21" t="s">
        <v>338</v>
      </c>
      <c r="M175" s="21"/>
      <c r="N175" s="109">
        <v>45188.0</v>
      </c>
      <c r="O175" s="109">
        <v>45188.0</v>
      </c>
      <c r="P175" s="110" t="s">
        <v>422</v>
      </c>
      <c r="Q175" s="111"/>
      <c r="R175" s="112"/>
      <c r="S175" s="21" t="s">
        <v>433</v>
      </c>
      <c r="T175" s="21" t="s">
        <v>434</v>
      </c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37">
        <v>150000.0</v>
      </c>
      <c r="AF175" s="114" t="s">
        <v>424</v>
      </c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14"/>
      <c r="AR175" s="137"/>
      <c r="AS175" s="137"/>
      <c r="AT175" s="139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9"/>
      <c r="BG175" s="137"/>
      <c r="BH175" s="137"/>
      <c r="BI175" s="137"/>
      <c r="BJ175" s="137"/>
      <c r="BK175" s="137"/>
      <c r="BL175" s="137"/>
      <c r="BM175" s="137"/>
      <c r="BN175" s="123">
        <f t="shared" si="31"/>
        <v>150000</v>
      </c>
      <c r="BO175" s="117">
        <v>0.0</v>
      </c>
      <c r="BP175" s="117">
        <v>0.0</v>
      </c>
      <c r="BQ175" s="118">
        <v>0.0</v>
      </c>
      <c r="BR175" s="119">
        <f t="shared" si="42"/>
        <v>150000</v>
      </c>
    </row>
    <row r="176" ht="27.0" customHeight="1">
      <c r="A176" s="12">
        <f t="shared" si="34"/>
        <v>172</v>
      </c>
      <c r="B176" s="71" t="s">
        <v>163</v>
      </c>
      <c r="C176" s="15">
        <v>6509.0</v>
      </c>
      <c r="D176" s="51" t="s">
        <v>836</v>
      </c>
      <c r="E176" s="207" t="s">
        <v>837</v>
      </c>
      <c r="F176" s="124">
        <v>10856.0</v>
      </c>
      <c r="G176" s="30" t="s">
        <v>845</v>
      </c>
      <c r="H176" s="30" t="s">
        <v>846</v>
      </c>
      <c r="I176" s="30"/>
      <c r="J176" s="15" t="s">
        <v>420</v>
      </c>
      <c r="K176" s="20" t="s">
        <v>443</v>
      </c>
      <c r="L176" s="21" t="s">
        <v>338</v>
      </c>
      <c r="M176" s="21"/>
      <c r="N176" s="109">
        <v>45293.0</v>
      </c>
      <c r="O176" s="109">
        <v>45293.0</v>
      </c>
      <c r="P176" s="110" t="s">
        <v>422</v>
      </c>
      <c r="Q176" s="111"/>
      <c r="R176" s="112"/>
      <c r="S176" s="21" t="s">
        <v>433</v>
      </c>
      <c r="T176" s="21" t="s">
        <v>434</v>
      </c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3">
        <v>8333.0</v>
      </c>
      <c r="AJ176" s="113">
        <v>8333.0</v>
      </c>
      <c r="AK176" s="113">
        <v>8333.0</v>
      </c>
      <c r="AL176" s="113">
        <v>8333.0</v>
      </c>
      <c r="AM176" s="113">
        <v>8333.0</v>
      </c>
      <c r="AN176" s="113">
        <v>8333.0</v>
      </c>
      <c r="AO176" s="113">
        <v>8333.0</v>
      </c>
      <c r="AP176" s="114" t="s">
        <v>440</v>
      </c>
      <c r="AQ176" s="114" t="s">
        <v>440</v>
      </c>
      <c r="AR176" s="114" t="s">
        <v>440</v>
      </c>
      <c r="AS176" s="114" t="s">
        <v>440</v>
      </c>
      <c r="AT176" s="121" t="s">
        <v>440</v>
      </c>
      <c r="AU176" s="114" t="s">
        <v>424</v>
      </c>
      <c r="AV176" s="113"/>
      <c r="AW176" s="113"/>
      <c r="AX176" s="113"/>
      <c r="AY176" s="113"/>
      <c r="AZ176" s="113"/>
      <c r="BA176" s="113"/>
      <c r="BB176" s="113"/>
      <c r="BC176" s="113"/>
      <c r="BD176" s="113"/>
      <c r="BE176" s="113"/>
      <c r="BF176" s="115"/>
      <c r="BG176" s="113"/>
      <c r="BH176" s="113"/>
      <c r="BI176" s="113"/>
      <c r="BJ176" s="113"/>
      <c r="BK176" s="113"/>
      <c r="BL176" s="113"/>
      <c r="BM176" s="113"/>
      <c r="BN176" s="123">
        <f t="shared" si="31"/>
        <v>58331</v>
      </c>
      <c r="BO176" s="117">
        <v>0.0</v>
      </c>
      <c r="BP176" s="117">
        <v>0.0</v>
      </c>
      <c r="BQ176" s="118">
        <v>0.0</v>
      </c>
      <c r="BR176" s="119">
        <f t="shared" si="42"/>
        <v>58331</v>
      </c>
    </row>
    <row r="177" ht="27.0" customHeight="1">
      <c r="A177" s="12">
        <f t="shared" si="34"/>
        <v>173</v>
      </c>
      <c r="B177" s="71" t="s">
        <v>163</v>
      </c>
      <c r="C177" s="12">
        <v>8645.0</v>
      </c>
      <c r="D177" s="40" t="s">
        <v>847</v>
      </c>
      <c r="E177" s="40" t="s">
        <v>237</v>
      </c>
      <c r="F177" s="124">
        <v>12254.0</v>
      </c>
      <c r="G177" s="40" t="s">
        <v>848</v>
      </c>
      <c r="H177" s="40" t="s">
        <v>849</v>
      </c>
      <c r="I177" s="40"/>
      <c r="J177" s="15" t="s">
        <v>420</v>
      </c>
      <c r="K177" s="20" t="s">
        <v>421</v>
      </c>
      <c r="L177" s="21" t="s">
        <v>338</v>
      </c>
      <c r="M177" s="21"/>
      <c r="N177" s="109">
        <v>45440.0</v>
      </c>
      <c r="O177" s="109">
        <v>45440.0</v>
      </c>
      <c r="P177" s="110" t="s">
        <v>422</v>
      </c>
      <c r="Q177" s="111">
        <v>45649.0</v>
      </c>
      <c r="R177" s="112"/>
      <c r="S177" s="21" t="s">
        <v>423</v>
      </c>
      <c r="T177" s="21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3"/>
      <c r="AJ177" s="113"/>
      <c r="AK177" s="113"/>
      <c r="AL177" s="113"/>
      <c r="AM177" s="114">
        <v>150000.0</v>
      </c>
      <c r="AN177" s="114" t="s">
        <v>424</v>
      </c>
      <c r="AO177" s="113"/>
      <c r="AP177" s="114"/>
      <c r="AQ177" s="114"/>
      <c r="AR177" s="114"/>
      <c r="AS177" s="114"/>
      <c r="AT177" s="115"/>
      <c r="AU177" s="113"/>
      <c r="AV177" s="113"/>
      <c r="AW177" s="113"/>
      <c r="AX177" s="113"/>
      <c r="AY177" s="113"/>
      <c r="AZ177" s="113"/>
      <c r="BA177" s="113"/>
      <c r="BB177" s="113"/>
      <c r="BC177" s="113"/>
      <c r="BD177" s="113"/>
      <c r="BE177" s="113"/>
      <c r="BF177" s="115"/>
      <c r="BG177" s="113"/>
      <c r="BH177" s="113"/>
      <c r="BI177" s="113"/>
      <c r="BJ177" s="113"/>
      <c r="BK177" s="113"/>
      <c r="BL177" s="113"/>
      <c r="BM177" s="113"/>
      <c r="BN177" s="116">
        <f t="shared" si="31"/>
        <v>0</v>
      </c>
      <c r="BO177" s="117">
        <f>SUM(AM177)</f>
        <v>150000</v>
      </c>
      <c r="BP177" s="117">
        <v>0.0</v>
      </c>
      <c r="BQ177" s="118">
        <f t="shared" ref="BQ177:BQ180" si="43">sum(U177:BH177)</f>
        <v>150000</v>
      </c>
      <c r="BR177" s="119">
        <f t="shared" si="42"/>
        <v>150000</v>
      </c>
    </row>
    <row r="178" ht="27.0" customHeight="1">
      <c r="A178" s="12">
        <f t="shared" si="34"/>
        <v>174</v>
      </c>
      <c r="B178" s="71" t="s">
        <v>163</v>
      </c>
      <c r="C178" s="12">
        <v>8645.0</v>
      </c>
      <c r="D178" s="40" t="s">
        <v>847</v>
      </c>
      <c r="E178" s="40" t="s">
        <v>237</v>
      </c>
      <c r="F178" s="122" t="s">
        <v>850</v>
      </c>
      <c r="G178" s="69" t="s">
        <v>851</v>
      </c>
      <c r="H178" s="69" t="s">
        <v>852</v>
      </c>
      <c r="I178" s="69"/>
      <c r="J178" s="15" t="s">
        <v>420</v>
      </c>
      <c r="K178" s="20" t="s">
        <v>439</v>
      </c>
      <c r="L178" s="21" t="s">
        <v>338</v>
      </c>
      <c r="M178" s="21"/>
      <c r="N178" s="109">
        <v>45645.0</v>
      </c>
      <c r="O178" s="109">
        <v>45645.0</v>
      </c>
      <c r="P178" s="110" t="s">
        <v>422</v>
      </c>
      <c r="Q178" s="111">
        <v>45649.0</v>
      </c>
      <c r="R178" s="112"/>
      <c r="S178" s="21" t="s">
        <v>423</v>
      </c>
      <c r="T178" s="21"/>
      <c r="U178" s="208"/>
      <c r="V178" s="208"/>
      <c r="W178" s="208"/>
      <c r="X178" s="208"/>
      <c r="Y178" s="208"/>
      <c r="Z178" s="208"/>
      <c r="AA178" s="208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4"/>
      <c r="AO178" s="208"/>
      <c r="AP178" s="208"/>
      <c r="AQ178" s="208"/>
      <c r="AR178" s="208"/>
      <c r="AS178" s="208"/>
      <c r="AT178" s="121">
        <f>12500*6</f>
        <v>75000</v>
      </c>
      <c r="AU178" s="114"/>
      <c r="AV178" s="114"/>
      <c r="AW178" s="114"/>
      <c r="AX178" s="114"/>
      <c r="AY178" s="114"/>
      <c r="AZ178" s="114"/>
      <c r="BA178" s="114"/>
      <c r="BB178" s="114"/>
      <c r="BC178" s="114"/>
      <c r="BD178" s="114"/>
      <c r="BE178" s="114"/>
      <c r="BF178" s="121"/>
      <c r="BG178" s="114"/>
      <c r="BH178" s="114"/>
      <c r="BI178" s="114"/>
      <c r="BJ178" s="114"/>
      <c r="BK178" s="114"/>
      <c r="BL178" s="114"/>
      <c r="BM178" s="114"/>
      <c r="BN178" s="116">
        <f t="shared" si="31"/>
        <v>0</v>
      </c>
      <c r="BO178" s="117">
        <f>SUM(AT178)</f>
        <v>75000</v>
      </c>
      <c r="BP178" s="117">
        <v>0.0</v>
      </c>
      <c r="BQ178" s="118">
        <f t="shared" si="43"/>
        <v>75000</v>
      </c>
      <c r="BR178" s="119">
        <f t="shared" si="42"/>
        <v>75000</v>
      </c>
    </row>
    <row r="179" ht="27.0" customHeight="1">
      <c r="A179" s="12">
        <f t="shared" si="34"/>
        <v>175</v>
      </c>
      <c r="B179" s="71" t="s">
        <v>163</v>
      </c>
      <c r="C179" s="12">
        <v>8645.0</v>
      </c>
      <c r="D179" s="40" t="s">
        <v>847</v>
      </c>
      <c r="E179" s="40" t="s">
        <v>237</v>
      </c>
      <c r="F179" s="124">
        <v>13849.0</v>
      </c>
      <c r="G179" s="69" t="s">
        <v>853</v>
      </c>
      <c r="H179" s="69" t="s">
        <v>854</v>
      </c>
      <c r="I179" s="69"/>
      <c r="J179" s="15" t="s">
        <v>420</v>
      </c>
      <c r="K179" s="20" t="s">
        <v>421</v>
      </c>
      <c r="L179" s="21" t="s">
        <v>338</v>
      </c>
      <c r="M179" s="21"/>
      <c r="N179" s="109">
        <v>45611.0</v>
      </c>
      <c r="O179" s="109">
        <v>45611.0</v>
      </c>
      <c r="P179" s="110" t="s">
        <v>422</v>
      </c>
      <c r="Q179" s="111">
        <v>45649.0</v>
      </c>
      <c r="R179" s="112"/>
      <c r="S179" s="21" t="s">
        <v>423</v>
      </c>
      <c r="T179" s="21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3"/>
      <c r="AJ179" s="113"/>
      <c r="AK179" s="113"/>
      <c r="AL179" s="113"/>
      <c r="AM179" s="113"/>
      <c r="AN179" s="113"/>
      <c r="AO179" s="113"/>
      <c r="AP179" s="114"/>
      <c r="AQ179" s="114"/>
      <c r="AR179" s="114"/>
      <c r="AS179" s="114">
        <v>150000.0</v>
      </c>
      <c r="AT179" s="121" t="s">
        <v>424</v>
      </c>
      <c r="AU179" s="114"/>
      <c r="AV179" s="114"/>
      <c r="AW179" s="114"/>
      <c r="AX179" s="114"/>
      <c r="AY179" s="114"/>
      <c r="AZ179" s="114"/>
      <c r="BA179" s="114"/>
      <c r="BB179" s="114"/>
      <c r="BC179" s="114"/>
      <c r="BD179" s="114"/>
      <c r="BE179" s="114"/>
      <c r="BF179" s="121"/>
      <c r="BG179" s="114"/>
      <c r="BH179" s="114"/>
      <c r="BI179" s="114"/>
      <c r="BJ179" s="114"/>
      <c r="BK179" s="114"/>
      <c r="BL179" s="114"/>
      <c r="BM179" s="114"/>
      <c r="BN179" s="116">
        <f t="shared" si="31"/>
        <v>0</v>
      </c>
      <c r="BO179" s="117">
        <f>SUM(AS179)</f>
        <v>150000</v>
      </c>
      <c r="BP179" s="117">
        <v>0.0</v>
      </c>
      <c r="BQ179" s="118">
        <f t="shared" si="43"/>
        <v>150000</v>
      </c>
      <c r="BR179" s="119">
        <f t="shared" si="42"/>
        <v>150000</v>
      </c>
    </row>
    <row r="180" ht="27.0" customHeight="1">
      <c r="A180" s="12">
        <f t="shared" si="34"/>
        <v>176</v>
      </c>
      <c r="B180" s="71" t="s">
        <v>163</v>
      </c>
      <c r="C180" s="12">
        <v>8645.0</v>
      </c>
      <c r="D180" s="40" t="s">
        <v>847</v>
      </c>
      <c r="E180" s="40" t="s">
        <v>237</v>
      </c>
      <c r="F180" s="124">
        <v>15457.0</v>
      </c>
      <c r="G180" s="69" t="s">
        <v>855</v>
      </c>
      <c r="H180" s="69" t="s">
        <v>856</v>
      </c>
      <c r="I180" s="69"/>
      <c r="J180" s="15" t="s">
        <v>420</v>
      </c>
      <c r="K180" s="20" t="s">
        <v>421</v>
      </c>
      <c r="L180" s="21" t="s">
        <v>338</v>
      </c>
      <c r="M180" s="120" t="s">
        <v>857</v>
      </c>
      <c r="N180" s="109">
        <v>45788.0</v>
      </c>
      <c r="O180" s="109">
        <v>45832.0</v>
      </c>
      <c r="P180" s="110" t="s">
        <v>422</v>
      </c>
      <c r="Q180" s="111">
        <v>45875.0</v>
      </c>
      <c r="R180" s="112"/>
      <c r="S180" s="21" t="s">
        <v>423</v>
      </c>
      <c r="T180" s="21" t="s">
        <v>423</v>
      </c>
      <c r="U180" s="21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3"/>
      <c r="AJ180" s="113"/>
      <c r="AK180" s="113"/>
      <c r="AL180" s="113"/>
      <c r="AM180" s="113"/>
      <c r="AN180" s="113"/>
      <c r="AO180" s="113"/>
      <c r="AP180" s="114"/>
      <c r="AQ180" s="114"/>
      <c r="AR180" s="114"/>
      <c r="AS180" s="114"/>
      <c r="AT180" s="121"/>
      <c r="AU180" s="114"/>
      <c r="AV180" s="114"/>
      <c r="AW180" s="114"/>
      <c r="AX180" s="114"/>
      <c r="AY180" s="114"/>
      <c r="AZ180" s="114">
        <v>150000.0</v>
      </c>
      <c r="BA180" s="114" t="s">
        <v>424</v>
      </c>
      <c r="BB180" s="114"/>
      <c r="BC180" s="114"/>
      <c r="BD180" s="114"/>
      <c r="BE180" s="114"/>
      <c r="BF180" s="121"/>
      <c r="BG180" s="114"/>
      <c r="BH180" s="114"/>
      <c r="BI180" s="114"/>
      <c r="BJ180" s="114"/>
      <c r="BK180" s="114"/>
      <c r="BL180" s="114"/>
      <c r="BM180" s="114"/>
      <c r="BN180" s="116">
        <f t="shared" si="31"/>
        <v>0</v>
      </c>
      <c r="BO180" s="117">
        <f>SUM(AZ180)</f>
        <v>150000</v>
      </c>
      <c r="BP180" s="117">
        <v>0.0</v>
      </c>
      <c r="BQ180" s="118">
        <f t="shared" si="43"/>
        <v>150000</v>
      </c>
      <c r="BR180" s="119">
        <f t="shared" si="42"/>
        <v>150000</v>
      </c>
    </row>
    <row r="181" ht="27.0" customHeight="1">
      <c r="A181" s="12">
        <f t="shared" si="34"/>
        <v>177</v>
      </c>
      <c r="B181" s="71" t="s">
        <v>163</v>
      </c>
      <c r="C181" s="12">
        <v>8645.0</v>
      </c>
      <c r="D181" s="40" t="s">
        <v>847</v>
      </c>
      <c r="E181" s="40" t="s">
        <v>237</v>
      </c>
      <c r="F181" s="124">
        <v>17998.0</v>
      </c>
      <c r="G181" s="69" t="s">
        <v>858</v>
      </c>
      <c r="H181" s="69" t="s">
        <v>858</v>
      </c>
      <c r="I181" s="69"/>
      <c r="J181" s="15" t="s">
        <v>420</v>
      </c>
      <c r="K181" s="20" t="s">
        <v>537</v>
      </c>
      <c r="L181" s="21" t="s">
        <v>338</v>
      </c>
      <c r="M181" s="20"/>
      <c r="N181" s="109"/>
      <c r="O181" s="109"/>
      <c r="P181" s="110" t="s">
        <v>422</v>
      </c>
      <c r="Q181" s="111">
        <v>46133.0</v>
      </c>
      <c r="R181" s="112"/>
      <c r="S181" s="21" t="s">
        <v>423</v>
      </c>
      <c r="T181" s="21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3"/>
      <c r="AJ181" s="113"/>
      <c r="AK181" s="113"/>
      <c r="AL181" s="113"/>
      <c r="AM181" s="113"/>
      <c r="AN181" s="113"/>
      <c r="AO181" s="113"/>
      <c r="AP181" s="114"/>
      <c r="AQ181" s="114"/>
      <c r="AR181" s="114"/>
      <c r="AS181" s="114"/>
      <c r="AT181" s="121"/>
      <c r="AU181" s="114"/>
      <c r="AV181" s="114"/>
      <c r="AW181" s="114"/>
      <c r="AX181" s="114"/>
      <c r="AY181" s="114"/>
      <c r="AZ181" s="114"/>
      <c r="BA181" s="114"/>
      <c r="BB181" s="114"/>
      <c r="BC181" s="114"/>
      <c r="BD181" s="114"/>
      <c r="BE181" s="114"/>
      <c r="BF181" s="121"/>
      <c r="BG181" s="114"/>
      <c r="BH181" s="114"/>
      <c r="BI181" s="114"/>
      <c r="BJ181" s="114">
        <v>220000.0</v>
      </c>
      <c r="BK181" s="114"/>
      <c r="BL181" s="114"/>
      <c r="BM181" s="114"/>
      <c r="BN181" s="116">
        <f t="shared" si="31"/>
        <v>0</v>
      </c>
      <c r="BO181" s="117">
        <v>220000.0</v>
      </c>
      <c r="BP181" s="117">
        <v>0.0</v>
      </c>
      <c r="BQ181" s="118">
        <f>BO181</f>
        <v>220000</v>
      </c>
      <c r="BR181" s="119">
        <f t="shared" si="42"/>
        <v>220000</v>
      </c>
    </row>
    <row r="182" ht="27.0" customHeight="1">
      <c r="A182" s="12">
        <f t="shared" si="34"/>
        <v>178</v>
      </c>
      <c r="B182" s="71" t="s">
        <v>163</v>
      </c>
      <c r="C182" s="12">
        <v>14152.0</v>
      </c>
      <c r="D182" s="40" t="s">
        <v>242</v>
      </c>
      <c r="E182" s="41" t="s">
        <v>243</v>
      </c>
      <c r="F182" s="122" t="s">
        <v>859</v>
      </c>
      <c r="G182" s="40" t="s">
        <v>860</v>
      </c>
      <c r="H182" s="40" t="s">
        <v>861</v>
      </c>
      <c r="I182" s="40"/>
      <c r="J182" s="15" t="s">
        <v>420</v>
      </c>
      <c r="K182" s="20" t="s">
        <v>446</v>
      </c>
      <c r="L182" s="21" t="s">
        <v>338</v>
      </c>
      <c r="M182" s="21"/>
      <c r="N182" s="109">
        <v>45657.0</v>
      </c>
      <c r="O182" s="109">
        <v>45666.0</v>
      </c>
      <c r="P182" s="110" t="s">
        <v>422</v>
      </c>
      <c r="Q182" s="111">
        <v>45708.0</v>
      </c>
      <c r="R182" s="112"/>
      <c r="S182" s="21" t="s">
        <v>423</v>
      </c>
      <c r="T182" s="21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3"/>
      <c r="AJ182" s="113"/>
      <c r="AK182" s="113"/>
      <c r="AL182" s="113"/>
      <c r="AM182" s="113"/>
      <c r="AN182" s="113"/>
      <c r="AO182" s="113"/>
      <c r="AP182" s="114"/>
      <c r="AQ182" s="114"/>
      <c r="AR182" s="114"/>
      <c r="AS182" s="114"/>
      <c r="AT182" s="121">
        <v>100000.0</v>
      </c>
      <c r="AU182" s="114" t="s">
        <v>424</v>
      </c>
      <c r="AV182" s="114"/>
      <c r="AW182" s="114"/>
      <c r="AX182" s="114"/>
      <c r="AY182" s="114"/>
      <c r="AZ182" s="114"/>
      <c r="BA182" s="114"/>
      <c r="BB182" s="114"/>
      <c r="BC182" s="114"/>
      <c r="BD182" s="114"/>
      <c r="BE182" s="114"/>
      <c r="BF182" s="121"/>
      <c r="BG182" s="114"/>
      <c r="BH182" s="114"/>
      <c r="BI182" s="114"/>
      <c r="BJ182" s="114"/>
      <c r="BK182" s="114"/>
      <c r="BL182" s="114"/>
      <c r="BM182" s="114"/>
      <c r="BN182" s="116">
        <f t="shared" si="31"/>
        <v>0</v>
      </c>
      <c r="BO182" s="117">
        <f>SUM(AT182)</f>
        <v>100000</v>
      </c>
      <c r="BP182" s="117">
        <v>0.0</v>
      </c>
      <c r="BQ182" s="118">
        <f t="shared" ref="BQ182:BQ183" si="44">sum(U182:BH182)</f>
        <v>100000</v>
      </c>
      <c r="BR182" s="119">
        <f t="shared" si="42"/>
        <v>100000</v>
      </c>
    </row>
    <row r="183" ht="27.0" customHeight="1">
      <c r="A183" s="12">
        <f t="shared" si="34"/>
        <v>179</v>
      </c>
      <c r="B183" s="71" t="s">
        <v>163</v>
      </c>
      <c r="C183" s="12">
        <v>14152.0</v>
      </c>
      <c r="D183" s="40" t="s">
        <v>242</v>
      </c>
      <c r="E183" s="41" t="s">
        <v>243</v>
      </c>
      <c r="F183" s="122" t="s">
        <v>862</v>
      </c>
      <c r="G183" s="69" t="s">
        <v>863</v>
      </c>
      <c r="H183" s="40" t="s">
        <v>864</v>
      </c>
      <c r="I183" s="40"/>
      <c r="J183" s="15" t="s">
        <v>420</v>
      </c>
      <c r="K183" s="20" t="s">
        <v>421</v>
      </c>
      <c r="L183" s="21" t="s">
        <v>338</v>
      </c>
      <c r="M183" s="21"/>
      <c r="N183" s="109">
        <v>45697.0</v>
      </c>
      <c r="O183" s="109">
        <v>45698.0</v>
      </c>
      <c r="P183" s="110" t="s">
        <v>422</v>
      </c>
      <c r="Q183" s="111">
        <v>45708.0</v>
      </c>
      <c r="R183" s="112"/>
      <c r="S183" s="21" t="s">
        <v>423</v>
      </c>
      <c r="T183" s="21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3"/>
      <c r="AJ183" s="113"/>
      <c r="AK183" s="113"/>
      <c r="AL183" s="113"/>
      <c r="AM183" s="113"/>
      <c r="AN183" s="113"/>
      <c r="AO183" s="113"/>
      <c r="AP183" s="114"/>
      <c r="AQ183" s="114"/>
      <c r="AR183" s="114"/>
      <c r="AS183" s="114"/>
      <c r="AT183" s="139"/>
      <c r="AU183" s="137"/>
      <c r="AV183" s="114">
        <v>150000.0</v>
      </c>
      <c r="AW183" s="114" t="s">
        <v>424</v>
      </c>
      <c r="AX183" s="114"/>
      <c r="AY183" s="114"/>
      <c r="AZ183" s="114"/>
      <c r="BA183" s="114"/>
      <c r="BB183" s="114"/>
      <c r="BC183" s="114"/>
      <c r="BD183" s="114"/>
      <c r="BE183" s="114"/>
      <c r="BF183" s="121"/>
      <c r="BG183" s="114"/>
      <c r="BH183" s="114"/>
      <c r="BI183" s="114"/>
      <c r="BJ183" s="114"/>
      <c r="BK183" s="114"/>
      <c r="BL183" s="114"/>
      <c r="BM183" s="114"/>
      <c r="BN183" s="116">
        <f t="shared" si="31"/>
        <v>0</v>
      </c>
      <c r="BO183" s="117">
        <f>SUM(AV183)</f>
        <v>150000</v>
      </c>
      <c r="BP183" s="117">
        <v>0.0</v>
      </c>
      <c r="BQ183" s="118">
        <f t="shared" si="44"/>
        <v>150000</v>
      </c>
      <c r="BR183" s="119">
        <f t="shared" si="42"/>
        <v>150000</v>
      </c>
    </row>
    <row r="184" ht="27.0" customHeight="1">
      <c r="A184" s="12">
        <f t="shared" si="34"/>
        <v>180</v>
      </c>
      <c r="B184" s="71" t="s">
        <v>163</v>
      </c>
      <c r="C184" s="15" t="s">
        <v>128</v>
      </c>
      <c r="D184" s="40" t="s">
        <v>249</v>
      </c>
      <c r="E184" s="41" t="s">
        <v>250</v>
      </c>
      <c r="F184" s="122">
        <v>14009.0</v>
      </c>
      <c r="G184" s="69" t="s">
        <v>865</v>
      </c>
      <c r="H184" s="69" t="s">
        <v>866</v>
      </c>
      <c r="I184" s="69"/>
      <c r="J184" s="15" t="s">
        <v>420</v>
      </c>
      <c r="K184" s="20" t="s">
        <v>421</v>
      </c>
      <c r="L184" s="21" t="s">
        <v>338</v>
      </c>
      <c r="M184" s="21"/>
      <c r="N184" s="109">
        <v>45643.0</v>
      </c>
      <c r="O184" s="109">
        <v>45643.0</v>
      </c>
      <c r="P184" s="110" t="s">
        <v>422</v>
      </c>
      <c r="Q184" s="111"/>
      <c r="R184" s="112"/>
      <c r="S184" s="21" t="s">
        <v>433</v>
      </c>
      <c r="T184" s="21" t="s">
        <v>434</v>
      </c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39">
        <v>150000.0</v>
      </c>
      <c r="AU184" s="114" t="s">
        <v>424</v>
      </c>
      <c r="AV184" s="114"/>
      <c r="AW184" s="114"/>
      <c r="AX184" s="114"/>
      <c r="AY184" s="114"/>
      <c r="AZ184" s="114"/>
      <c r="BA184" s="114"/>
      <c r="BB184" s="114"/>
      <c r="BC184" s="114"/>
      <c r="BD184" s="114"/>
      <c r="BE184" s="114"/>
      <c r="BF184" s="121"/>
      <c r="BG184" s="114"/>
      <c r="BH184" s="114"/>
      <c r="BI184" s="114"/>
      <c r="BJ184" s="114"/>
      <c r="BK184" s="114"/>
      <c r="BL184" s="114"/>
      <c r="BM184" s="114"/>
      <c r="BN184" s="123">
        <f t="shared" si="31"/>
        <v>150000</v>
      </c>
      <c r="BO184" s="117">
        <v>0.0</v>
      </c>
      <c r="BP184" s="117">
        <v>0.0</v>
      </c>
      <c r="BQ184" s="118">
        <v>0.0</v>
      </c>
      <c r="BR184" s="119">
        <f t="shared" si="42"/>
        <v>150000</v>
      </c>
    </row>
    <row r="185" ht="27.0" customHeight="1">
      <c r="A185" s="12">
        <f t="shared" si="34"/>
        <v>181</v>
      </c>
      <c r="B185" s="71" t="s">
        <v>22</v>
      </c>
      <c r="C185" s="15" t="s">
        <v>128</v>
      </c>
      <c r="D185" s="16" t="s">
        <v>867</v>
      </c>
      <c r="E185" s="16" t="s">
        <v>253</v>
      </c>
      <c r="F185" s="124">
        <v>9701.0</v>
      </c>
      <c r="G185" s="30" t="s">
        <v>868</v>
      </c>
      <c r="H185" s="30" t="s">
        <v>869</v>
      </c>
      <c r="I185" s="30"/>
      <c r="J185" s="15" t="s">
        <v>420</v>
      </c>
      <c r="K185" s="20" t="s">
        <v>421</v>
      </c>
      <c r="L185" s="21" t="s">
        <v>338</v>
      </c>
      <c r="M185" s="21"/>
      <c r="N185" s="109">
        <v>45140.0</v>
      </c>
      <c r="O185" s="109">
        <v>45140.0</v>
      </c>
      <c r="P185" s="110" t="s">
        <v>422</v>
      </c>
      <c r="Q185" s="111">
        <v>45800.0</v>
      </c>
      <c r="R185" s="112"/>
      <c r="S185" s="21" t="s">
        <v>423</v>
      </c>
      <c r="T185" s="21"/>
      <c r="U185" s="137"/>
      <c r="V185" s="137"/>
      <c r="W185" s="137"/>
      <c r="X185" s="137"/>
      <c r="Y185" s="137"/>
      <c r="Z185" s="137"/>
      <c r="AA185" s="137"/>
      <c r="AB185" s="137"/>
      <c r="AC185" s="114">
        <v>150000.0</v>
      </c>
      <c r="AD185" s="114" t="s">
        <v>424</v>
      </c>
      <c r="AE185" s="177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21"/>
      <c r="AU185" s="114"/>
      <c r="AV185" s="114"/>
      <c r="AW185" s="114"/>
      <c r="AX185" s="137"/>
      <c r="AY185" s="137"/>
      <c r="AZ185" s="137"/>
      <c r="BA185" s="137"/>
      <c r="BB185" s="137"/>
      <c r="BC185" s="137"/>
      <c r="BD185" s="137"/>
      <c r="BE185" s="137"/>
      <c r="BF185" s="139"/>
      <c r="BG185" s="137"/>
      <c r="BH185" s="137"/>
      <c r="BI185" s="137"/>
      <c r="BJ185" s="137"/>
      <c r="BK185" s="137"/>
      <c r="BL185" s="137"/>
      <c r="BM185" s="137"/>
      <c r="BN185" s="116">
        <f t="shared" si="31"/>
        <v>0</v>
      </c>
      <c r="BO185" s="117">
        <v>150000.0</v>
      </c>
      <c r="BP185" s="117">
        <v>0.0</v>
      </c>
      <c r="BQ185" s="118">
        <f t="shared" ref="BQ185:BQ188" si="45">sum(U185:BH185)</f>
        <v>150000</v>
      </c>
      <c r="BR185" s="119">
        <f t="shared" si="42"/>
        <v>150000</v>
      </c>
    </row>
    <row r="186" ht="27.0" customHeight="1">
      <c r="A186" s="12">
        <f t="shared" si="34"/>
        <v>182</v>
      </c>
      <c r="B186" s="71" t="s">
        <v>22</v>
      </c>
      <c r="C186" s="15" t="s">
        <v>128</v>
      </c>
      <c r="D186" s="16" t="s">
        <v>867</v>
      </c>
      <c r="E186" s="16" t="s">
        <v>253</v>
      </c>
      <c r="F186" s="124">
        <v>10487.0</v>
      </c>
      <c r="G186" s="30" t="s">
        <v>870</v>
      </c>
      <c r="H186" s="30" t="s">
        <v>871</v>
      </c>
      <c r="I186" s="30"/>
      <c r="J186" s="15" t="s">
        <v>420</v>
      </c>
      <c r="K186" s="20" t="s">
        <v>448</v>
      </c>
      <c r="L186" s="21" t="s">
        <v>338</v>
      </c>
      <c r="M186" s="21"/>
      <c r="N186" s="109">
        <v>45225.0</v>
      </c>
      <c r="O186" s="109">
        <v>45604.0</v>
      </c>
      <c r="P186" s="110" t="s">
        <v>422</v>
      </c>
      <c r="Q186" s="111">
        <v>45800.0</v>
      </c>
      <c r="R186" s="112"/>
      <c r="S186" s="21" t="s">
        <v>423</v>
      </c>
      <c r="T186" s="21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>
        <v>12500.0</v>
      </c>
      <c r="AG186" s="114" t="s">
        <v>128</v>
      </c>
      <c r="AH186" s="114">
        <v>12500.0</v>
      </c>
      <c r="AI186" s="114">
        <v>12500.0</v>
      </c>
      <c r="AJ186" s="114">
        <v>12500.0</v>
      </c>
      <c r="AK186" s="114">
        <v>12500.0</v>
      </c>
      <c r="AL186" s="114">
        <v>12500.0</v>
      </c>
      <c r="AM186" s="114">
        <v>12500.0</v>
      </c>
      <c r="AN186" s="114">
        <v>12500.0</v>
      </c>
      <c r="AO186" s="114">
        <v>12500.0</v>
      </c>
      <c r="AP186" s="114">
        <v>12500.0</v>
      </c>
      <c r="AQ186" s="114">
        <v>12500.0</v>
      </c>
      <c r="AR186" s="114">
        <v>12500.0</v>
      </c>
      <c r="AS186" s="114" t="s">
        <v>424</v>
      </c>
      <c r="AT186" s="209"/>
      <c r="AU186" s="210"/>
      <c r="AV186" s="210"/>
      <c r="AW186" s="210"/>
      <c r="AX186" s="134"/>
      <c r="AY186" s="134"/>
      <c r="AZ186" s="134"/>
      <c r="BA186" s="134"/>
      <c r="BB186" s="134"/>
      <c r="BC186" s="134"/>
      <c r="BD186" s="134"/>
      <c r="BE186" s="134"/>
      <c r="BF186" s="211"/>
      <c r="BG186" s="134"/>
      <c r="BH186" s="134"/>
      <c r="BI186" s="134"/>
      <c r="BJ186" s="134"/>
      <c r="BK186" s="134"/>
      <c r="BL186" s="134"/>
      <c r="BM186" s="134"/>
      <c r="BN186" s="116">
        <f t="shared" si="31"/>
        <v>0</v>
      </c>
      <c r="BO186" s="117">
        <v>150000.0</v>
      </c>
      <c r="BP186" s="117">
        <v>0.0</v>
      </c>
      <c r="BQ186" s="118">
        <f t="shared" si="45"/>
        <v>150000</v>
      </c>
      <c r="BR186" s="119">
        <f t="shared" si="42"/>
        <v>150000</v>
      </c>
    </row>
    <row r="187" ht="27.0" customHeight="1">
      <c r="A187" s="12">
        <f t="shared" si="34"/>
        <v>183</v>
      </c>
      <c r="B187" s="71" t="s">
        <v>22</v>
      </c>
      <c r="C187" s="15" t="s">
        <v>128</v>
      </c>
      <c r="D187" s="16" t="s">
        <v>867</v>
      </c>
      <c r="E187" s="16" t="s">
        <v>253</v>
      </c>
      <c r="F187" s="122" t="s">
        <v>872</v>
      </c>
      <c r="G187" s="41" t="s">
        <v>873</v>
      </c>
      <c r="H187" s="40" t="s">
        <v>874</v>
      </c>
      <c r="I187" s="40"/>
      <c r="J187" s="15" t="s">
        <v>420</v>
      </c>
      <c r="K187" s="20" t="s">
        <v>421</v>
      </c>
      <c r="L187" s="21" t="s">
        <v>338</v>
      </c>
      <c r="M187" s="21"/>
      <c r="N187" s="109">
        <v>45675.0</v>
      </c>
      <c r="O187" s="109">
        <v>45675.0</v>
      </c>
      <c r="P187" s="110" t="s">
        <v>422</v>
      </c>
      <c r="Q187" s="111">
        <v>45800.0</v>
      </c>
      <c r="R187" s="112"/>
      <c r="S187" s="21" t="s">
        <v>423</v>
      </c>
      <c r="T187" s="21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210"/>
      <c r="AT187" s="209"/>
      <c r="AU187" s="114">
        <v>150000.0</v>
      </c>
      <c r="AV187" s="114" t="s">
        <v>632</v>
      </c>
      <c r="AW187" s="114"/>
      <c r="AX187" s="114"/>
      <c r="AY187" s="114"/>
      <c r="AZ187" s="114"/>
      <c r="BA187" s="114"/>
      <c r="BB187" s="114"/>
      <c r="BC187" s="114"/>
      <c r="BD187" s="114"/>
      <c r="BE187" s="114"/>
      <c r="BF187" s="121"/>
      <c r="BG187" s="114"/>
      <c r="BH187" s="114"/>
      <c r="BI187" s="114"/>
      <c r="BJ187" s="114"/>
      <c r="BK187" s="114"/>
      <c r="BL187" s="114"/>
      <c r="BM187" s="114"/>
      <c r="BN187" s="116">
        <f t="shared" si="31"/>
        <v>0</v>
      </c>
      <c r="BO187" s="117">
        <v>150000.0</v>
      </c>
      <c r="BP187" s="117">
        <v>0.0</v>
      </c>
      <c r="BQ187" s="118">
        <f t="shared" si="45"/>
        <v>150000</v>
      </c>
      <c r="BR187" s="119">
        <f t="shared" si="42"/>
        <v>150000</v>
      </c>
    </row>
    <row r="188" ht="27.0" customHeight="1">
      <c r="A188" s="12">
        <f t="shared" si="34"/>
        <v>184</v>
      </c>
      <c r="B188" s="71" t="s">
        <v>22</v>
      </c>
      <c r="C188" s="15" t="s">
        <v>128</v>
      </c>
      <c r="D188" s="16" t="s">
        <v>867</v>
      </c>
      <c r="E188" s="16" t="s">
        <v>253</v>
      </c>
      <c r="F188" s="122" t="s">
        <v>875</v>
      </c>
      <c r="G188" s="40" t="s">
        <v>876</v>
      </c>
      <c r="H188" s="40" t="s">
        <v>877</v>
      </c>
      <c r="I188" s="40"/>
      <c r="J188" s="15" t="s">
        <v>420</v>
      </c>
      <c r="K188" s="20" t="s">
        <v>421</v>
      </c>
      <c r="L188" s="21" t="s">
        <v>338</v>
      </c>
      <c r="M188" s="21"/>
      <c r="N188" s="109">
        <v>45706.0</v>
      </c>
      <c r="O188" s="109">
        <v>45706.0</v>
      </c>
      <c r="P188" s="110" t="s">
        <v>422</v>
      </c>
      <c r="Q188" s="111">
        <v>45800.0</v>
      </c>
      <c r="R188" s="112"/>
      <c r="S188" s="21" t="s">
        <v>423</v>
      </c>
      <c r="T188" s="21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210"/>
      <c r="AT188" s="209"/>
      <c r="AU188" s="114"/>
      <c r="AV188" s="114">
        <v>150000.0</v>
      </c>
      <c r="AW188" s="114" t="s">
        <v>632</v>
      </c>
      <c r="AX188" s="114"/>
      <c r="AY188" s="114"/>
      <c r="AZ188" s="114"/>
      <c r="BA188" s="114"/>
      <c r="BB188" s="114"/>
      <c r="BC188" s="114"/>
      <c r="BD188" s="114"/>
      <c r="BE188" s="114"/>
      <c r="BF188" s="121"/>
      <c r="BG188" s="114"/>
      <c r="BH188" s="114"/>
      <c r="BI188" s="114"/>
      <c r="BJ188" s="114"/>
      <c r="BK188" s="114"/>
      <c r="BL188" s="114"/>
      <c r="BM188" s="114"/>
      <c r="BN188" s="116">
        <f t="shared" si="31"/>
        <v>0</v>
      </c>
      <c r="BO188" s="117">
        <v>150000.0</v>
      </c>
      <c r="BP188" s="117">
        <v>0.0</v>
      </c>
      <c r="BQ188" s="118">
        <f t="shared" si="45"/>
        <v>150000</v>
      </c>
      <c r="BR188" s="119">
        <f t="shared" si="42"/>
        <v>150000</v>
      </c>
    </row>
    <row r="189" ht="27.0" customHeight="1">
      <c r="A189" s="12">
        <f t="shared" si="34"/>
        <v>185</v>
      </c>
      <c r="B189" s="71" t="s">
        <v>22</v>
      </c>
      <c r="C189" s="15" t="s">
        <v>128</v>
      </c>
      <c r="D189" s="30" t="s">
        <v>867</v>
      </c>
      <c r="E189" s="30" t="s">
        <v>253</v>
      </c>
      <c r="F189" s="25" t="s">
        <v>878</v>
      </c>
      <c r="G189" s="212" t="s">
        <v>879</v>
      </c>
      <c r="H189" s="212" t="s">
        <v>879</v>
      </c>
      <c r="I189" s="31"/>
      <c r="J189" s="15" t="s">
        <v>420</v>
      </c>
      <c r="K189" s="20" t="s">
        <v>421</v>
      </c>
      <c r="L189" s="21" t="s">
        <v>338</v>
      </c>
      <c r="M189" s="21"/>
      <c r="N189" s="109">
        <v>45841.0</v>
      </c>
      <c r="O189" s="109">
        <v>45841.0</v>
      </c>
      <c r="P189" s="110" t="s">
        <v>422</v>
      </c>
      <c r="Q189" s="111"/>
      <c r="R189" s="112"/>
      <c r="S189" s="21" t="s">
        <v>433</v>
      </c>
      <c r="T189" s="21" t="s">
        <v>434</v>
      </c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210"/>
      <c r="AT189" s="209"/>
      <c r="AU189" s="114"/>
      <c r="AV189" s="114"/>
      <c r="AW189" s="114"/>
      <c r="AX189" s="114"/>
      <c r="AY189" s="114"/>
      <c r="AZ189" s="114"/>
      <c r="BA189" s="137">
        <v>150000.0</v>
      </c>
      <c r="BB189" s="114" t="s">
        <v>424</v>
      </c>
      <c r="BC189" s="114"/>
      <c r="BD189" s="114"/>
      <c r="BE189" s="114"/>
      <c r="BF189" s="121"/>
      <c r="BG189" s="114"/>
      <c r="BH189" s="114"/>
      <c r="BI189" s="114"/>
      <c r="BJ189" s="114"/>
      <c r="BK189" s="114"/>
      <c r="BL189" s="114"/>
      <c r="BM189" s="114"/>
      <c r="BN189" s="123">
        <f t="shared" si="31"/>
        <v>150000</v>
      </c>
      <c r="BO189" s="117">
        <v>0.0</v>
      </c>
      <c r="BP189" s="117">
        <v>0.0</v>
      </c>
      <c r="BQ189" s="118">
        <v>0.0</v>
      </c>
      <c r="BR189" s="119">
        <f t="shared" si="42"/>
        <v>150000</v>
      </c>
    </row>
    <row r="190" ht="27.0" customHeight="1">
      <c r="A190" s="12">
        <f t="shared" si="34"/>
        <v>186</v>
      </c>
      <c r="B190" s="71" t="s">
        <v>22</v>
      </c>
      <c r="C190" s="15" t="s">
        <v>128</v>
      </c>
      <c r="D190" s="30" t="s">
        <v>867</v>
      </c>
      <c r="E190" s="30" t="s">
        <v>253</v>
      </c>
      <c r="F190" s="33" t="s">
        <v>880</v>
      </c>
      <c r="G190" s="69" t="s">
        <v>881</v>
      </c>
      <c r="H190" s="69" t="s">
        <v>882</v>
      </c>
      <c r="I190" s="69"/>
      <c r="J190" s="15" t="s">
        <v>420</v>
      </c>
      <c r="K190" s="20" t="s">
        <v>883</v>
      </c>
      <c r="L190" s="21" t="s">
        <v>338</v>
      </c>
      <c r="M190" s="21"/>
      <c r="N190" s="109">
        <v>45991.0</v>
      </c>
      <c r="O190" s="109">
        <v>45992.0</v>
      </c>
      <c r="P190" s="110" t="s">
        <v>422</v>
      </c>
      <c r="Q190" s="111"/>
      <c r="R190" s="112"/>
      <c r="S190" s="21" t="s">
        <v>433</v>
      </c>
      <c r="T190" s="21" t="s">
        <v>434</v>
      </c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210"/>
      <c r="AT190" s="209"/>
      <c r="AU190" s="114"/>
      <c r="AV190" s="114"/>
      <c r="AW190" s="114"/>
      <c r="AX190" s="114"/>
      <c r="AY190" s="114"/>
      <c r="AZ190" s="114"/>
      <c r="BA190" s="137"/>
      <c r="BB190" s="114"/>
      <c r="BC190" s="114"/>
      <c r="BD190" s="114"/>
      <c r="BE190" s="114"/>
      <c r="BF190" s="139">
        <v>315000.0</v>
      </c>
      <c r="BG190" s="114" t="s">
        <v>424</v>
      </c>
      <c r="BH190" s="137"/>
      <c r="BI190" s="137"/>
      <c r="BJ190" s="137"/>
      <c r="BK190" s="137"/>
      <c r="BL190" s="137"/>
      <c r="BM190" s="137"/>
      <c r="BN190" s="123">
        <f t="shared" si="31"/>
        <v>315000</v>
      </c>
      <c r="BO190" s="117">
        <v>0.0</v>
      </c>
      <c r="BP190" s="117">
        <v>0.0</v>
      </c>
      <c r="BQ190" s="118">
        <v>0.0</v>
      </c>
      <c r="BR190" s="119">
        <f t="shared" si="42"/>
        <v>315000</v>
      </c>
    </row>
    <row r="191" ht="27.0" customHeight="1">
      <c r="A191" s="12">
        <f t="shared" si="34"/>
        <v>187</v>
      </c>
      <c r="B191" s="13" t="s">
        <v>22</v>
      </c>
      <c r="C191" s="15">
        <v>10717.0</v>
      </c>
      <c r="D191" s="16" t="s">
        <v>260</v>
      </c>
      <c r="E191" s="213" t="s">
        <v>884</v>
      </c>
      <c r="F191" s="124">
        <v>10762.0</v>
      </c>
      <c r="G191" s="30" t="s">
        <v>885</v>
      </c>
      <c r="H191" s="30" t="s">
        <v>885</v>
      </c>
      <c r="I191" s="30"/>
      <c r="J191" s="15" t="s">
        <v>420</v>
      </c>
      <c r="K191" s="20" t="s">
        <v>446</v>
      </c>
      <c r="L191" s="21" t="s">
        <v>338</v>
      </c>
      <c r="M191" s="21"/>
      <c r="N191" s="109">
        <v>45308.0</v>
      </c>
      <c r="O191" s="109">
        <v>45308.0</v>
      </c>
      <c r="P191" s="110" t="s">
        <v>422</v>
      </c>
      <c r="Q191" s="111"/>
      <c r="R191" s="112"/>
      <c r="S191" s="21" t="s">
        <v>423</v>
      </c>
      <c r="T191" s="21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>
        <v>100000.0</v>
      </c>
      <c r="AJ191" s="114" t="s">
        <v>424</v>
      </c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21"/>
      <c r="AU191" s="114"/>
      <c r="AV191" s="114"/>
      <c r="AW191" s="114"/>
      <c r="AX191" s="114"/>
      <c r="AY191" s="114"/>
      <c r="AZ191" s="114"/>
      <c r="BA191" s="114"/>
      <c r="BB191" s="114"/>
      <c r="BC191" s="114"/>
      <c r="BD191" s="114"/>
      <c r="BE191" s="114"/>
      <c r="BF191" s="121"/>
      <c r="BG191" s="114"/>
      <c r="BH191" s="114"/>
      <c r="BI191" s="114"/>
      <c r="BJ191" s="114"/>
      <c r="BK191" s="114"/>
      <c r="BL191" s="114"/>
      <c r="BM191" s="114"/>
      <c r="BN191" s="116">
        <f t="shared" si="31"/>
        <v>0</v>
      </c>
      <c r="BO191" s="117">
        <v>0.0</v>
      </c>
      <c r="BP191" s="117">
        <v>0.0</v>
      </c>
      <c r="BQ191" s="118">
        <f t="shared" ref="BQ191:BQ192" si="46">sum(U191:BH191)</f>
        <v>100000</v>
      </c>
      <c r="BR191" s="119">
        <f t="shared" si="42"/>
        <v>100000</v>
      </c>
    </row>
    <row r="192" ht="27.0" customHeight="1">
      <c r="A192" s="12">
        <f t="shared" si="34"/>
        <v>188</v>
      </c>
      <c r="B192" s="13" t="s">
        <v>22</v>
      </c>
      <c r="C192" s="15">
        <v>10717.0</v>
      </c>
      <c r="D192" s="16" t="s">
        <v>260</v>
      </c>
      <c r="E192" s="16" t="s">
        <v>884</v>
      </c>
      <c r="F192" s="124">
        <v>12254.0</v>
      </c>
      <c r="G192" s="40" t="s">
        <v>848</v>
      </c>
      <c r="H192" s="40" t="s">
        <v>849</v>
      </c>
      <c r="I192" s="40"/>
      <c r="J192" s="15" t="s">
        <v>420</v>
      </c>
      <c r="K192" s="20" t="s">
        <v>421</v>
      </c>
      <c r="L192" s="21" t="s">
        <v>338</v>
      </c>
      <c r="M192" s="21"/>
      <c r="N192" s="109">
        <v>45440.0</v>
      </c>
      <c r="O192" s="109">
        <v>45440.0</v>
      </c>
      <c r="P192" s="110" t="s">
        <v>422</v>
      </c>
      <c r="Q192" s="111">
        <v>45470.0</v>
      </c>
      <c r="R192" s="112"/>
      <c r="S192" s="21" t="s">
        <v>423</v>
      </c>
      <c r="T192" s="21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>
        <v>150000.0</v>
      </c>
      <c r="AN192" s="114" t="s">
        <v>424</v>
      </c>
      <c r="AO192" s="114"/>
      <c r="AP192" s="114"/>
      <c r="AQ192" s="114"/>
      <c r="AR192" s="114"/>
      <c r="AS192" s="114"/>
      <c r="AT192" s="121"/>
      <c r="AU192" s="114"/>
      <c r="AV192" s="114"/>
      <c r="AW192" s="114"/>
      <c r="AX192" s="114"/>
      <c r="AY192" s="114"/>
      <c r="AZ192" s="114"/>
      <c r="BA192" s="114"/>
      <c r="BB192" s="114"/>
      <c r="BC192" s="114"/>
      <c r="BD192" s="114"/>
      <c r="BE192" s="114"/>
      <c r="BF192" s="121"/>
      <c r="BG192" s="114"/>
      <c r="BH192" s="114"/>
      <c r="BI192" s="114"/>
      <c r="BJ192" s="114"/>
      <c r="BK192" s="114"/>
      <c r="BL192" s="114"/>
      <c r="BM192" s="114"/>
      <c r="BN192" s="116">
        <f t="shared" si="31"/>
        <v>0</v>
      </c>
      <c r="BO192" s="117">
        <f>SUM(AM192)</f>
        <v>150000</v>
      </c>
      <c r="BP192" s="117">
        <v>0.0</v>
      </c>
      <c r="BQ192" s="118">
        <f t="shared" si="46"/>
        <v>150000</v>
      </c>
      <c r="BR192" s="119">
        <f t="shared" si="42"/>
        <v>150000</v>
      </c>
    </row>
    <row r="193" ht="27.0" customHeight="1">
      <c r="A193" s="12">
        <f t="shared" si="34"/>
        <v>189</v>
      </c>
      <c r="B193" s="13" t="s">
        <v>43</v>
      </c>
      <c r="C193" s="15">
        <v>5836.0</v>
      </c>
      <c r="D193" s="16" t="s">
        <v>268</v>
      </c>
      <c r="E193" s="16" t="s">
        <v>269</v>
      </c>
      <c r="F193" s="124">
        <v>10227.0</v>
      </c>
      <c r="G193" s="30" t="s">
        <v>886</v>
      </c>
      <c r="H193" s="214" t="s">
        <v>887</v>
      </c>
      <c r="I193" s="214"/>
      <c r="J193" s="15" t="s">
        <v>420</v>
      </c>
      <c r="K193" s="20" t="s">
        <v>421</v>
      </c>
      <c r="L193" s="21" t="s">
        <v>338</v>
      </c>
      <c r="M193" s="21"/>
      <c r="N193" s="109">
        <v>45200.0</v>
      </c>
      <c r="O193" s="109">
        <v>45207.0</v>
      </c>
      <c r="P193" s="110" t="s">
        <v>422</v>
      </c>
      <c r="Q193" s="111"/>
      <c r="R193" s="112"/>
      <c r="S193" s="21" t="s">
        <v>433</v>
      </c>
      <c r="T193" s="21" t="s">
        <v>434</v>
      </c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37">
        <v>150000.0</v>
      </c>
      <c r="AG193" s="114" t="s">
        <v>424</v>
      </c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21"/>
      <c r="AU193" s="114"/>
      <c r="AV193" s="114"/>
      <c r="AW193" s="114"/>
      <c r="AX193" s="114"/>
      <c r="AY193" s="114"/>
      <c r="AZ193" s="114"/>
      <c r="BA193" s="114"/>
      <c r="BB193" s="114"/>
      <c r="BC193" s="114"/>
      <c r="BD193" s="114"/>
      <c r="BE193" s="114"/>
      <c r="BF193" s="121"/>
      <c r="BG193" s="114"/>
      <c r="BH193" s="114"/>
      <c r="BI193" s="114"/>
      <c r="BJ193" s="114"/>
      <c r="BK193" s="114"/>
      <c r="BL193" s="114"/>
      <c r="BM193" s="114"/>
      <c r="BN193" s="123">
        <f t="shared" si="31"/>
        <v>150000</v>
      </c>
      <c r="BO193" s="117">
        <v>0.0</v>
      </c>
      <c r="BP193" s="117">
        <v>0.0</v>
      </c>
      <c r="BQ193" s="118">
        <f>sum(AI193:AN193)</f>
        <v>0</v>
      </c>
      <c r="BR193" s="119">
        <f t="shared" si="42"/>
        <v>150000</v>
      </c>
    </row>
    <row r="194" ht="27.0" customHeight="1">
      <c r="A194" s="12">
        <f t="shared" si="34"/>
        <v>190</v>
      </c>
      <c r="B194" s="13" t="s">
        <v>43</v>
      </c>
      <c r="C194" s="15">
        <v>4896.0</v>
      </c>
      <c r="D194" s="16" t="s">
        <v>274</v>
      </c>
      <c r="E194" s="16" t="s">
        <v>275</v>
      </c>
      <c r="F194" s="124">
        <v>10725.0</v>
      </c>
      <c r="G194" s="30" t="s">
        <v>888</v>
      </c>
      <c r="H194" s="214" t="s">
        <v>889</v>
      </c>
      <c r="I194" s="214"/>
      <c r="J194" s="15" t="s">
        <v>420</v>
      </c>
      <c r="K194" s="20" t="s">
        <v>443</v>
      </c>
      <c r="L194" s="21" t="s">
        <v>338</v>
      </c>
      <c r="M194" s="21"/>
      <c r="N194" s="109">
        <v>45258.0</v>
      </c>
      <c r="O194" s="109">
        <v>45461.0</v>
      </c>
      <c r="P194" s="110" t="s">
        <v>422</v>
      </c>
      <c r="Q194" s="111"/>
      <c r="R194" s="112"/>
      <c r="S194" s="21" t="s">
        <v>433</v>
      </c>
      <c r="T194" s="21" t="s">
        <v>434</v>
      </c>
      <c r="U194" s="206"/>
      <c r="V194" s="206"/>
      <c r="W194" s="206"/>
      <c r="X194" s="206"/>
      <c r="Y194" s="206"/>
      <c r="Z194" s="206"/>
      <c r="AA194" s="206"/>
      <c r="AB194" s="206"/>
      <c r="AC194" s="206"/>
      <c r="AD194" s="206"/>
      <c r="AE194" s="206"/>
      <c r="AF194" s="206"/>
      <c r="AG194" s="113">
        <v>8333.0</v>
      </c>
      <c r="AH194" s="114" t="s">
        <v>128</v>
      </c>
      <c r="AI194" s="113">
        <v>8333.0</v>
      </c>
      <c r="AJ194" s="113">
        <v>8333.0</v>
      </c>
      <c r="AK194" s="113">
        <v>8333.0</v>
      </c>
      <c r="AL194" s="113">
        <v>8333.0</v>
      </c>
      <c r="AM194" s="113">
        <v>8333.0</v>
      </c>
      <c r="AN194" s="113">
        <v>8333.0</v>
      </c>
      <c r="AO194" s="113">
        <v>8333.0</v>
      </c>
      <c r="AP194" s="113">
        <v>8333.0</v>
      </c>
      <c r="AQ194" s="113">
        <v>8333.0</v>
      </c>
      <c r="AR194" s="113">
        <v>8333.0</v>
      </c>
      <c r="AS194" s="113">
        <v>8333.0</v>
      </c>
      <c r="AT194" s="121" t="s">
        <v>424</v>
      </c>
      <c r="AU194" s="114"/>
      <c r="AV194" s="114"/>
      <c r="AW194" s="114"/>
      <c r="AX194" s="114"/>
      <c r="AY194" s="114"/>
      <c r="AZ194" s="114"/>
      <c r="BA194" s="114"/>
      <c r="BB194" s="114"/>
      <c r="BC194" s="114"/>
      <c r="BD194" s="114"/>
      <c r="BE194" s="114"/>
      <c r="BF194" s="121"/>
      <c r="BG194" s="114"/>
      <c r="BH194" s="114"/>
      <c r="BI194" s="114"/>
      <c r="BJ194" s="114"/>
      <c r="BK194" s="114"/>
      <c r="BL194" s="114"/>
      <c r="BM194" s="114"/>
      <c r="BN194" s="123">
        <f t="shared" si="31"/>
        <v>99996</v>
      </c>
      <c r="BO194" s="117">
        <v>0.0</v>
      </c>
      <c r="BP194" s="117">
        <v>0.0</v>
      </c>
      <c r="BQ194" s="118">
        <v>0.0</v>
      </c>
      <c r="BR194" s="119">
        <f t="shared" si="42"/>
        <v>99996</v>
      </c>
    </row>
    <row r="195" ht="27.0" customHeight="1">
      <c r="A195" s="12">
        <f t="shared" si="34"/>
        <v>191</v>
      </c>
      <c r="B195" s="13" t="s">
        <v>43</v>
      </c>
      <c r="C195" s="15">
        <v>7233.0</v>
      </c>
      <c r="D195" s="16" t="s">
        <v>280</v>
      </c>
      <c r="E195" s="16" t="s">
        <v>281</v>
      </c>
      <c r="F195" s="124">
        <v>11930.0</v>
      </c>
      <c r="G195" s="30" t="s">
        <v>890</v>
      </c>
      <c r="H195" s="213" t="s">
        <v>891</v>
      </c>
      <c r="I195" s="213"/>
      <c r="J195" s="15" t="s">
        <v>420</v>
      </c>
      <c r="K195" s="20" t="s">
        <v>421</v>
      </c>
      <c r="L195" s="21" t="s">
        <v>338</v>
      </c>
      <c r="M195" s="21"/>
      <c r="N195" s="109">
        <v>45405.0</v>
      </c>
      <c r="O195" s="109">
        <v>45415.0</v>
      </c>
      <c r="P195" s="110" t="s">
        <v>422</v>
      </c>
      <c r="Q195" s="111">
        <v>45429.0</v>
      </c>
      <c r="R195" s="112"/>
      <c r="S195" s="21" t="s">
        <v>423</v>
      </c>
      <c r="T195" s="21"/>
      <c r="U195" s="206"/>
      <c r="V195" s="206"/>
      <c r="W195" s="206"/>
      <c r="X195" s="206"/>
      <c r="Y195" s="206"/>
      <c r="Z195" s="206"/>
      <c r="AA195" s="206"/>
      <c r="AB195" s="206"/>
      <c r="AC195" s="206"/>
      <c r="AD195" s="206"/>
      <c r="AE195" s="206"/>
      <c r="AF195" s="206"/>
      <c r="AG195" s="114"/>
      <c r="AH195" s="114"/>
      <c r="AI195" s="114"/>
      <c r="AJ195" s="114"/>
      <c r="AK195" s="114"/>
      <c r="AL195" s="114">
        <v>150000.0</v>
      </c>
      <c r="AM195" s="114" t="s">
        <v>424</v>
      </c>
      <c r="AN195" s="114"/>
      <c r="AO195" s="114"/>
      <c r="AP195" s="114"/>
      <c r="AQ195" s="114"/>
      <c r="AR195" s="114"/>
      <c r="AS195" s="114"/>
      <c r="AT195" s="121"/>
      <c r="AU195" s="114"/>
      <c r="AV195" s="114"/>
      <c r="AW195" s="114"/>
      <c r="AX195" s="114"/>
      <c r="AY195" s="114"/>
      <c r="AZ195" s="114"/>
      <c r="BA195" s="114"/>
      <c r="BB195" s="114"/>
      <c r="BC195" s="114"/>
      <c r="BD195" s="114"/>
      <c r="BE195" s="114"/>
      <c r="BF195" s="121"/>
      <c r="BG195" s="114"/>
      <c r="BH195" s="114"/>
      <c r="BI195" s="114"/>
      <c r="BJ195" s="114"/>
      <c r="BK195" s="114"/>
      <c r="BL195" s="114"/>
      <c r="BM195" s="114"/>
      <c r="BN195" s="116">
        <f t="shared" si="31"/>
        <v>0</v>
      </c>
      <c r="BO195" s="117">
        <f>SUM(AL195)</f>
        <v>150000</v>
      </c>
      <c r="BP195" s="117">
        <v>0.0</v>
      </c>
      <c r="BQ195" s="118">
        <f>sum(U195:BH195)</f>
        <v>150000</v>
      </c>
      <c r="BR195" s="119">
        <f t="shared" si="42"/>
        <v>150000</v>
      </c>
    </row>
    <row r="196" ht="27.0" customHeight="1">
      <c r="A196" s="12">
        <f t="shared" si="34"/>
        <v>192</v>
      </c>
      <c r="B196" s="13" t="s">
        <v>43</v>
      </c>
      <c r="C196" s="15">
        <v>2700.0</v>
      </c>
      <c r="D196" s="16" t="s">
        <v>286</v>
      </c>
      <c r="E196" s="16" t="s">
        <v>287</v>
      </c>
      <c r="F196" s="124">
        <v>8412.0</v>
      </c>
      <c r="G196" s="30" t="s">
        <v>892</v>
      </c>
      <c r="H196" s="214" t="s">
        <v>893</v>
      </c>
      <c r="I196" s="214"/>
      <c r="J196" s="15" t="s">
        <v>420</v>
      </c>
      <c r="K196" s="20" t="s">
        <v>443</v>
      </c>
      <c r="L196" s="21" t="s">
        <v>338</v>
      </c>
      <c r="M196" s="21"/>
      <c r="N196" s="109">
        <v>44997.0</v>
      </c>
      <c r="O196" s="109">
        <v>45168.0</v>
      </c>
      <c r="P196" s="110" t="s">
        <v>422</v>
      </c>
      <c r="Q196" s="111"/>
      <c r="R196" s="112"/>
      <c r="S196" s="21" t="s">
        <v>450</v>
      </c>
      <c r="T196" s="21" t="s">
        <v>434</v>
      </c>
      <c r="U196" s="159"/>
      <c r="V196" s="159"/>
      <c r="W196" s="159"/>
      <c r="X196" s="159"/>
      <c r="Y196" s="126">
        <v>8333.0</v>
      </c>
      <c r="Z196" s="126">
        <v>8333.0</v>
      </c>
      <c r="AA196" s="126">
        <v>8333.0</v>
      </c>
      <c r="AB196" s="114">
        <v>8333.0</v>
      </c>
      <c r="AC196" s="113" t="s">
        <v>440</v>
      </c>
      <c r="AD196" s="114">
        <v>8333.0</v>
      </c>
      <c r="AE196" s="114">
        <v>8333.0</v>
      </c>
      <c r="AF196" s="113" t="s">
        <v>440</v>
      </c>
      <c r="AG196" s="113" t="s">
        <v>440</v>
      </c>
      <c r="AH196" s="113" t="s">
        <v>440</v>
      </c>
      <c r="AI196" s="113">
        <v>8333.0</v>
      </c>
      <c r="AJ196" s="113">
        <v>8333.0</v>
      </c>
      <c r="AK196" s="114" t="s">
        <v>424</v>
      </c>
      <c r="AL196" s="113"/>
      <c r="AM196" s="113"/>
      <c r="AN196" s="113"/>
      <c r="AO196" s="113"/>
      <c r="AP196" s="114"/>
      <c r="AQ196" s="114"/>
      <c r="AR196" s="114"/>
      <c r="AS196" s="114"/>
      <c r="AT196" s="121"/>
      <c r="AU196" s="114"/>
      <c r="AV196" s="114"/>
      <c r="AW196" s="114"/>
      <c r="AX196" s="114"/>
      <c r="AY196" s="114"/>
      <c r="AZ196" s="114"/>
      <c r="BA196" s="114"/>
      <c r="BB196" s="114"/>
      <c r="BC196" s="114"/>
      <c r="BD196" s="114"/>
      <c r="BE196" s="114"/>
      <c r="BF196" s="121"/>
      <c r="BG196" s="114"/>
      <c r="BH196" s="114"/>
      <c r="BI196" s="114"/>
      <c r="BJ196" s="114"/>
      <c r="BK196" s="114"/>
      <c r="BL196" s="114"/>
      <c r="BM196" s="114"/>
      <c r="BN196" s="123">
        <f t="shared" si="31"/>
        <v>16666</v>
      </c>
      <c r="BO196" s="117">
        <v>0.0</v>
      </c>
      <c r="BP196" s="117">
        <v>0.0</v>
      </c>
      <c r="BQ196" s="118">
        <f>sum(Y196:AE196)</f>
        <v>49998</v>
      </c>
      <c r="BR196" s="119">
        <f t="shared" si="42"/>
        <v>66664</v>
      </c>
    </row>
    <row r="197" ht="27.0" customHeight="1">
      <c r="A197" s="12">
        <f t="shared" si="34"/>
        <v>193</v>
      </c>
      <c r="B197" s="13" t="s">
        <v>43</v>
      </c>
      <c r="C197" s="15">
        <v>2700.0</v>
      </c>
      <c r="D197" s="16" t="s">
        <v>286</v>
      </c>
      <c r="E197" s="16" t="s">
        <v>287</v>
      </c>
      <c r="F197" s="124">
        <v>7537.0</v>
      </c>
      <c r="G197" s="30" t="s">
        <v>894</v>
      </c>
      <c r="H197" s="30" t="s">
        <v>286</v>
      </c>
      <c r="I197" s="30"/>
      <c r="J197" s="15" t="s">
        <v>420</v>
      </c>
      <c r="K197" s="20" t="s">
        <v>443</v>
      </c>
      <c r="L197" s="21" t="s">
        <v>338</v>
      </c>
      <c r="M197" s="21"/>
      <c r="N197" s="109">
        <v>44893.0</v>
      </c>
      <c r="O197" s="109">
        <v>45224.0</v>
      </c>
      <c r="P197" s="110" t="s">
        <v>422</v>
      </c>
      <c r="Q197" s="111"/>
      <c r="R197" s="112"/>
      <c r="S197" s="21" t="s">
        <v>423</v>
      </c>
      <c r="T197" s="21"/>
      <c r="U197" s="126">
        <v>8333.0</v>
      </c>
      <c r="V197" s="126">
        <v>8333.0</v>
      </c>
      <c r="W197" s="126">
        <v>8333.0</v>
      </c>
      <c r="X197" s="126">
        <v>8333.0</v>
      </c>
      <c r="Y197" s="126">
        <v>8333.0</v>
      </c>
      <c r="Z197" s="126">
        <v>8333.0</v>
      </c>
      <c r="AA197" s="159">
        <v>8333.0</v>
      </c>
      <c r="AB197" s="114">
        <v>8333.0</v>
      </c>
      <c r="AC197" s="114">
        <v>8333.0</v>
      </c>
      <c r="AD197" s="114">
        <v>8333.0</v>
      </c>
      <c r="AE197" s="114">
        <v>8333.0</v>
      </c>
      <c r="AF197" s="114">
        <v>8333.0</v>
      </c>
      <c r="AG197" s="114" t="s">
        <v>424</v>
      </c>
      <c r="AH197" s="137"/>
      <c r="AI197" s="137"/>
      <c r="AJ197" s="137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21"/>
      <c r="AU197" s="114"/>
      <c r="AV197" s="114"/>
      <c r="AW197" s="114"/>
      <c r="AX197" s="114"/>
      <c r="AY197" s="114"/>
      <c r="AZ197" s="114"/>
      <c r="BA197" s="114"/>
      <c r="BB197" s="114"/>
      <c r="BC197" s="114"/>
      <c r="BD197" s="114"/>
      <c r="BE197" s="114"/>
      <c r="BF197" s="121"/>
      <c r="BG197" s="114"/>
      <c r="BH197" s="114"/>
      <c r="BI197" s="114"/>
      <c r="BJ197" s="114"/>
      <c r="BK197" s="114"/>
      <c r="BL197" s="114"/>
      <c r="BM197" s="114"/>
      <c r="BN197" s="116">
        <f t="shared" si="31"/>
        <v>0</v>
      </c>
      <c r="BO197" s="117">
        <v>0.0</v>
      </c>
      <c r="BP197" s="117">
        <v>0.0</v>
      </c>
      <c r="BQ197" s="118">
        <f t="shared" ref="BQ197:BQ198" si="47">sum(U197:BH197)</f>
        <v>99996</v>
      </c>
      <c r="BR197" s="119">
        <f t="shared" si="42"/>
        <v>99996</v>
      </c>
    </row>
    <row r="198" ht="27.0" customHeight="1">
      <c r="A198" s="12">
        <f t="shared" si="34"/>
        <v>194</v>
      </c>
      <c r="B198" s="13" t="s">
        <v>43</v>
      </c>
      <c r="C198" s="15">
        <v>2700.0</v>
      </c>
      <c r="D198" s="16" t="s">
        <v>286</v>
      </c>
      <c r="E198" s="16" t="s">
        <v>287</v>
      </c>
      <c r="F198" s="124">
        <v>7425.0</v>
      </c>
      <c r="G198" s="30" t="s">
        <v>895</v>
      </c>
      <c r="H198" s="30" t="s">
        <v>896</v>
      </c>
      <c r="I198" s="30"/>
      <c r="J198" s="15" t="s">
        <v>420</v>
      </c>
      <c r="K198" s="20" t="s">
        <v>443</v>
      </c>
      <c r="L198" s="21" t="s">
        <v>338</v>
      </c>
      <c r="M198" s="21"/>
      <c r="N198" s="109">
        <v>44881.0</v>
      </c>
      <c r="O198" s="109">
        <v>45211.0</v>
      </c>
      <c r="P198" s="110" t="s">
        <v>422</v>
      </c>
      <c r="Q198" s="111"/>
      <c r="R198" s="112"/>
      <c r="S198" s="21" t="s">
        <v>423</v>
      </c>
      <c r="T198" s="21"/>
      <c r="U198" s="126">
        <v>8333.0</v>
      </c>
      <c r="V198" s="126">
        <v>8333.0</v>
      </c>
      <c r="W198" s="126">
        <v>8333.0</v>
      </c>
      <c r="X198" s="126">
        <v>8333.0</v>
      </c>
      <c r="Y198" s="126">
        <v>8333.0</v>
      </c>
      <c r="Z198" s="126">
        <v>8333.0</v>
      </c>
      <c r="AA198" s="126">
        <v>8333.0</v>
      </c>
      <c r="AB198" s="114">
        <v>8333.0</v>
      </c>
      <c r="AC198" s="114">
        <v>8333.0</v>
      </c>
      <c r="AD198" s="114">
        <v>8333.0</v>
      </c>
      <c r="AE198" s="114">
        <v>8333.0</v>
      </c>
      <c r="AF198" s="114">
        <v>8333.0</v>
      </c>
      <c r="AG198" s="114" t="s">
        <v>424</v>
      </c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21"/>
      <c r="AU198" s="114"/>
      <c r="AV198" s="114"/>
      <c r="AW198" s="114"/>
      <c r="AX198" s="114"/>
      <c r="AY198" s="114"/>
      <c r="AZ198" s="114"/>
      <c r="BA198" s="114"/>
      <c r="BB198" s="114"/>
      <c r="BC198" s="114"/>
      <c r="BD198" s="114"/>
      <c r="BE198" s="114"/>
      <c r="BF198" s="121"/>
      <c r="BG198" s="114"/>
      <c r="BH198" s="114"/>
      <c r="BI198" s="114"/>
      <c r="BJ198" s="114"/>
      <c r="BK198" s="114"/>
      <c r="BL198" s="114"/>
      <c r="BM198" s="114"/>
      <c r="BN198" s="116">
        <f t="shared" si="31"/>
        <v>0</v>
      </c>
      <c r="BO198" s="117">
        <v>0.0</v>
      </c>
      <c r="BP198" s="117">
        <v>0.0</v>
      </c>
      <c r="BQ198" s="118">
        <f t="shared" si="47"/>
        <v>99996</v>
      </c>
      <c r="BR198" s="119">
        <f t="shared" si="42"/>
        <v>99996</v>
      </c>
    </row>
    <row r="199" ht="27.0" customHeight="1">
      <c r="A199" s="12">
        <f t="shared" si="34"/>
        <v>195</v>
      </c>
      <c r="B199" s="13" t="s">
        <v>43</v>
      </c>
      <c r="C199" s="15">
        <v>2700.0</v>
      </c>
      <c r="D199" s="16" t="s">
        <v>286</v>
      </c>
      <c r="E199" s="16" t="s">
        <v>287</v>
      </c>
      <c r="F199" s="124">
        <v>8412.0</v>
      </c>
      <c r="G199" s="30" t="s">
        <v>892</v>
      </c>
      <c r="H199" s="30" t="s">
        <v>897</v>
      </c>
      <c r="I199" s="30"/>
      <c r="J199" s="15" t="s">
        <v>420</v>
      </c>
      <c r="K199" s="20" t="s">
        <v>443</v>
      </c>
      <c r="L199" s="21" t="s">
        <v>338</v>
      </c>
      <c r="M199" s="21"/>
      <c r="N199" s="109">
        <v>45109.0</v>
      </c>
      <c r="O199" s="109">
        <v>45589.0</v>
      </c>
      <c r="P199" s="110" t="s">
        <v>422</v>
      </c>
      <c r="Q199" s="111"/>
      <c r="R199" s="112"/>
      <c r="S199" s="21" t="s">
        <v>450</v>
      </c>
      <c r="T199" s="21" t="s">
        <v>434</v>
      </c>
      <c r="U199" s="159"/>
      <c r="V199" s="159"/>
      <c r="W199" s="159"/>
      <c r="X199" s="159"/>
      <c r="Y199" s="159"/>
      <c r="Z199" s="159"/>
      <c r="AA199" s="159"/>
      <c r="AB199" s="159"/>
      <c r="AC199" s="114">
        <v>8333.0</v>
      </c>
      <c r="AD199" s="114">
        <v>8333.0</v>
      </c>
      <c r="AE199" s="114">
        <v>8333.0</v>
      </c>
      <c r="AF199" s="114">
        <v>8333.0</v>
      </c>
      <c r="AG199" s="113">
        <v>8333.0</v>
      </c>
      <c r="AH199" s="113">
        <v>8333.0</v>
      </c>
      <c r="AI199" s="113">
        <v>8333.0</v>
      </c>
      <c r="AJ199" s="113">
        <v>8333.0</v>
      </c>
      <c r="AK199" s="113">
        <v>8333.0</v>
      </c>
      <c r="AL199" s="113">
        <v>8333.0</v>
      </c>
      <c r="AM199" s="113">
        <v>8333.0</v>
      </c>
      <c r="AN199" s="113">
        <v>8333.0</v>
      </c>
      <c r="AO199" s="114" t="s">
        <v>424</v>
      </c>
      <c r="AP199" s="113"/>
      <c r="AQ199" s="113"/>
      <c r="AR199" s="113"/>
      <c r="AS199" s="113"/>
      <c r="AT199" s="115"/>
      <c r="AU199" s="113"/>
      <c r="AV199" s="113"/>
      <c r="AW199" s="113"/>
      <c r="AX199" s="113"/>
      <c r="AY199" s="113"/>
      <c r="AZ199" s="113"/>
      <c r="BA199" s="113"/>
      <c r="BB199" s="113"/>
      <c r="BC199" s="113"/>
      <c r="BD199" s="113"/>
      <c r="BE199" s="113"/>
      <c r="BF199" s="115"/>
      <c r="BG199" s="113"/>
      <c r="BH199" s="113"/>
      <c r="BI199" s="113"/>
      <c r="BJ199" s="113"/>
      <c r="BK199" s="113"/>
      <c r="BL199" s="113"/>
      <c r="BM199" s="113"/>
      <c r="BN199" s="123">
        <f t="shared" si="31"/>
        <v>66664</v>
      </c>
      <c r="BO199" s="117">
        <v>0.0</v>
      </c>
      <c r="BP199" s="117">
        <v>0.0</v>
      </c>
      <c r="BQ199" s="118">
        <f>sum(AC199:AF199)</f>
        <v>33332</v>
      </c>
      <c r="BR199" s="119">
        <f t="shared" si="42"/>
        <v>99996</v>
      </c>
    </row>
    <row r="200" ht="27.0" customHeight="1">
      <c r="A200" s="12">
        <f t="shared" si="34"/>
        <v>196</v>
      </c>
      <c r="B200" s="13" t="s">
        <v>43</v>
      </c>
      <c r="C200" s="15" t="s">
        <v>128</v>
      </c>
      <c r="D200" s="215" t="s">
        <v>292</v>
      </c>
      <c r="E200" s="215" t="s">
        <v>293</v>
      </c>
      <c r="F200" s="122" t="s">
        <v>898</v>
      </c>
      <c r="G200" s="69" t="s">
        <v>899</v>
      </c>
      <c r="H200" s="69" t="s">
        <v>607</v>
      </c>
      <c r="I200" s="69"/>
      <c r="J200" s="15" t="s">
        <v>420</v>
      </c>
      <c r="K200" s="20" t="s">
        <v>421</v>
      </c>
      <c r="L200" s="21" t="s">
        <v>338</v>
      </c>
      <c r="M200" s="21"/>
      <c r="N200" s="109">
        <v>45519.0</v>
      </c>
      <c r="O200" s="109">
        <v>45523.0</v>
      </c>
      <c r="P200" s="110" t="s">
        <v>422</v>
      </c>
      <c r="Q200" s="111">
        <v>45524.0</v>
      </c>
      <c r="R200" s="112"/>
      <c r="S200" s="21" t="s">
        <v>423</v>
      </c>
      <c r="T200" s="21"/>
      <c r="U200" s="159"/>
      <c r="V200" s="206"/>
      <c r="W200" s="206"/>
      <c r="X200" s="206"/>
      <c r="Y200" s="206"/>
      <c r="Z200" s="206"/>
      <c r="AA200" s="206"/>
      <c r="AB200" s="206"/>
      <c r="AC200" s="206"/>
      <c r="AD200" s="206"/>
      <c r="AE200" s="206"/>
      <c r="AF200" s="206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>
        <v>150000.0</v>
      </c>
      <c r="AQ200" s="114" t="s">
        <v>424</v>
      </c>
      <c r="AR200" s="114"/>
      <c r="AS200" s="114"/>
      <c r="AT200" s="121"/>
      <c r="AU200" s="114"/>
      <c r="AV200" s="114"/>
      <c r="AW200" s="114"/>
      <c r="AX200" s="114"/>
      <c r="AY200" s="114"/>
      <c r="AZ200" s="114"/>
      <c r="BA200" s="114"/>
      <c r="BB200" s="114"/>
      <c r="BC200" s="114"/>
      <c r="BD200" s="114"/>
      <c r="BE200" s="114"/>
      <c r="BF200" s="121"/>
      <c r="BG200" s="114"/>
      <c r="BH200" s="114"/>
      <c r="BI200" s="114"/>
      <c r="BJ200" s="114"/>
      <c r="BK200" s="114"/>
      <c r="BL200" s="114"/>
      <c r="BM200" s="114"/>
      <c r="BN200" s="116">
        <f t="shared" si="31"/>
        <v>0</v>
      </c>
      <c r="BO200" s="117">
        <f>SUM(AP200)</f>
        <v>150000</v>
      </c>
      <c r="BP200" s="117">
        <v>0.0</v>
      </c>
      <c r="BQ200" s="118">
        <f t="shared" ref="BQ200:BQ205" si="48">sum(U200:BH200)</f>
        <v>150000</v>
      </c>
      <c r="BR200" s="119">
        <f t="shared" si="42"/>
        <v>150000</v>
      </c>
    </row>
    <row r="201" ht="33.0" customHeight="1">
      <c r="A201" s="12">
        <f t="shared" si="34"/>
        <v>197</v>
      </c>
      <c r="B201" s="13" t="s">
        <v>43</v>
      </c>
      <c r="C201" s="15" t="s">
        <v>128</v>
      </c>
      <c r="D201" s="215" t="s">
        <v>292</v>
      </c>
      <c r="E201" s="215" t="s">
        <v>293</v>
      </c>
      <c r="F201" s="179">
        <v>15617.0</v>
      </c>
      <c r="G201" s="69" t="s">
        <v>900</v>
      </c>
      <c r="H201" s="31" t="s">
        <v>901</v>
      </c>
      <c r="I201" s="31"/>
      <c r="J201" s="15" t="s">
        <v>420</v>
      </c>
      <c r="K201" s="20" t="s">
        <v>421</v>
      </c>
      <c r="L201" s="21" t="s">
        <v>338</v>
      </c>
      <c r="M201" s="216" t="s">
        <v>902</v>
      </c>
      <c r="N201" s="109">
        <v>45807.0</v>
      </c>
      <c r="O201" s="109">
        <v>45841.0</v>
      </c>
      <c r="P201" s="110" t="s">
        <v>422</v>
      </c>
      <c r="Q201" s="111">
        <v>45855.0</v>
      </c>
      <c r="R201" s="112"/>
      <c r="S201" s="21" t="s">
        <v>423</v>
      </c>
      <c r="T201" s="21"/>
      <c r="U201" s="159"/>
      <c r="V201" s="206"/>
      <c r="W201" s="206"/>
      <c r="X201" s="206"/>
      <c r="Y201" s="206"/>
      <c r="Z201" s="206"/>
      <c r="AA201" s="206"/>
      <c r="AB201" s="206"/>
      <c r="AC201" s="206"/>
      <c r="AD201" s="206"/>
      <c r="AE201" s="206"/>
      <c r="AF201" s="206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21"/>
      <c r="AU201" s="114"/>
      <c r="AV201" s="114"/>
      <c r="AW201" s="114"/>
      <c r="AX201" s="114"/>
      <c r="AY201" s="114"/>
      <c r="AZ201" s="114"/>
      <c r="BA201" s="114">
        <v>150000.0</v>
      </c>
      <c r="BB201" s="114" t="s">
        <v>424</v>
      </c>
      <c r="BC201" s="114"/>
      <c r="BD201" s="114"/>
      <c r="BE201" s="114"/>
      <c r="BF201" s="121"/>
      <c r="BG201" s="114"/>
      <c r="BH201" s="114"/>
      <c r="BI201" s="114"/>
      <c r="BJ201" s="114"/>
      <c r="BK201" s="114"/>
      <c r="BL201" s="114"/>
      <c r="BM201" s="114"/>
      <c r="BN201" s="116">
        <f t="shared" si="31"/>
        <v>0</v>
      </c>
      <c r="BO201" s="117">
        <v>150000.0</v>
      </c>
      <c r="BP201" s="117">
        <v>0.0</v>
      </c>
      <c r="BQ201" s="118">
        <f t="shared" si="48"/>
        <v>150000</v>
      </c>
      <c r="BR201" s="119">
        <f t="shared" si="42"/>
        <v>150000</v>
      </c>
    </row>
    <row r="202" ht="33.75" customHeight="1">
      <c r="A202" s="12">
        <f t="shared" si="34"/>
        <v>198</v>
      </c>
      <c r="B202" s="13" t="s">
        <v>43</v>
      </c>
      <c r="C202" s="15" t="s">
        <v>128</v>
      </c>
      <c r="D202" s="215" t="s">
        <v>292</v>
      </c>
      <c r="E202" s="215" t="s">
        <v>293</v>
      </c>
      <c r="F202" s="179">
        <v>15617.0</v>
      </c>
      <c r="G202" s="69" t="s">
        <v>900</v>
      </c>
      <c r="H202" s="31" t="s">
        <v>903</v>
      </c>
      <c r="I202" s="31"/>
      <c r="J202" s="15" t="s">
        <v>420</v>
      </c>
      <c r="K202" s="20" t="s">
        <v>421</v>
      </c>
      <c r="L202" s="21" t="s">
        <v>338</v>
      </c>
      <c r="M202" s="216" t="s">
        <v>902</v>
      </c>
      <c r="N202" s="109">
        <v>45807.0</v>
      </c>
      <c r="O202" s="109">
        <v>45841.0</v>
      </c>
      <c r="P202" s="110" t="s">
        <v>422</v>
      </c>
      <c r="Q202" s="111">
        <v>45855.0</v>
      </c>
      <c r="R202" s="112"/>
      <c r="S202" s="21" t="s">
        <v>423</v>
      </c>
      <c r="T202" s="21"/>
      <c r="U202" s="159"/>
      <c r="V202" s="206"/>
      <c r="W202" s="206"/>
      <c r="X202" s="206"/>
      <c r="Y202" s="206"/>
      <c r="Z202" s="206"/>
      <c r="AA202" s="206"/>
      <c r="AB202" s="206"/>
      <c r="AC202" s="206"/>
      <c r="AD202" s="206"/>
      <c r="AE202" s="206"/>
      <c r="AF202" s="206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21"/>
      <c r="AU202" s="114"/>
      <c r="AV202" s="114"/>
      <c r="AW202" s="114"/>
      <c r="AX202" s="114"/>
      <c r="AY202" s="114"/>
      <c r="AZ202" s="114"/>
      <c r="BA202" s="114">
        <v>150000.0</v>
      </c>
      <c r="BB202" s="114" t="s">
        <v>424</v>
      </c>
      <c r="BC202" s="114"/>
      <c r="BD202" s="114"/>
      <c r="BE202" s="114"/>
      <c r="BF202" s="121"/>
      <c r="BG202" s="114"/>
      <c r="BH202" s="114"/>
      <c r="BI202" s="114"/>
      <c r="BJ202" s="114"/>
      <c r="BK202" s="114"/>
      <c r="BL202" s="114"/>
      <c r="BM202" s="114"/>
      <c r="BN202" s="116">
        <f t="shared" si="31"/>
        <v>0</v>
      </c>
      <c r="BO202" s="117">
        <v>150000.0</v>
      </c>
      <c r="BP202" s="117">
        <v>0.0</v>
      </c>
      <c r="BQ202" s="118">
        <f t="shared" si="48"/>
        <v>150000</v>
      </c>
      <c r="BR202" s="119">
        <f t="shared" si="42"/>
        <v>150000</v>
      </c>
    </row>
    <row r="203" ht="27.0" customHeight="1">
      <c r="A203" s="12">
        <f t="shared" si="34"/>
        <v>199</v>
      </c>
      <c r="B203" s="13" t="s">
        <v>43</v>
      </c>
      <c r="C203" s="33" t="s">
        <v>298</v>
      </c>
      <c r="D203" s="40" t="s">
        <v>299</v>
      </c>
      <c r="E203" s="69" t="s">
        <v>300</v>
      </c>
      <c r="F203" s="122" t="s">
        <v>904</v>
      </c>
      <c r="G203" s="40" t="s">
        <v>905</v>
      </c>
      <c r="H203" s="69" t="s">
        <v>906</v>
      </c>
      <c r="I203" s="69"/>
      <c r="J203" s="15" t="s">
        <v>420</v>
      </c>
      <c r="K203" s="20" t="s">
        <v>421</v>
      </c>
      <c r="L203" s="21" t="s">
        <v>338</v>
      </c>
      <c r="M203" s="216" t="s">
        <v>907</v>
      </c>
      <c r="N203" s="109">
        <v>45704.0</v>
      </c>
      <c r="O203" s="109">
        <v>45705.0</v>
      </c>
      <c r="P203" s="110" t="s">
        <v>422</v>
      </c>
      <c r="Q203" s="111">
        <v>45912.0</v>
      </c>
      <c r="R203" s="112"/>
      <c r="S203" s="21" t="s">
        <v>423</v>
      </c>
      <c r="T203" s="21"/>
      <c r="U203" s="159"/>
      <c r="V203" s="206"/>
      <c r="W203" s="206"/>
      <c r="X203" s="206"/>
      <c r="Y203" s="206"/>
      <c r="Z203" s="206"/>
      <c r="AA203" s="206"/>
      <c r="AB203" s="206"/>
      <c r="AC203" s="206"/>
      <c r="AD203" s="206"/>
      <c r="AE203" s="206"/>
      <c r="AF203" s="206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21"/>
      <c r="AU203" s="114"/>
      <c r="AV203" s="114">
        <v>150000.0</v>
      </c>
      <c r="AW203" s="114" t="s">
        <v>632</v>
      </c>
      <c r="AX203" s="114"/>
      <c r="AY203" s="114"/>
      <c r="AZ203" s="114"/>
      <c r="BA203" s="114"/>
      <c r="BB203" s="114"/>
      <c r="BC203" s="114"/>
      <c r="BD203" s="114"/>
      <c r="BE203" s="114"/>
      <c r="BF203" s="121"/>
      <c r="BG203" s="114"/>
      <c r="BH203" s="114"/>
      <c r="BI203" s="114"/>
      <c r="BJ203" s="114"/>
      <c r="BK203" s="114"/>
      <c r="BL203" s="114"/>
      <c r="BM203" s="114"/>
      <c r="BN203" s="116">
        <f t="shared" si="31"/>
        <v>0</v>
      </c>
      <c r="BO203" s="117">
        <v>150000.0</v>
      </c>
      <c r="BP203" s="117">
        <v>0.0</v>
      </c>
      <c r="BQ203" s="118">
        <f t="shared" si="48"/>
        <v>150000</v>
      </c>
      <c r="BR203" s="119">
        <f t="shared" si="42"/>
        <v>150000</v>
      </c>
    </row>
    <row r="204" ht="27.0" customHeight="1">
      <c r="A204" s="12">
        <f t="shared" si="34"/>
        <v>200</v>
      </c>
      <c r="B204" s="13" t="s">
        <v>43</v>
      </c>
      <c r="C204" s="33" t="s">
        <v>307</v>
      </c>
      <c r="D204" s="40" t="s">
        <v>308</v>
      </c>
      <c r="E204" s="69" t="s">
        <v>286</v>
      </c>
      <c r="F204" s="122" t="s">
        <v>908</v>
      </c>
      <c r="G204" s="40" t="s">
        <v>909</v>
      </c>
      <c r="H204" s="217" t="s">
        <v>910</v>
      </c>
      <c r="I204" s="30"/>
      <c r="J204" s="15" t="s">
        <v>420</v>
      </c>
      <c r="K204" s="20" t="s">
        <v>421</v>
      </c>
      <c r="L204" s="21" t="s">
        <v>338</v>
      </c>
      <c r="M204" s="216" t="s">
        <v>911</v>
      </c>
      <c r="N204" s="109">
        <v>45931.0</v>
      </c>
      <c r="O204" s="109">
        <v>45940.0</v>
      </c>
      <c r="P204" s="110" t="s">
        <v>422</v>
      </c>
      <c r="Q204" s="111">
        <v>45953.0</v>
      </c>
      <c r="R204" s="112"/>
      <c r="S204" s="21" t="s">
        <v>423</v>
      </c>
      <c r="T204" s="21"/>
      <c r="U204" s="159"/>
      <c r="V204" s="206"/>
      <c r="W204" s="206"/>
      <c r="X204" s="206"/>
      <c r="Y204" s="206"/>
      <c r="Z204" s="206"/>
      <c r="AA204" s="206"/>
      <c r="AB204" s="206"/>
      <c r="AC204" s="206"/>
      <c r="AD204" s="206"/>
      <c r="AE204" s="206"/>
      <c r="AF204" s="206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21"/>
      <c r="AU204" s="114"/>
      <c r="AV204" s="114"/>
      <c r="AW204" s="114"/>
      <c r="AX204" s="114"/>
      <c r="AY204" s="114"/>
      <c r="AZ204" s="114"/>
      <c r="BA204" s="114"/>
      <c r="BB204" s="114"/>
      <c r="BC204" s="114"/>
      <c r="BD204" s="114">
        <v>150000.0</v>
      </c>
      <c r="BE204" s="114" t="s">
        <v>424</v>
      </c>
      <c r="BF204" s="121"/>
      <c r="BG204" s="114"/>
      <c r="BH204" s="114"/>
      <c r="BI204" s="114"/>
      <c r="BJ204" s="114"/>
      <c r="BK204" s="114"/>
      <c r="BL204" s="114"/>
      <c r="BM204" s="114"/>
      <c r="BN204" s="116">
        <f t="shared" si="31"/>
        <v>0</v>
      </c>
      <c r="BO204" s="117">
        <v>150000.0</v>
      </c>
      <c r="BP204" s="117">
        <v>0.0</v>
      </c>
      <c r="BQ204" s="118">
        <f t="shared" si="48"/>
        <v>150000</v>
      </c>
      <c r="BR204" s="119">
        <f t="shared" si="42"/>
        <v>150000</v>
      </c>
    </row>
    <row r="205" ht="27.0" customHeight="1">
      <c r="A205" s="12">
        <f t="shared" si="34"/>
        <v>201</v>
      </c>
      <c r="B205" s="13" t="s">
        <v>43</v>
      </c>
      <c r="C205" s="15" t="s">
        <v>128</v>
      </c>
      <c r="D205" s="41" t="s">
        <v>912</v>
      </c>
      <c r="E205" s="69" t="s">
        <v>316</v>
      </c>
      <c r="F205" s="25" t="s">
        <v>913</v>
      </c>
      <c r="G205" s="218" t="s">
        <v>914</v>
      </c>
      <c r="H205" s="30" t="s">
        <v>914</v>
      </c>
      <c r="I205" s="30"/>
      <c r="J205" s="15" t="s">
        <v>420</v>
      </c>
      <c r="K205" s="20" t="s">
        <v>421</v>
      </c>
      <c r="L205" s="21" t="s">
        <v>338</v>
      </c>
      <c r="M205" s="21"/>
      <c r="N205" s="109">
        <v>45949.0</v>
      </c>
      <c r="O205" s="109">
        <v>45950.0</v>
      </c>
      <c r="P205" s="110" t="s">
        <v>422</v>
      </c>
      <c r="Q205" s="111">
        <v>45967.0</v>
      </c>
      <c r="R205" s="112"/>
      <c r="S205" s="21" t="s">
        <v>423</v>
      </c>
      <c r="T205" s="21"/>
      <c r="U205" s="159"/>
      <c r="V205" s="206"/>
      <c r="W205" s="206"/>
      <c r="X205" s="206"/>
      <c r="Y205" s="206"/>
      <c r="Z205" s="206"/>
      <c r="AA205" s="206"/>
      <c r="AB205" s="206"/>
      <c r="AC205" s="206"/>
      <c r="AD205" s="206"/>
      <c r="AE205" s="206"/>
      <c r="AF205" s="206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21"/>
      <c r="AU205" s="114"/>
      <c r="AV205" s="114"/>
      <c r="AW205" s="114"/>
      <c r="AX205" s="114"/>
      <c r="AY205" s="114"/>
      <c r="AZ205" s="114"/>
      <c r="BA205" s="114"/>
      <c r="BB205" s="114"/>
      <c r="BC205" s="114"/>
      <c r="BD205" s="114">
        <v>180000.0</v>
      </c>
      <c r="BE205" s="114" t="s">
        <v>424</v>
      </c>
      <c r="BF205" s="121"/>
      <c r="BG205" s="114"/>
      <c r="BH205" s="114"/>
      <c r="BI205" s="114"/>
      <c r="BJ205" s="114"/>
      <c r="BK205" s="114"/>
      <c r="BL205" s="114"/>
      <c r="BM205" s="114"/>
      <c r="BN205" s="116">
        <f t="shared" si="31"/>
        <v>0</v>
      </c>
      <c r="BO205" s="117">
        <v>180000.0</v>
      </c>
      <c r="BP205" s="117">
        <v>0.0</v>
      </c>
      <c r="BQ205" s="118">
        <f t="shared" si="48"/>
        <v>180000</v>
      </c>
      <c r="BR205" s="119">
        <f t="shared" si="42"/>
        <v>180000</v>
      </c>
    </row>
    <row r="206" ht="27.0" customHeight="1">
      <c r="A206" s="12">
        <f t="shared" si="34"/>
        <v>202</v>
      </c>
      <c r="B206" s="13" t="s">
        <v>43</v>
      </c>
      <c r="C206" s="33" t="s">
        <v>322</v>
      </c>
      <c r="D206" s="40" t="s">
        <v>323</v>
      </c>
      <c r="E206" s="69" t="s">
        <v>324</v>
      </c>
      <c r="F206" s="33" t="s">
        <v>915</v>
      </c>
      <c r="G206" s="218" t="s">
        <v>916</v>
      </c>
      <c r="H206" s="30" t="s">
        <v>917</v>
      </c>
      <c r="I206" s="30"/>
      <c r="J206" s="15" t="s">
        <v>420</v>
      </c>
      <c r="K206" s="20" t="s">
        <v>421</v>
      </c>
      <c r="L206" s="21" t="s">
        <v>338</v>
      </c>
      <c r="M206" s="21"/>
      <c r="N206" s="109">
        <v>45980.0</v>
      </c>
      <c r="O206" s="109">
        <v>45981.0</v>
      </c>
      <c r="P206" s="110" t="s">
        <v>422</v>
      </c>
      <c r="Q206" s="111"/>
      <c r="R206" s="112"/>
      <c r="S206" s="21" t="s">
        <v>433</v>
      </c>
      <c r="T206" s="21" t="s">
        <v>434</v>
      </c>
      <c r="U206" s="159"/>
      <c r="V206" s="206"/>
      <c r="W206" s="206"/>
      <c r="X206" s="206"/>
      <c r="Y206" s="206"/>
      <c r="Z206" s="206"/>
      <c r="AA206" s="206"/>
      <c r="AB206" s="206"/>
      <c r="AC206" s="206"/>
      <c r="AD206" s="206"/>
      <c r="AE206" s="206"/>
      <c r="AF206" s="206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21"/>
      <c r="AU206" s="114"/>
      <c r="AV206" s="114"/>
      <c r="AW206" s="114"/>
      <c r="AX206" s="114"/>
      <c r="AY206" s="114"/>
      <c r="AZ206" s="114"/>
      <c r="BA206" s="114"/>
      <c r="BB206" s="114"/>
      <c r="BC206" s="114"/>
      <c r="BD206" s="114"/>
      <c r="BE206" s="137">
        <v>180000.0</v>
      </c>
      <c r="BF206" s="121" t="s">
        <v>424</v>
      </c>
      <c r="BG206" s="137"/>
      <c r="BH206" s="137"/>
      <c r="BI206" s="137"/>
      <c r="BJ206" s="137"/>
      <c r="BK206" s="137"/>
      <c r="BL206" s="137"/>
      <c r="BM206" s="137"/>
      <c r="BN206" s="123">
        <f t="shared" si="31"/>
        <v>180000</v>
      </c>
      <c r="BO206" s="117">
        <v>0.0</v>
      </c>
      <c r="BP206" s="117">
        <v>0.0</v>
      </c>
      <c r="BQ206" s="118">
        <v>0.0</v>
      </c>
      <c r="BR206" s="119">
        <f t="shared" si="42"/>
        <v>180000</v>
      </c>
    </row>
    <row r="207" ht="27.0" customHeight="1">
      <c r="A207" s="12">
        <f t="shared" si="34"/>
        <v>203</v>
      </c>
      <c r="B207" s="13" t="s">
        <v>163</v>
      </c>
      <c r="C207" s="15" t="s">
        <v>128</v>
      </c>
      <c r="D207" s="40" t="s">
        <v>330</v>
      </c>
      <c r="E207" s="40" t="s">
        <v>331</v>
      </c>
      <c r="F207" s="25" t="s">
        <v>918</v>
      </c>
      <c r="G207" s="150" t="s">
        <v>919</v>
      </c>
      <c r="H207" s="219" t="s">
        <v>920</v>
      </c>
      <c r="I207" s="218"/>
      <c r="J207" s="15" t="s">
        <v>420</v>
      </c>
      <c r="K207" s="20" t="s">
        <v>446</v>
      </c>
      <c r="L207" s="21" t="s">
        <v>338</v>
      </c>
      <c r="M207" s="21"/>
      <c r="N207" s="109" t="s">
        <v>921</v>
      </c>
      <c r="O207" s="110" t="s">
        <v>921</v>
      </c>
      <c r="P207" s="110" t="s">
        <v>449</v>
      </c>
      <c r="Q207" s="111"/>
      <c r="R207" s="112"/>
      <c r="S207" s="21" t="s">
        <v>433</v>
      </c>
      <c r="T207" s="21" t="s">
        <v>434</v>
      </c>
      <c r="U207" s="159"/>
      <c r="V207" s="206"/>
      <c r="W207" s="206"/>
      <c r="X207" s="206"/>
      <c r="Y207" s="206"/>
      <c r="Z207" s="206"/>
      <c r="AA207" s="206"/>
      <c r="AB207" s="206"/>
      <c r="AC207" s="206"/>
      <c r="AD207" s="206"/>
      <c r="AE207" s="206"/>
      <c r="AF207" s="206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21"/>
      <c r="AU207" s="114"/>
      <c r="AV207" s="114"/>
      <c r="AW207" s="114"/>
      <c r="AX207" s="114"/>
      <c r="AY207" s="114"/>
      <c r="AZ207" s="114"/>
      <c r="BA207" s="114"/>
      <c r="BB207" s="114"/>
      <c r="BC207" s="114"/>
      <c r="BD207" s="114"/>
      <c r="BE207" s="137"/>
      <c r="BF207" s="139"/>
      <c r="BG207" s="137">
        <v>150000.0</v>
      </c>
      <c r="BH207" s="114" t="s">
        <v>424</v>
      </c>
      <c r="BI207" s="114"/>
      <c r="BJ207" s="114"/>
      <c r="BK207" s="114"/>
      <c r="BL207" s="114"/>
      <c r="BM207" s="114"/>
      <c r="BN207" s="123">
        <f t="shared" si="31"/>
        <v>150000</v>
      </c>
      <c r="BO207" s="117">
        <v>0.0</v>
      </c>
      <c r="BP207" s="117">
        <v>0.0</v>
      </c>
      <c r="BQ207" s="118">
        <v>0.0</v>
      </c>
      <c r="BR207" s="119">
        <f t="shared" si="42"/>
        <v>150000</v>
      </c>
    </row>
    <row r="208" ht="27.0" customHeight="1">
      <c r="A208" s="12">
        <f t="shared" si="34"/>
        <v>204</v>
      </c>
      <c r="B208" s="13" t="s">
        <v>163</v>
      </c>
      <c r="C208" s="15" t="s">
        <v>128</v>
      </c>
      <c r="D208" s="40" t="s">
        <v>330</v>
      </c>
      <c r="E208" s="40" t="s">
        <v>331</v>
      </c>
      <c r="F208" s="25" t="s">
        <v>922</v>
      </c>
      <c r="G208" s="150" t="s">
        <v>923</v>
      </c>
      <c r="H208" s="219" t="s">
        <v>923</v>
      </c>
      <c r="I208" s="218"/>
      <c r="J208" s="15" t="s">
        <v>420</v>
      </c>
      <c r="K208" s="20" t="s">
        <v>446</v>
      </c>
      <c r="L208" s="21" t="s">
        <v>338</v>
      </c>
      <c r="M208" s="21"/>
      <c r="N208" s="109" t="s">
        <v>921</v>
      </c>
      <c r="O208" s="110" t="s">
        <v>921</v>
      </c>
      <c r="P208" s="110" t="s">
        <v>449</v>
      </c>
      <c r="Q208" s="111"/>
      <c r="R208" s="112"/>
      <c r="S208" s="21" t="s">
        <v>433</v>
      </c>
      <c r="T208" s="21" t="s">
        <v>434</v>
      </c>
      <c r="U208" s="159"/>
      <c r="V208" s="206"/>
      <c r="W208" s="206"/>
      <c r="X208" s="206"/>
      <c r="Y208" s="206"/>
      <c r="Z208" s="206"/>
      <c r="AA208" s="206"/>
      <c r="AB208" s="206"/>
      <c r="AC208" s="206"/>
      <c r="AD208" s="206"/>
      <c r="AE208" s="206"/>
      <c r="AF208" s="206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21"/>
      <c r="AU208" s="114"/>
      <c r="AV208" s="114"/>
      <c r="AW208" s="114"/>
      <c r="AX208" s="114"/>
      <c r="AY208" s="114"/>
      <c r="AZ208" s="114"/>
      <c r="BA208" s="114"/>
      <c r="BB208" s="114"/>
      <c r="BC208" s="114"/>
      <c r="BD208" s="114"/>
      <c r="BE208" s="137"/>
      <c r="BF208" s="139"/>
      <c r="BG208" s="137"/>
      <c r="BH208" s="114"/>
      <c r="BI208" s="114"/>
      <c r="BJ208" s="113">
        <v>120000.0</v>
      </c>
      <c r="BK208" s="114" t="s">
        <v>424</v>
      </c>
      <c r="BL208" s="114"/>
      <c r="BM208" s="114"/>
      <c r="BN208" s="123">
        <f t="shared" si="31"/>
        <v>120000</v>
      </c>
      <c r="BO208" s="117">
        <v>0.0</v>
      </c>
      <c r="BP208" s="117">
        <v>0.0</v>
      </c>
      <c r="BQ208" s="118">
        <v>0.0</v>
      </c>
      <c r="BR208" s="119">
        <f t="shared" si="42"/>
        <v>120000</v>
      </c>
    </row>
    <row r="209" ht="27.0" customHeight="1">
      <c r="A209" s="12">
        <f t="shared" si="34"/>
        <v>205</v>
      </c>
      <c r="B209" s="13"/>
      <c r="C209" s="15" t="s">
        <v>128</v>
      </c>
      <c r="D209" s="40" t="s">
        <v>924</v>
      </c>
      <c r="E209" s="40" t="s">
        <v>925</v>
      </c>
      <c r="F209" s="25" t="s">
        <v>926</v>
      </c>
      <c r="G209" s="150" t="s">
        <v>927</v>
      </c>
      <c r="H209" s="219" t="s">
        <v>928</v>
      </c>
      <c r="I209" s="220" t="s">
        <v>929</v>
      </c>
      <c r="J209" s="15" t="s">
        <v>420</v>
      </c>
      <c r="K209" s="20" t="s">
        <v>421</v>
      </c>
      <c r="L209" s="21" t="s">
        <v>338</v>
      </c>
      <c r="M209" s="21"/>
      <c r="N209" s="109"/>
      <c r="O209" s="110"/>
      <c r="P209" s="110" t="s">
        <v>449</v>
      </c>
      <c r="Q209" s="111">
        <v>46177.0</v>
      </c>
      <c r="R209" s="112"/>
      <c r="S209" s="21" t="s">
        <v>423</v>
      </c>
      <c r="T209" s="21"/>
      <c r="U209" s="159"/>
      <c r="V209" s="206"/>
      <c r="W209" s="206"/>
      <c r="X209" s="206"/>
      <c r="Y209" s="206"/>
      <c r="Z209" s="206"/>
      <c r="AA209" s="206"/>
      <c r="AB209" s="206"/>
      <c r="AC209" s="206"/>
      <c r="AD209" s="206"/>
      <c r="AE209" s="206"/>
      <c r="AF209" s="206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21"/>
      <c r="AU209" s="114"/>
      <c r="AV209" s="114"/>
      <c r="AW209" s="114"/>
      <c r="AX209" s="114"/>
      <c r="AY209" s="114"/>
      <c r="AZ209" s="114"/>
      <c r="BA209" s="114"/>
      <c r="BB209" s="114"/>
      <c r="BC209" s="114"/>
      <c r="BD209" s="114"/>
      <c r="BE209" s="137"/>
      <c r="BF209" s="139"/>
      <c r="BG209" s="137"/>
      <c r="BH209" s="114"/>
      <c r="BI209" s="114"/>
      <c r="BJ209" s="113"/>
      <c r="BK209" s="114">
        <v>180000.0</v>
      </c>
      <c r="BL209" s="114" t="s">
        <v>424</v>
      </c>
      <c r="BM209" s="114"/>
      <c r="BN209" s="123">
        <f t="shared" si="31"/>
        <v>0</v>
      </c>
      <c r="BO209" s="117">
        <v>0.0</v>
      </c>
      <c r="BP209" s="117">
        <v>0.0</v>
      </c>
      <c r="BQ209" s="118">
        <f t="shared" ref="BQ209:BQ210" si="49">BK209</f>
        <v>180000</v>
      </c>
      <c r="BR209" s="119">
        <f t="shared" ref="BR209:BR212" si="50">SUM(U209:BL209)</f>
        <v>180000</v>
      </c>
    </row>
    <row r="210" ht="27.0" customHeight="1">
      <c r="A210" s="12">
        <f t="shared" si="34"/>
        <v>206</v>
      </c>
      <c r="B210" s="13"/>
      <c r="C210" s="15" t="s">
        <v>128</v>
      </c>
      <c r="D210" s="40" t="s">
        <v>924</v>
      </c>
      <c r="E210" s="40" t="s">
        <v>925</v>
      </c>
      <c r="F210" s="25" t="s">
        <v>930</v>
      </c>
      <c r="G210" s="150" t="s">
        <v>931</v>
      </c>
      <c r="H210" s="219" t="s">
        <v>932</v>
      </c>
      <c r="I210" s="220" t="s">
        <v>933</v>
      </c>
      <c r="J210" s="15" t="s">
        <v>420</v>
      </c>
      <c r="K210" s="20" t="s">
        <v>421</v>
      </c>
      <c r="L210" s="21" t="s">
        <v>338</v>
      </c>
      <c r="M210" s="21"/>
      <c r="N210" s="109"/>
      <c r="O210" s="110"/>
      <c r="P210" s="110" t="s">
        <v>449</v>
      </c>
      <c r="Q210" s="111">
        <v>46177.0</v>
      </c>
      <c r="R210" s="112"/>
      <c r="S210" s="21" t="s">
        <v>423</v>
      </c>
      <c r="T210" s="21"/>
      <c r="U210" s="159"/>
      <c r="V210" s="206"/>
      <c r="W210" s="206"/>
      <c r="X210" s="206"/>
      <c r="Y210" s="206"/>
      <c r="Z210" s="206"/>
      <c r="AA210" s="206"/>
      <c r="AB210" s="206"/>
      <c r="AC210" s="206"/>
      <c r="AD210" s="206"/>
      <c r="AE210" s="206"/>
      <c r="AF210" s="206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21"/>
      <c r="AU210" s="114"/>
      <c r="AV210" s="114"/>
      <c r="AW210" s="114"/>
      <c r="AX210" s="114"/>
      <c r="AY210" s="114"/>
      <c r="AZ210" s="114"/>
      <c r="BA210" s="114"/>
      <c r="BB210" s="114"/>
      <c r="BC210" s="114"/>
      <c r="BD210" s="114"/>
      <c r="BE210" s="137"/>
      <c r="BF210" s="139"/>
      <c r="BG210" s="137"/>
      <c r="BH210" s="114"/>
      <c r="BI210" s="114"/>
      <c r="BJ210" s="113"/>
      <c r="BK210" s="114">
        <v>180000.0</v>
      </c>
      <c r="BL210" s="114" t="s">
        <v>424</v>
      </c>
      <c r="BM210" s="114"/>
      <c r="BN210" s="123">
        <f t="shared" si="31"/>
        <v>0</v>
      </c>
      <c r="BO210" s="117">
        <v>0.0</v>
      </c>
      <c r="BP210" s="117">
        <v>0.0</v>
      </c>
      <c r="BQ210" s="118">
        <f t="shared" si="49"/>
        <v>180000</v>
      </c>
      <c r="BR210" s="119">
        <f t="shared" si="50"/>
        <v>180000</v>
      </c>
    </row>
    <row r="211" ht="27.0" customHeight="1">
      <c r="A211" s="12">
        <f t="shared" ref="A211:A212" si="51">A209+1</f>
        <v>206</v>
      </c>
      <c r="B211" s="13"/>
      <c r="C211" s="15">
        <v>18598.0</v>
      </c>
      <c r="D211" s="40" t="s">
        <v>934</v>
      </c>
      <c r="E211" s="40" t="s">
        <v>382</v>
      </c>
      <c r="F211" s="25" t="s">
        <v>935</v>
      </c>
      <c r="G211" s="150" t="s">
        <v>936</v>
      </c>
      <c r="H211" s="219" t="s">
        <v>937</v>
      </c>
      <c r="I211" s="221" t="s">
        <v>938</v>
      </c>
      <c r="J211" s="15" t="s">
        <v>546</v>
      </c>
      <c r="K211" s="20" t="s">
        <v>537</v>
      </c>
      <c r="L211" s="21" t="s">
        <v>338</v>
      </c>
      <c r="M211" s="21"/>
      <c r="N211" s="109"/>
      <c r="O211" s="110"/>
      <c r="P211" s="110" t="s">
        <v>449</v>
      </c>
      <c r="Q211" s="111">
        <v>46197.0</v>
      </c>
      <c r="R211" s="112"/>
      <c r="S211" s="21" t="s">
        <v>423</v>
      </c>
      <c r="T211" s="21"/>
      <c r="U211" s="159"/>
      <c r="V211" s="206"/>
      <c r="W211" s="206"/>
      <c r="X211" s="206"/>
      <c r="Y211" s="206"/>
      <c r="Z211" s="206"/>
      <c r="AA211" s="206"/>
      <c r="AB211" s="206"/>
      <c r="AC211" s="206"/>
      <c r="AD211" s="206"/>
      <c r="AE211" s="206"/>
      <c r="AF211" s="206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21"/>
      <c r="AU211" s="114"/>
      <c r="AV211" s="114"/>
      <c r="AW211" s="114"/>
      <c r="AX211" s="114"/>
      <c r="AY211" s="114"/>
      <c r="AZ211" s="114"/>
      <c r="BA211" s="114"/>
      <c r="BB211" s="114"/>
      <c r="BC211" s="114"/>
      <c r="BD211" s="114"/>
      <c r="BE211" s="137"/>
      <c r="BF211" s="139"/>
      <c r="BG211" s="137"/>
      <c r="BH211" s="114"/>
      <c r="BI211" s="114"/>
      <c r="BJ211" s="113"/>
      <c r="BK211" s="114">
        <v>250000.0</v>
      </c>
      <c r="BL211" s="114" t="s">
        <v>424</v>
      </c>
      <c r="BM211" s="114"/>
      <c r="BN211" s="123">
        <f t="shared" si="31"/>
        <v>0</v>
      </c>
      <c r="BO211" s="117">
        <v>250000.0</v>
      </c>
      <c r="BP211" s="117">
        <v>0.0</v>
      </c>
      <c r="BQ211" s="118">
        <f t="shared" ref="BQ211:BQ212" si="52">BO211</f>
        <v>250000</v>
      </c>
      <c r="BR211" s="119">
        <f t="shared" si="50"/>
        <v>250000</v>
      </c>
    </row>
    <row r="212" ht="27.0" customHeight="1">
      <c r="A212" s="12">
        <f t="shared" si="51"/>
        <v>207</v>
      </c>
      <c r="B212" s="13"/>
      <c r="C212" s="15">
        <v>18598.0</v>
      </c>
      <c r="D212" s="40" t="s">
        <v>934</v>
      </c>
      <c r="E212" s="40" t="s">
        <v>382</v>
      </c>
      <c r="F212" s="25" t="s">
        <v>939</v>
      </c>
      <c r="G212" s="150" t="s">
        <v>940</v>
      </c>
      <c r="H212" s="219" t="s">
        <v>941</v>
      </c>
      <c r="I212" s="221" t="s">
        <v>942</v>
      </c>
      <c r="J212" s="15" t="s">
        <v>546</v>
      </c>
      <c r="K212" s="20" t="s">
        <v>421</v>
      </c>
      <c r="L212" s="21" t="s">
        <v>338</v>
      </c>
      <c r="M212" s="21"/>
      <c r="N212" s="109"/>
      <c r="O212" s="110"/>
      <c r="P212" s="110" t="s">
        <v>449</v>
      </c>
      <c r="Q212" s="111">
        <v>46197.0</v>
      </c>
      <c r="R212" s="112"/>
      <c r="S212" s="21" t="s">
        <v>423</v>
      </c>
      <c r="T212" s="21"/>
      <c r="U212" s="159"/>
      <c r="V212" s="206"/>
      <c r="W212" s="206"/>
      <c r="X212" s="206"/>
      <c r="Y212" s="206"/>
      <c r="Z212" s="206"/>
      <c r="AA212" s="206"/>
      <c r="AB212" s="206"/>
      <c r="AC212" s="206"/>
      <c r="AD212" s="206"/>
      <c r="AE212" s="206"/>
      <c r="AF212" s="206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21"/>
      <c r="AU212" s="114"/>
      <c r="AV212" s="114"/>
      <c r="AW212" s="114"/>
      <c r="AX212" s="114"/>
      <c r="AY212" s="114"/>
      <c r="AZ212" s="114"/>
      <c r="BA212" s="114"/>
      <c r="BB212" s="114"/>
      <c r="BC212" s="114"/>
      <c r="BD212" s="114"/>
      <c r="BE212" s="137"/>
      <c r="BF212" s="139"/>
      <c r="BG212" s="137"/>
      <c r="BH212" s="114"/>
      <c r="BI212" s="114"/>
      <c r="BJ212" s="113"/>
      <c r="BK212" s="137"/>
      <c r="BL212" s="114">
        <v>210000.0</v>
      </c>
      <c r="BM212" s="114" t="s">
        <v>424</v>
      </c>
      <c r="BN212" s="123">
        <f t="shared" si="31"/>
        <v>0</v>
      </c>
      <c r="BO212" s="117">
        <v>210000.0</v>
      </c>
      <c r="BP212" s="117">
        <v>0.0</v>
      </c>
      <c r="BQ212" s="118">
        <f t="shared" si="52"/>
        <v>210000</v>
      </c>
      <c r="BR212" s="119">
        <f t="shared" si="50"/>
        <v>210000</v>
      </c>
    </row>
    <row r="213" ht="27.0" customHeight="1">
      <c r="A213" s="183"/>
      <c r="B213" s="184"/>
      <c r="C213" s="185"/>
      <c r="D213" s="186"/>
      <c r="E213" s="187"/>
      <c r="F213" s="188"/>
      <c r="G213" s="189"/>
      <c r="H213" s="189"/>
      <c r="I213" s="189"/>
      <c r="J213" s="189"/>
      <c r="K213" s="190"/>
      <c r="L213" s="191"/>
      <c r="M213" s="191"/>
      <c r="N213" s="192"/>
      <c r="O213" s="192"/>
      <c r="P213" s="192"/>
      <c r="Q213" s="193"/>
      <c r="R213" s="193"/>
      <c r="S213" s="193"/>
      <c r="T213" s="193"/>
      <c r="U213" s="194">
        <f t="shared" ref="U213:BR213" si="53">SUM(U140:U212)</f>
        <v>16666</v>
      </c>
      <c r="V213" s="194">
        <f t="shared" si="53"/>
        <v>16666</v>
      </c>
      <c r="W213" s="194">
        <f t="shared" si="53"/>
        <v>16666</v>
      </c>
      <c r="X213" s="194">
        <f t="shared" si="53"/>
        <v>16666</v>
      </c>
      <c r="Y213" s="194">
        <f t="shared" si="53"/>
        <v>24999</v>
      </c>
      <c r="Z213" s="194">
        <f t="shared" si="53"/>
        <v>24999</v>
      </c>
      <c r="AA213" s="194">
        <f t="shared" si="53"/>
        <v>174999</v>
      </c>
      <c r="AB213" s="194">
        <f t="shared" si="53"/>
        <v>33332</v>
      </c>
      <c r="AC213" s="194">
        <f t="shared" si="53"/>
        <v>183332</v>
      </c>
      <c r="AD213" s="194">
        <f t="shared" si="53"/>
        <v>66665</v>
      </c>
      <c r="AE213" s="194">
        <f t="shared" si="53"/>
        <v>224998</v>
      </c>
      <c r="AF213" s="194">
        <f t="shared" si="53"/>
        <v>220832</v>
      </c>
      <c r="AG213" s="194">
        <f t="shared" si="53"/>
        <v>58332</v>
      </c>
      <c r="AH213" s="194">
        <f t="shared" si="53"/>
        <v>62499</v>
      </c>
      <c r="AI213" s="194">
        <f t="shared" si="53"/>
        <v>187498</v>
      </c>
      <c r="AJ213" s="194">
        <f t="shared" si="53"/>
        <v>304164</v>
      </c>
      <c r="AK213" s="194">
        <f t="shared" si="53"/>
        <v>208331</v>
      </c>
      <c r="AL213" s="194">
        <f t="shared" si="53"/>
        <v>245831</v>
      </c>
      <c r="AM213" s="194">
        <f t="shared" si="53"/>
        <v>602551</v>
      </c>
      <c r="AN213" s="194">
        <f t="shared" si="53"/>
        <v>99998</v>
      </c>
      <c r="AO213" s="194">
        <f t="shared" si="53"/>
        <v>383332</v>
      </c>
      <c r="AP213" s="194">
        <f t="shared" si="53"/>
        <v>349999</v>
      </c>
      <c r="AQ213" s="194">
        <f t="shared" si="53"/>
        <v>41666</v>
      </c>
      <c r="AR213" s="194">
        <f t="shared" si="53"/>
        <v>216666</v>
      </c>
      <c r="AS213" s="194">
        <f t="shared" si="53"/>
        <v>179166</v>
      </c>
      <c r="AT213" s="194">
        <f t="shared" si="53"/>
        <v>627553</v>
      </c>
      <c r="AU213" s="194">
        <f t="shared" si="53"/>
        <v>320833</v>
      </c>
      <c r="AV213" s="194">
        <f t="shared" si="53"/>
        <v>912500</v>
      </c>
      <c r="AW213" s="194">
        <f t="shared" si="53"/>
        <v>162500</v>
      </c>
      <c r="AX213" s="194">
        <f t="shared" si="53"/>
        <v>49998</v>
      </c>
      <c r="AY213" s="194">
        <f t="shared" si="53"/>
        <v>150000</v>
      </c>
      <c r="AZ213" s="194">
        <f t="shared" si="53"/>
        <v>225000</v>
      </c>
      <c r="BA213" s="194">
        <f t="shared" si="53"/>
        <v>450000</v>
      </c>
      <c r="BB213" s="194">
        <f t="shared" si="53"/>
        <v>75000</v>
      </c>
      <c r="BC213" s="194">
        <f t="shared" si="53"/>
        <v>0</v>
      </c>
      <c r="BD213" s="194">
        <f t="shared" si="53"/>
        <v>690000</v>
      </c>
      <c r="BE213" s="194">
        <f t="shared" si="53"/>
        <v>300000</v>
      </c>
      <c r="BF213" s="194">
        <f t="shared" si="53"/>
        <v>315000</v>
      </c>
      <c r="BG213" s="194">
        <f t="shared" si="53"/>
        <v>199998</v>
      </c>
      <c r="BH213" s="194">
        <f t="shared" si="53"/>
        <v>0</v>
      </c>
      <c r="BI213" s="194">
        <f t="shared" si="53"/>
        <v>0</v>
      </c>
      <c r="BJ213" s="194">
        <f t="shared" si="53"/>
        <v>460000</v>
      </c>
      <c r="BK213" s="194">
        <f t="shared" si="53"/>
        <v>610000</v>
      </c>
      <c r="BL213" s="194">
        <f t="shared" si="53"/>
        <v>510000</v>
      </c>
      <c r="BM213" s="194">
        <f t="shared" si="53"/>
        <v>0</v>
      </c>
      <c r="BN213" s="194">
        <f t="shared" si="53"/>
        <v>3865807</v>
      </c>
      <c r="BO213" s="194">
        <f t="shared" si="53"/>
        <v>5393440</v>
      </c>
      <c r="BP213" s="194">
        <f t="shared" si="53"/>
        <v>0</v>
      </c>
      <c r="BQ213" s="194">
        <f t="shared" si="53"/>
        <v>6153428</v>
      </c>
      <c r="BR213" s="194">
        <f t="shared" si="53"/>
        <v>10019235</v>
      </c>
    </row>
    <row r="214" ht="27.0" customHeight="1">
      <c r="A214" s="12">
        <f>A212+1</f>
        <v>208</v>
      </c>
      <c r="B214" s="20" t="s">
        <v>43</v>
      </c>
      <c r="C214" s="15">
        <v>11117.0</v>
      </c>
      <c r="D214" s="30" t="s">
        <v>333</v>
      </c>
      <c r="E214" s="30" t="s">
        <v>334</v>
      </c>
      <c r="F214" s="124">
        <v>15696.0</v>
      </c>
      <c r="G214" s="16" t="s">
        <v>943</v>
      </c>
      <c r="H214" s="16" t="s">
        <v>944</v>
      </c>
      <c r="I214" s="16"/>
      <c r="J214" s="15" t="s">
        <v>420</v>
      </c>
      <c r="K214" s="20" t="s">
        <v>421</v>
      </c>
      <c r="L214" s="21" t="s">
        <v>338</v>
      </c>
      <c r="M214" s="21"/>
      <c r="N214" s="109">
        <v>45812.0</v>
      </c>
      <c r="O214" s="109">
        <v>45812.0</v>
      </c>
      <c r="P214" s="110" t="s">
        <v>422</v>
      </c>
      <c r="Q214" s="111">
        <v>45813.0</v>
      </c>
      <c r="R214" s="112"/>
      <c r="S214" s="21" t="s">
        <v>423</v>
      </c>
      <c r="T214" s="21"/>
      <c r="U214" s="159"/>
      <c r="V214" s="206"/>
      <c r="W214" s="206"/>
      <c r="X214" s="206"/>
      <c r="Y214" s="206"/>
      <c r="Z214" s="206"/>
      <c r="AA214" s="206"/>
      <c r="AB214" s="206"/>
      <c r="AC214" s="206"/>
      <c r="AD214" s="206"/>
      <c r="AE214" s="206"/>
      <c r="AF214" s="206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21"/>
      <c r="AU214" s="114"/>
      <c r="AV214" s="114"/>
      <c r="AW214" s="114"/>
      <c r="AX214" s="114"/>
      <c r="AY214" s="114"/>
      <c r="AZ214" s="114"/>
      <c r="BA214" s="114">
        <v>150000.0</v>
      </c>
      <c r="BB214" s="114" t="s">
        <v>424</v>
      </c>
      <c r="BC214" s="114"/>
      <c r="BD214" s="114"/>
      <c r="BE214" s="114"/>
      <c r="BF214" s="121"/>
      <c r="BG214" s="114"/>
      <c r="BH214" s="114"/>
      <c r="BI214" s="114"/>
      <c r="BJ214" s="114"/>
      <c r="BK214" s="114"/>
      <c r="BL214" s="114"/>
      <c r="BM214" s="114"/>
      <c r="BN214" s="116">
        <f t="shared" ref="BN214:BN233" si="54">BR214-BQ214</f>
        <v>0</v>
      </c>
      <c r="BO214" s="117">
        <f>BA214</f>
        <v>150000</v>
      </c>
      <c r="BP214" s="117">
        <v>0.0</v>
      </c>
      <c r="BQ214" s="118">
        <f t="shared" ref="BQ214:BQ215" si="55">sum(U214:BH214)</f>
        <v>150000</v>
      </c>
      <c r="BR214" s="119">
        <f t="shared" ref="BR214:BR233" si="56">SUM(U214:BJ214)</f>
        <v>150000</v>
      </c>
    </row>
    <row r="215" ht="27.0" customHeight="1">
      <c r="A215" s="12">
        <f t="shared" ref="A215:A219" si="57">A214+1</f>
        <v>209</v>
      </c>
      <c r="B215" s="20" t="s">
        <v>43</v>
      </c>
      <c r="C215" s="15">
        <v>1694.0</v>
      </c>
      <c r="D215" s="30" t="s">
        <v>340</v>
      </c>
      <c r="E215" s="30" t="s">
        <v>341</v>
      </c>
      <c r="F215" s="124">
        <v>11117.0</v>
      </c>
      <c r="G215" s="16" t="s">
        <v>945</v>
      </c>
      <c r="H215" s="16" t="s">
        <v>946</v>
      </c>
      <c r="I215" s="16"/>
      <c r="J215" s="15" t="s">
        <v>420</v>
      </c>
      <c r="K215" s="20" t="s">
        <v>421</v>
      </c>
      <c r="L215" s="21" t="s">
        <v>338</v>
      </c>
      <c r="M215" s="21"/>
      <c r="N215" s="109">
        <v>45322.0</v>
      </c>
      <c r="O215" s="109">
        <v>45322.0</v>
      </c>
      <c r="P215" s="110" t="s">
        <v>422</v>
      </c>
      <c r="Q215" s="222"/>
      <c r="R215" s="112"/>
      <c r="S215" s="21" t="s">
        <v>423</v>
      </c>
      <c r="T215" s="21"/>
      <c r="U215" s="159"/>
      <c r="V215" s="206"/>
      <c r="W215" s="206"/>
      <c r="X215" s="206"/>
      <c r="Y215" s="206"/>
      <c r="Z215" s="206"/>
      <c r="AA215" s="206"/>
      <c r="AB215" s="206"/>
      <c r="AC215" s="206"/>
      <c r="AD215" s="206"/>
      <c r="AE215" s="206"/>
      <c r="AF215" s="206"/>
      <c r="AG215" s="114"/>
      <c r="AH215" s="114"/>
      <c r="AI215" s="114">
        <v>150000.0</v>
      </c>
      <c r="AJ215" s="114" t="s">
        <v>424</v>
      </c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21"/>
      <c r="AU215" s="114"/>
      <c r="AV215" s="114"/>
      <c r="AW215" s="114"/>
      <c r="AX215" s="114"/>
      <c r="AY215" s="114"/>
      <c r="AZ215" s="114"/>
      <c r="BA215" s="114"/>
      <c r="BB215" s="114"/>
      <c r="BC215" s="114"/>
      <c r="BD215" s="114"/>
      <c r="BE215" s="114"/>
      <c r="BF215" s="121"/>
      <c r="BG215" s="114"/>
      <c r="BH215" s="114"/>
      <c r="BI215" s="114"/>
      <c r="BJ215" s="114"/>
      <c r="BK215" s="114"/>
      <c r="BL215" s="114"/>
      <c r="BM215" s="114"/>
      <c r="BN215" s="116">
        <f t="shared" si="54"/>
        <v>0</v>
      </c>
      <c r="BO215" s="117">
        <v>0.0</v>
      </c>
      <c r="BP215" s="117">
        <v>0.0</v>
      </c>
      <c r="BQ215" s="118">
        <f t="shared" si="55"/>
        <v>150000</v>
      </c>
      <c r="BR215" s="119">
        <f t="shared" si="56"/>
        <v>150000</v>
      </c>
    </row>
    <row r="216" ht="27.0" customHeight="1">
      <c r="A216" s="12">
        <f t="shared" si="57"/>
        <v>210</v>
      </c>
      <c r="B216" s="20" t="s">
        <v>43</v>
      </c>
      <c r="C216" s="15">
        <v>1694.0</v>
      </c>
      <c r="D216" s="30" t="s">
        <v>340</v>
      </c>
      <c r="E216" s="30" t="s">
        <v>341</v>
      </c>
      <c r="F216" s="124">
        <v>11117.0</v>
      </c>
      <c r="G216" s="16" t="s">
        <v>945</v>
      </c>
      <c r="H216" s="16" t="s">
        <v>947</v>
      </c>
      <c r="I216" s="16"/>
      <c r="J216" s="15" t="s">
        <v>420</v>
      </c>
      <c r="K216" s="20" t="s">
        <v>448</v>
      </c>
      <c r="L216" s="21" t="s">
        <v>338</v>
      </c>
      <c r="M216" s="21"/>
      <c r="N216" s="109">
        <v>45322.0</v>
      </c>
      <c r="O216" s="109">
        <v>45323.0</v>
      </c>
      <c r="P216" s="110" t="s">
        <v>422</v>
      </c>
      <c r="Q216" s="111">
        <v>45588.0</v>
      </c>
      <c r="R216" s="112"/>
      <c r="S216" s="21" t="s">
        <v>450</v>
      </c>
      <c r="T216" s="21" t="s">
        <v>434</v>
      </c>
      <c r="U216" s="159"/>
      <c r="V216" s="206"/>
      <c r="W216" s="206"/>
      <c r="X216" s="206"/>
      <c r="Y216" s="206"/>
      <c r="Z216" s="206"/>
      <c r="AA216" s="206"/>
      <c r="AB216" s="206"/>
      <c r="AC216" s="206"/>
      <c r="AD216" s="206"/>
      <c r="AE216" s="206"/>
      <c r="AF216" s="206"/>
      <c r="AG216" s="114"/>
      <c r="AH216" s="114"/>
      <c r="AI216" s="114">
        <v>12500.0</v>
      </c>
      <c r="AJ216" s="114" t="s">
        <v>128</v>
      </c>
      <c r="AK216" s="114">
        <v>12500.0</v>
      </c>
      <c r="AL216" s="114">
        <v>12500.0</v>
      </c>
      <c r="AM216" s="114">
        <v>12500.0</v>
      </c>
      <c r="AN216" s="114">
        <v>12500.0</v>
      </c>
      <c r="AO216" s="114">
        <v>12500.0</v>
      </c>
      <c r="AP216" s="114">
        <v>12500.0</v>
      </c>
      <c r="AQ216" s="114">
        <v>12500.0</v>
      </c>
      <c r="AR216" s="114">
        <v>12500.0</v>
      </c>
      <c r="AS216" s="137">
        <f t="shared" ref="AS216:AU216" si="58">12500</f>
        <v>12500</v>
      </c>
      <c r="AT216" s="139">
        <f t="shared" si="58"/>
        <v>12500</v>
      </c>
      <c r="AU216" s="137">
        <f t="shared" si="58"/>
        <v>12500</v>
      </c>
      <c r="AV216" s="114" t="s">
        <v>424</v>
      </c>
      <c r="AW216" s="137"/>
      <c r="AX216" s="137"/>
      <c r="AY216" s="137"/>
      <c r="AZ216" s="137"/>
      <c r="BA216" s="137"/>
      <c r="BB216" s="137"/>
      <c r="BC216" s="137"/>
      <c r="BD216" s="137"/>
      <c r="BE216" s="137"/>
      <c r="BF216" s="139"/>
      <c r="BG216" s="137"/>
      <c r="BH216" s="137"/>
      <c r="BI216" s="137"/>
      <c r="BJ216" s="137"/>
      <c r="BK216" s="137"/>
      <c r="BL216" s="137"/>
      <c r="BM216" s="137"/>
      <c r="BN216" s="123">
        <f t="shared" si="54"/>
        <v>37500</v>
      </c>
      <c r="BO216" s="117">
        <f>SUM(AI216:AR216)</f>
        <v>112500</v>
      </c>
      <c r="BP216" s="117">
        <v>0.0</v>
      </c>
      <c r="BQ216" s="118">
        <f>sum(AI216:AR216)</f>
        <v>112500</v>
      </c>
      <c r="BR216" s="119">
        <f t="shared" si="56"/>
        <v>150000</v>
      </c>
    </row>
    <row r="217" ht="27.0" customHeight="1">
      <c r="A217" s="12">
        <f t="shared" si="57"/>
        <v>211</v>
      </c>
      <c r="B217" s="20" t="s">
        <v>43</v>
      </c>
      <c r="C217" s="12">
        <v>6058.0</v>
      </c>
      <c r="D217" s="30" t="s">
        <v>53</v>
      </c>
      <c r="E217" s="30" t="s">
        <v>54</v>
      </c>
      <c r="F217" s="122">
        <v>13501.0</v>
      </c>
      <c r="G217" s="69" t="s">
        <v>948</v>
      </c>
      <c r="H217" s="174" t="s">
        <v>949</v>
      </c>
      <c r="I217" s="174"/>
      <c r="J217" s="15" t="s">
        <v>420</v>
      </c>
      <c r="K217" s="20" t="s">
        <v>673</v>
      </c>
      <c r="L217" s="21" t="s">
        <v>338</v>
      </c>
      <c r="M217" s="21"/>
      <c r="N217" s="109">
        <v>45577.0</v>
      </c>
      <c r="O217" s="109">
        <v>45577.0</v>
      </c>
      <c r="P217" s="110" t="s">
        <v>422</v>
      </c>
      <c r="Q217" s="111">
        <v>45813.0</v>
      </c>
      <c r="R217" s="112"/>
      <c r="S217" s="21" t="s">
        <v>423</v>
      </c>
      <c r="T217" s="21"/>
      <c r="U217" s="159"/>
      <c r="V217" s="206"/>
      <c r="W217" s="206"/>
      <c r="X217" s="206"/>
      <c r="Y217" s="206"/>
      <c r="Z217" s="206"/>
      <c r="AA217" s="206"/>
      <c r="AB217" s="206"/>
      <c r="AC217" s="206"/>
      <c r="AD217" s="206"/>
      <c r="AE217" s="206"/>
      <c r="AF217" s="206"/>
      <c r="AG217" s="114"/>
      <c r="AH217" s="114"/>
      <c r="AI217" s="137"/>
      <c r="AJ217" s="114"/>
      <c r="AK217" s="137"/>
      <c r="AL217" s="137"/>
      <c r="AM217" s="137"/>
      <c r="AN217" s="137"/>
      <c r="AO217" s="137"/>
      <c r="AP217" s="137"/>
      <c r="AQ217" s="137"/>
      <c r="AR217" s="114">
        <f>12500*3</f>
        <v>37500</v>
      </c>
      <c r="AS217" s="114" t="s">
        <v>128</v>
      </c>
      <c r="AT217" s="121" t="s">
        <v>128</v>
      </c>
      <c r="AU217" s="114">
        <v>12500.0</v>
      </c>
      <c r="AV217" s="114">
        <v>12500.0</v>
      </c>
      <c r="AW217" s="114">
        <v>12500.0</v>
      </c>
      <c r="AX217" s="114">
        <v>12500.0</v>
      </c>
      <c r="AY217" s="114">
        <v>12500.0</v>
      </c>
      <c r="AZ217" s="137"/>
      <c r="BA217" s="137"/>
      <c r="BB217" s="137"/>
      <c r="BC217" s="137"/>
      <c r="BD217" s="137"/>
      <c r="BE217" s="137"/>
      <c r="BF217" s="139"/>
      <c r="BG217" s="137"/>
      <c r="BH217" s="137"/>
      <c r="BI217" s="137"/>
      <c r="BJ217" s="137"/>
      <c r="BK217" s="137"/>
      <c r="BL217" s="137"/>
      <c r="BM217" s="137"/>
      <c r="BN217" s="116">
        <f t="shared" si="54"/>
        <v>0</v>
      </c>
      <c r="BO217" s="117">
        <f>sum(AR217:AW217)</f>
        <v>75000</v>
      </c>
      <c r="BP217" s="117">
        <v>0.0</v>
      </c>
      <c r="BQ217" s="118">
        <f>sum(U217:BH217)</f>
        <v>100000</v>
      </c>
      <c r="BR217" s="119">
        <f t="shared" si="56"/>
        <v>100000</v>
      </c>
    </row>
    <row r="218" ht="27.0" customHeight="1">
      <c r="A218" s="12">
        <f t="shared" si="57"/>
        <v>212</v>
      </c>
      <c r="B218" s="20" t="s">
        <v>43</v>
      </c>
      <c r="C218" s="75">
        <v>4134.0</v>
      </c>
      <c r="D218" s="38" t="s">
        <v>348</v>
      </c>
      <c r="E218" s="213" t="s">
        <v>349</v>
      </c>
      <c r="F218" s="223">
        <v>13058.0</v>
      </c>
      <c r="G218" s="224" t="s">
        <v>950</v>
      </c>
      <c r="H218" s="213" t="s">
        <v>951</v>
      </c>
      <c r="I218" s="213"/>
      <c r="J218" s="15" t="s">
        <v>420</v>
      </c>
      <c r="K218" s="20" t="s">
        <v>439</v>
      </c>
      <c r="L218" s="21" t="s">
        <v>338</v>
      </c>
      <c r="M218" s="21"/>
      <c r="N218" s="109">
        <v>45521.0</v>
      </c>
      <c r="O218" s="109">
        <v>45521.0</v>
      </c>
      <c r="P218" s="110" t="s">
        <v>449</v>
      </c>
      <c r="Q218" s="111"/>
      <c r="R218" s="112"/>
      <c r="S218" s="21" t="s">
        <v>433</v>
      </c>
      <c r="T218" s="21" t="s">
        <v>434</v>
      </c>
      <c r="U218" s="159"/>
      <c r="V218" s="206"/>
      <c r="W218" s="206"/>
      <c r="X218" s="206"/>
      <c r="Y218" s="206"/>
      <c r="Z218" s="206"/>
      <c r="AA218" s="206"/>
      <c r="AB218" s="206"/>
      <c r="AC218" s="206"/>
      <c r="AD218" s="206"/>
      <c r="AE218" s="206"/>
      <c r="AF218" s="206"/>
      <c r="AG218" s="114"/>
      <c r="AH218" s="114"/>
      <c r="AI218" s="137"/>
      <c r="AJ218" s="114"/>
      <c r="AK218" s="137"/>
      <c r="AL218" s="137"/>
      <c r="AM218" s="137"/>
      <c r="AN218" s="137"/>
      <c r="AO218" s="137"/>
      <c r="AP218" s="137">
        <f>12500*6</f>
        <v>75000</v>
      </c>
      <c r="AQ218" s="137" t="s">
        <v>128</v>
      </c>
      <c r="AR218" s="137" t="s">
        <v>128</v>
      </c>
      <c r="AS218" s="137" t="s">
        <v>128</v>
      </c>
      <c r="AT218" s="139" t="s">
        <v>128</v>
      </c>
      <c r="AU218" s="137" t="s">
        <v>128</v>
      </c>
      <c r="AV218" s="137">
        <v>12500.0</v>
      </c>
      <c r="AW218" s="137">
        <v>12500.0</v>
      </c>
      <c r="AX218" s="137">
        <v>12500.0</v>
      </c>
      <c r="AY218" s="137">
        <v>12500.0</v>
      </c>
      <c r="AZ218" s="137">
        <v>12500.0</v>
      </c>
      <c r="BA218" s="137">
        <v>12500.0</v>
      </c>
      <c r="BB218" s="114" t="s">
        <v>424</v>
      </c>
      <c r="BC218" s="137"/>
      <c r="BD218" s="137"/>
      <c r="BE218" s="137"/>
      <c r="BF218" s="139"/>
      <c r="BG218" s="137"/>
      <c r="BH218" s="137"/>
      <c r="BI218" s="225"/>
      <c r="BJ218" s="225"/>
      <c r="BK218" s="225"/>
      <c r="BL218" s="225"/>
      <c r="BM218" s="225"/>
      <c r="BN218" s="123">
        <f t="shared" si="54"/>
        <v>150000</v>
      </c>
      <c r="BO218" s="117">
        <v>0.0</v>
      </c>
      <c r="BP218" s="117">
        <v>0.0</v>
      </c>
      <c r="BQ218" s="118">
        <v>0.0</v>
      </c>
      <c r="BR218" s="119">
        <f t="shared" si="56"/>
        <v>150000</v>
      </c>
    </row>
    <row r="219" ht="27.0" customHeight="1">
      <c r="A219" s="12">
        <f t="shared" si="57"/>
        <v>213</v>
      </c>
      <c r="B219" s="20" t="s">
        <v>43</v>
      </c>
      <c r="C219" s="226">
        <v>15517.0</v>
      </c>
      <c r="D219" s="227" t="s">
        <v>952</v>
      </c>
      <c r="E219" s="30" t="s">
        <v>944</v>
      </c>
      <c r="F219" s="33" t="s">
        <v>953</v>
      </c>
      <c r="G219" s="69" t="s">
        <v>954</v>
      </c>
      <c r="H219" s="30" t="s">
        <v>955</v>
      </c>
      <c r="I219" s="30"/>
      <c r="J219" s="15" t="s">
        <v>420</v>
      </c>
      <c r="K219" s="228" t="s">
        <v>421</v>
      </c>
      <c r="L219" s="21" t="s">
        <v>338</v>
      </c>
      <c r="M219" s="229" t="s">
        <v>956</v>
      </c>
      <c r="N219" s="166">
        <v>45921.0</v>
      </c>
      <c r="O219" s="166">
        <v>45933.0</v>
      </c>
      <c r="P219" s="125" t="s">
        <v>422</v>
      </c>
      <c r="Q219" s="111">
        <v>45936.0</v>
      </c>
      <c r="R219" s="230"/>
      <c r="S219" s="21" t="s">
        <v>423</v>
      </c>
      <c r="T219" s="21"/>
      <c r="U219" s="134"/>
      <c r="V219" s="208"/>
      <c r="W219" s="208"/>
      <c r="X219" s="208"/>
      <c r="Y219" s="208"/>
      <c r="Z219" s="208"/>
      <c r="AA219" s="208"/>
      <c r="AB219" s="208"/>
      <c r="AC219" s="208"/>
      <c r="AD219" s="208"/>
      <c r="AE219" s="208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208"/>
      <c r="AS219" s="208"/>
      <c r="AT219" s="231"/>
      <c r="AU219" s="208"/>
      <c r="AV219" s="208"/>
      <c r="AW219" s="208"/>
      <c r="AX219" s="208"/>
      <c r="AY219" s="208"/>
      <c r="AZ219" s="208"/>
      <c r="BA219" s="208"/>
      <c r="BB219" s="208"/>
      <c r="BC219" s="208"/>
      <c r="BD219" s="114">
        <v>150000.0</v>
      </c>
      <c r="BE219" s="114" t="s">
        <v>424</v>
      </c>
      <c r="BF219" s="121"/>
      <c r="BG219" s="114"/>
      <c r="BH219" s="114"/>
      <c r="BI219" s="114"/>
      <c r="BJ219" s="114"/>
      <c r="BK219" s="114"/>
      <c r="BL219" s="114"/>
      <c r="BM219" s="114"/>
      <c r="BN219" s="116">
        <f t="shared" si="54"/>
        <v>0</v>
      </c>
      <c r="BO219" s="232">
        <v>150000.0</v>
      </c>
      <c r="BP219" s="233"/>
      <c r="BQ219" s="118">
        <f>sum(U219:BH219)</f>
        <v>150000</v>
      </c>
      <c r="BR219" s="119">
        <f t="shared" si="56"/>
        <v>150000</v>
      </c>
    </row>
    <row r="220" ht="27.0" customHeight="1">
      <c r="A220" s="12">
        <f>A218+1</f>
        <v>213</v>
      </c>
      <c r="B220" s="20" t="s">
        <v>43</v>
      </c>
      <c r="C220" s="226">
        <v>8881.0</v>
      </c>
      <c r="D220" s="30" t="s">
        <v>354</v>
      </c>
      <c r="E220" s="30" t="s">
        <v>355</v>
      </c>
      <c r="F220" s="12">
        <v>8877.0</v>
      </c>
      <c r="G220" s="30" t="s">
        <v>957</v>
      </c>
      <c r="H220" s="16" t="s">
        <v>958</v>
      </c>
      <c r="I220" s="16"/>
      <c r="J220" s="15" t="s">
        <v>420</v>
      </c>
      <c r="K220" s="20" t="s">
        <v>439</v>
      </c>
      <c r="L220" s="21" t="s">
        <v>33</v>
      </c>
      <c r="M220" s="21"/>
      <c r="N220" s="109">
        <v>45899.0</v>
      </c>
      <c r="O220" s="109">
        <v>45899.0</v>
      </c>
      <c r="P220" s="110" t="s">
        <v>449</v>
      </c>
      <c r="Q220" s="111"/>
      <c r="R220" s="112"/>
      <c r="S220" s="21" t="s">
        <v>433</v>
      </c>
      <c r="T220" s="21" t="s">
        <v>434</v>
      </c>
      <c r="U220" s="159"/>
      <c r="V220" s="206"/>
      <c r="W220" s="206"/>
      <c r="X220" s="206"/>
      <c r="Y220" s="206"/>
      <c r="Z220" s="206"/>
      <c r="AA220" s="206"/>
      <c r="AB220" s="206"/>
      <c r="AC220" s="206"/>
      <c r="AD220" s="206"/>
      <c r="AE220" s="206"/>
      <c r="AF220" s="206"/>
      <c r="AG220" s="114"/>
      <c r="AH220" s="114"/>
      <c r="AI220" s="137"/>
      <c r="AJ220" s="114"/>
      <c r="AK220" s="137"/>
      <c r="AL220" s="137"/>
      <c r="AM220" s="137"/>
      <c r="AN220" s="137"/>
      <c r="AO220" s="137"/>
      <c r="AP220" s="137"/>
      <c r="AQ220" s="137"/>
      <c r="AR220" s="114"/>
      <c r="AS220" s="114"/>
      <c r="AT220" s="121"/>
      <c r="AU220" s="114"/>
      <c r="AV220" s="114"/>
      <c r="AW220" s="114"/>
      <c r="AX220" s="114"/>
      <c r="AY220" s="114"/>
      <c r="AZ220" s="114"/>
      <c r="BA220" s="114"/>
      <c r="BB220" s="137">
        <f>12500*6</f>
        <v>75000</v>
      </c>
      <c r="BC220" s="137" t="s">
        <v>128</v>
      </c>
      <c r="BD220" s="137" t="s">
        <v>128</v>
      </c>
      <c r="BE220" s="137" t="s">
        <v>128</v>
      </c>
      <c r="BF220" s="139" t="s">
        <v>128</v>
      </c>
      <c r="BG220" s="137" t="s">
        <v>128</v>
      </c>
      <c r="BH220" s="137">
        <v>75000.0</v>
      </c>
      <c r="BI220" s="114" t="s">
        <v>424</v>
      </c>
      <c r="BJ220" s="225"/>
      <c r="BK220" s="225"/>
      <c r="BL220" s="225"/>
      <c r="BM220" s="225"/>
      <c r="BN220" s="123">
        <f t="shared" si="54"/>
        <v>150000</v>
      </c>
      <c r="BO220" s="117">
        <v>0.0</v>
      </c>
      <c r="BP220" s="117">
        <v>0.0</v>
      </c>
      <c r="BQ220" s="118">
        <v>0.0</v>
      </c>
      <c r="BR220" s="119">
        <f t="shared" si="56"/>
        <v>150000</v>
      </c>
    </row>
    <row r="221" ht="27.0" customHeight="1">
      <c r="A221" s="12">
        <f t="shared" ref="A221:A233" si="59">A220+1</f>
        <v>214</v>
      </c>
      <c r="B221" s="20" t="s">
        <v>163</v>
      </c>
      <c r="C221" s="12">
        <v>8881.0</v>
      </c>
      <c r="D221" s="30" t="s">
        <v>354</v>
      </c>
      <c r="E221" s="30" t="s">
        <v>355</v>
      </c>
      <c r="F221" s="124">
        <v>13526.0</v>
      </c>
      <c r="G221" s="30" t="s">
        <v>959</v>
      </c>
      <c r="H221" s="30" t="s">
        <v>960</v>
      </c>
      <c r="I221" s="30"/>
      <c r="J221" s="15" t="s">
        <v>961</v>
      </c>
      <c r="K221" s="20" t="s">
        <v>511</v>
      </c>
      <c r="L221" s="21" t="s">
        <v>33</v>
      </c>
      <c r="M221" s="21"/>
      <c r="N221" s="109">
        <v>45572.0</v>
      </c>
      <c r="O221" s="109">
        <v>45572.0</v>
      </c>
      <c r="P221" s="110" t="s">
        <v>422</v>
      </c>
      <c r="Q221" s="111">
        <v>45588.0</v>
      </c>
      <c r="R221" s="112"/>
      <c r="S221" s="21" t="s">
        <v>423</v>
      </c>
      <c r="T221" s="21"/>
      <c r="U221" s="159"/>
      <c r="V221" s="206"/>
      <c r="W221" s="206"/>
      <c r="X221" s="206"/>
      <c r="Y221" s="206"/>
      <c r="Z221" s="206"/>
      <c r="AA221" s="206"/>
      <c r="AB221" s="206"/>
      <c r="AC221" s="206"/>
      <c r="AD221" s="206"/>
      <c r="AE221" s="206"/>
      <c r="AF221" s="206"/>
      <c r="AG221" s="114"/>
      <c r="AH221" s="114"/>
      <c r="AI221" s="137"/>
      <c r="AJ221" s="114"/>
      <c r="AK221" s="137"/>
      <c r="AL221" s="137"/>
      <c r="AM221" s="137"/>
      <c r="AN221" s="137"/>
      <c r="AO221" s="137"/>
      <c r="AP221" s="137"/>
      <c r="AQ221" s="137"/>
      <c r="AR221" s="114">
        <f>120120/2</f>
        <v>60060</v>
      </c>
      <c r="AS221" s="114" t="s">
        <v>128</v>
      </c>
      <c r="AT221" s="121" t="s">
        <v>128</v>
      </c>
      <c r="AU221" s="114" t="s">
        <v>128</v>
      </c>
      <c r="AV221" s="114"/>
      <c r="AW221" s="114"/>
      <c r="AX221" s="114"/>
      <c r="AY221" s="114"/>
      <c r="AZ221" s="114"/>
      <c r="BA221" s="114"/>
      <c r="BB221" s="114"/>
      <c r="BC221" s="114"/>
      <c r="BD221" s="114"/>
      <c r="BE221" s="114"/>
      <c r="BF221" s="121"/>
      <c r="BG221" s="114"/>
      <c r="BH221" s="114"/>
      <c r="BI221" s="114"/>
      <c r="BJ221" s="114"/>
      <c r="BK221" s="114"/>
      <c r="BL221" s="114"/>
      <c r="BM221" s="114"/>
      <c r="BN221" s="116">
        <f t="shared" si="54"/>
        <v>0</v>
      </c>
      <c r="BO221" s="117">
        <f t="shared" ref="BO221:BO222" si="60">SUM(AR221)</f>
        <v>60060</v>
      </c>
      <c r="BP221" s="117">
        <v>0.0</v>
      </c>
      <c r="BQ221" s="118">
        <f t="shared" ref="BQ221:BQ222" si="61">sum(U221:BH221)</f>
        <v>60060</v>
      </c>
      <c r="BR221" s="119">
        <f t="shared" si="56"/>
        <v>60060</v>
      </c>
    </row>
    <row r="222" ht="27.0" customHeight="1">
      <c r="A222" s="12">
        <f t="shared" si="59"/>
        <v>215</v>
      </c>
      <c r="B222" s="20" t="s">
        <v>163</v>
      </c>
      <c r="C222" s="12">
        <v>8881.0</v>
      </c>
      <c r="D222" s="30" t="s">
        <v>354</v>
      </c>
      <c r="E222" s="30" t="s">
        <v>355</v>
      </c>
      <c r="F222" s="124">
        <v>13566.0</v>
      </c>
      <c r="G222" s="30" t="s">
        <v>959</v>
      </c>
      <c r="H222" s="30" t="s">
        <v>960</v>
      </c>
      <c r="I222" s="30"/>
      <c r="J222" s="15" t="s">
        <v>432</v>
      </c>
      <c r="K222" s="20" t="s">
        <v>439</v>
      </c>
      <c r="L222" s="21" t="s">
        <v>33</v>
      </c>
      <c r="M222" s="21"/>
      <c r="N222" s="109">
        <v>45578.0</v>
      </c>
      <c r="O222" s="109">
        <v>45578.0</v>
      </c>
      <c r="P222" s="110" t="s">
        <v>422</v>
      </c>
      <c r="Q222" s="111">
        <v>45588.0</v>
      </c>
      <c r="R222" s="112"/>
      <c r="S222" s="21" t="s">
        <v>423</v>
      </c>
      <c r="T222" s="21"/>
      <c r="U222" s="159"/>
      <c r="V222" s="206"/>
      <c r="W222" s="206"/>
      <c r="X222" s="206"/>
      <c r="Y222" s="206"/>
      <c r="Z222" s="206"/>
      <c r="AA222" s="206"/>
      <c r="AB222" s="206"/>
      <c r="AC222" s="206"/>
      <c r="AD222" s="206"/>
      <c r="AE222" s="206"/>
      <c r="AF222" s="206"/>
      <c r="AG222" s="114"/>
      <c r="AH222" s="114"/>
      <c r="AI222" s="137"/>
      <c r="AJ222" s="114"/>
      <c r="AK222" s="137"/>
      <c r="AL222" s="137"/>
      <c r="AM222" s="137"/>
      <c r="AN222" s="137"/>
      <c r="AO222" s="137"/>
      <c r="AP222" s="137"/>
      <c r="AQ222" s="137"/>
      <c r="AR222" s="114">
        <f>181720/2</f>
        <v>90860</v>
      </c>
      <c r="AS222" s="114" t="s">
        <v>128</v>
      </c>
      <c r="AT222" s="121" t="s">
        <v>128</v>
      </c>
      <c r="AU222" s="114" t="s">
        <v>128</v>
      </c>
      <c r="AV222" s="114"/>
      <c r="AW222" s="114"/>
      <c r="AX222" s="114"/>
      <c r="AY222" s="114"/>
      <c r="AZ222" s="114"/>
      <c r="BA222" s="114"/>
      <c r="BB222" s="114"/>
      <c r="BC222" s="114"/>
      <c r="BD222" s="114"/>
      <c r="BE222" s="114"/>
      <c r="BF222" s="121"/>
      <c r="BG222" s="114"/>
      <c r="BH222" s="114"/>
      <c r="BI222" s="114"/>
      <c r="BJ222" s="114"/>
      <c r="BK222" s="114"/>
      <c r="BL222" s="114"/>
      <c r="BM222" s="114"/>
      <c r="BN222" s="116">
        <f t="shared" si="54"/>
        <v>0</v>
      </c>
      <c r="BO222" s="117">
        <f t="shared" si="60"/>
        <v>90860</v>
      </c>
      <c r="BP222" s="117">
        <v>0.0</v>
      </c>
      <c r="BQ222" s="118">
        <f t="shared" si="61"/>
        <v>90860</v>
      </c>
      <c r="BR222" s="119">
        <f t="shared" si="56"/>
        <v>90860</v>
      </c>
    </row>
    <row r="223" ht="27.0" customHeight="1">
      <c r="A223" s="12">
        <f t="shared" si="59"/>
        <v>216</v>
      </c>
      <c r="B223" s="20" t="s">
        <v>163</v>
      </c>
      <c r="C223" s="15">
        <v>6125.0</v>
      </c>
      <c r="D223" s="16" t="s">
        <v>165</v>
      </c>
      <c r="E223" s="16" t="s">
        <v>513</v>
      </c>
      <c r="F223" s="124">
        <v>15774.0</v>
      </c>
      <c r="G223" s="30" t="s">
        <v>962</v>
      </c>
      <c r="H223" s="30" t="s">
        <v>963</v>
      </c>
      <c r="I223" s="30"/>
      <c r="J223" s="15" t="s">
        <v>420</v>
      </c>
      <c r="K223" s="20" t="s">
        <v>511</v>
      </c>
      <c r="L223" s="21" t="s">
        <v>33</v>
      </c>
      <c r="M223" s="21"/>
      <c r="N223" s="109">
        <v>45853.0</v>
      </c>
      <c r="O223" s="109">
        <v>45855.0</v>
      </c>
      <c r="P223" s="110" t="s">
        <v>449</v>
      </c>
      <c r="Q223" s="111">
        <v>45880.0</v>
      </c>
      <c r="R223" s="112">
        <v>46087.0</v>
      </c>
      <c r="S223" s="21" t="s">
        <v>423</v>
      </c>
      <c r="T223" s="21"/>
      <c r="U223" s="159"/>
      <c r="V223" s="206"/>
      <c r="W223" s="206"/>
      <c r="X223" s="206"/>
      <c r="Y223" s="206"/>
      <c r="Z223" s="206"/>
      <c r="AA223" s="206"/>
      <c r="AB223" s="206"/>
      <c r="AC223" s="206"/>
      <c r="AD223" s="206"/>
      <c r="AE223" s="206"/>
      <c r="AF223" s="206"/>
      <c r="AG223" s="114"/>
      <c r="AH223" s="114"/>
      <c r="AI223" s="137"/>
      <c r="AJ223" s="114"/>
      <c r="AK223" s="137"/>
      <c r="AL223" s="137"/>
      <c r="AM223" s="137"/>
      <c r="AN223" s="137"/>
      <c r="AO223" s="137"/>
      <c r="AP223" s="137"/>
      <c r="AQ223" s="137"/>
      <c r="AR223" s="114"/>
      <c r="AS223" s="114"/>
      <c r="AT223" s="121"/>
      <c r="AU223" s="114"/>
      <c r="AV223" s="114"/>
      <c r="AW223" s="114"/>
      <c r="AX223" s="114"/>
      <c r="AY223" s="114"/>
      <c r="AZ223" s="114"/>
      <c r="BA223" s="114">
        <f>8333*6</f>
        <v>49998</v>
      </c>
      <c r="BB223" s="137" t="s">
        <v>128</v>
      </c>
      <c r="BC223" s="137" t="s">
        <v>128</v>
      </c>
      <c r="BD223" s="137" t="s">
        <v>128</v>
      </c>
      <c r="BE223" s="137" t="s">
        <v>128</v>
      </c>
      <c r="BF223" s="139" t="s">
        <v>128</v>
      </c>
      <c r="BG223" s="114">
        <f>8333*6</f>
        <v>49998</v>
      </c>
      <c r="BH223" s="114" t="s">
        <v>424</v>
      </c>
      <c r="BI223" s="114"/>
      <c r="BJ223" s="114"/>
      <c r="BK223" s="203"/>
      <c r="BL223" s="203"/>
      <c r="BM223" s="203"/>
      <c r="BN223" s="116">
        <f t="shared" si="54"/>
        <v>0</v>
      </c>
      <c r="BO223" s="234">
        <f>8333*6</f>
        <v>49998</v>
      </c>
      <c r="BP223" s="178">
        <v>49998.0</v>
      </c>
      <c r="BQ223" s="118">
        <f>BO223+BP223</f>
        <v>99996</v>
      </c>
      <c r="BR223" s="119">
        <f t="shared" si="56"/>
        <v>99996</v>
      </c>
    </row>
    <row r="224" ht="27.0" customHeight="1">
      <c r="A224" s="12">
        <f t="shared" si="59"/>
        <v>217</v>
      </c>
      <c r="B224" s="20" t="s">
        <v>163</v>
      </c>
      <c r="C224" s="15">
        <v>6125.0</v>
      </c>
      <c r="D224" s="16" t="s">
        <v>165</v>
      </c>
      <c r="E224" s="16" t="s">
        <v>513</v>
      </c>
      <c r="F224" s="124">
        <v>16070.0</v>
      </c>
      <c r="G224" s="30" t="s">
        <v>964</v>
      </c>
      <c r="H224" s="30" t="s">
        <v>965</v>
      </c>
      <c r="I224" s="30"/>
      <c r="J224" s="15" t="s">
        <v>420</v>
      </c>
      <c r="K224" s="20" t="s">
        <v>421</v>
      </c>
      <c r="L224" s="21" t="s">
        <v>33</v>
      </c>
      <c r="M224" s="21"/>
      <c r="N224" s="109">
        <v>45873.0</v>
      </c>
      <c r="O224" s="109">
        <v>45873.0</v>
      </c>
      <c r="P224" s="110" t="s">
        <v>422</v>
      </c>
      <c r="Q224" s="111">
        <v>45880.0</v>
      </c>
      <c r="R224" s="112"/>
      <c r="S224" s="21" t="s">
        <v>423</v>
      </c>
      <c r="T224" s="21"/>
      <c r="U224" s="159"/>
      <c r="V224" s="206"/>
      <c r="W224" s="206"/>
      <c r="X224" s="206"/>
      <c r="Y224" s="206"/>
      <c r="Z224" s="206"/>
      <c r="AA224" s="206"/>
      <c r="AB224" s="206"/>
      <c r="AC224" s="206"/>
      <c r="AD224" s="206"/>
      <c r="AE224" s="206"/>
      <c r="AF224" s="206"/>
      <c r="AG224" s="114"/>
      <c r="AH224" s="114"/>
      <c r="AI224" s="137"/>
      <c r="AJ224" s="114"/>
      <c r="AK224" s="137"/>
      <c r="AL224" s="137"/>
      <c r="AM224" s="137"/>
      <c r="AN224" s="137"/>
      <c r="AO224" s="137"/>
      <c r="AP224" s="137"/>
      <c r="AQ224" s="137"/>
      <c r="AR224" s="114"/>
      <c r="AS224" s="114"/>
      <c r="AT224" s="121"/>
      <c r="AU224" s="114"/>
      <c r="AV224" s="114"/>
      <c r="AW224" s="114"/>
      <c r="AX224" s="114"/>
      <c r="AY224" s="114"/>
      <c r="AZ224" s="114"/>
      <c r="BA224" s="114"/>
      <c r="BB224" s="114">
        <v>150000.0</v>
      </c>
      <c r="BC224" s="114" t="s">
        <v>424</v>
      </c>
      <c r="BD224" s="137"/>
      <c r="BE224" s="137"/>
      <c r="BF224" s="139"/>
      <c r="BG224" s="137"/>
      <c r="BH224" s="137"/>
      <c r="BI224" s="137"/>
      <c r="BJ224" s="137"/>
      <c r="BK224" s="137"/>
      <c r="BL224" s="137"/>
      <c r="BM224" s="137"/>
      <c r="BN224" s="116">
        <f t="shared" si="54"/>
        <v>0</v>
      </c>
      <c r="BO224" s="234">
        <v>150000.0</v>
      </c>
      <c r="BP224" s="117">
        <v>0.0</v>
      </c>
      <c r="BQ224" s="118">
        <f>sum(U224:BH224)</f>
        <v>150000</v>
      </c>
      <c r="BR224" s="119">
        <f t="shared" si="56"/>
        <v>150000</v>
      </c>
    </row>
    <row r="225" ht="27.0" customHeight="1">
      <c r="A225" s="12">
        <f t="shared" si="59"/>
        <v>218</v>
      </c>
      <c r="B225" s="20" t="s">
        <v>163</v>
      </c>
      <c r="C225" s="15">
        <v>6125.0</v>
      </c>
      <c r="D225" s="16" t="s">
        <v>165</v>
      </c>
      <c r="E225" s="16" t="s">
        <v>513</v>
      </c>
      <c r="F225" s="124">
        <v>15902.0</v>
      </c>
      <c r="G225" s="30" t="s">
        <v>966</v>
      </c>
      <c r="H225" s="30" t="s">
        <v>967</v>
      </c>
      <c r="I225" s="30"/>
      <c r="J225" s="15" t="s">
        <v>420</v>
      </c>
      <c r="K225" s="20" t="s">
        <v>511</v>
      </c>
      <c r="L225" s="21" t="s">
        <v>33</v>
      </c>
      <c r="M225" s="21"/>
      <c r="N225" s="109">
        <v>45869.0</v>
      </c>
      <c r="O225" s="109">
        <v>45876.0</v>
      </c>
      <c r="P225" s="110" t="s">
        <v>512</v>
      </c>
      <c r="Q225" s="111">
        <v>45880.0</v>
      </c>
      <c r="R225" s="112"/>
      <c r="S225" s="21" t="s">
        <v>423</v>
      </c>
      <c r="T225" s="21"/>
      <c r="U225" s="159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  <c r="AG225" s="114"/>
      <c r="AH225" s="114"/>
      <c r="AI225" s="137"/>
      <c r="AJ225" s="114"/>
      <c r="AK225" s="137"/>
      <c r="AL225" s="137"/>
      <c r="AM225" s="137"/>
      <c r="AN225" s="137"/>
      <c r="AO225" s="137"/>
      <c r="AP225" s="137"/>
      <c r="AQ225" s="137"/>
      <c r="AR225" s="114"/>
      <c r="AS225" s="114"/>
      <c r="AT225" s="121"/>
      <c r="AU225" s="114"/>
      <c r="AV225" s="114"/>
      <c r="AW225" s="114"/>
      <c r="AX225" s="114"/>
      <c r="AY225" s="114"/>
      <c r="AZ225" s="114"/>
      <c r="BA225" s="114"/>
      <c r="BB225" s="114">
        <f>8333*6</f>
        <v>49998</v>
      </c>
      <c r="BC225" s="137" t="s">
        <v>128</v>
      </c>
      <c r="BD225" s="137" t="s">
        <v>128</v>
      </c>
      <c r="BE225" s="137" t="s">
        <v>128</v>
      </c>
      <c r="BF225" s="139" t="s">
        <v>128</v>
      </c>
      <c r="BG225" s="114" t="s">
        <v>440</v>
      </c>
      <c r="BH225" s="114"/>
      <c r="BI225" s="114"/>
      <c r="BJ225" s="114"/>
      <c r="BK225" s="203"/>
      <c r="BL225" s="203"/>
      <c r="BM225" s="203"/>
      <c r="BN225" s="116">
        <f t="shared" si="54"/>
        <v>0</v>
      </c>
      <c r="BO225" s="234">
        <f>8333*6</f>
        <v>49998</v>
      </c>
      <c r="BP225" s="117">
        <v>0.0</v>
      </c>
      <c r="BQ225" s="118">
        <f t="shared" ref="BQ225:BQ226" si="62">BO225+BP225</f>
        <v>49998</v>
      </c>
      <c r="BR225" s="119">
        <f t="shared" si="56"/>
        <v>49998</v>
      </c>
    </row>
    <row r="226" ht="27.0" customHeight="1">
      <c r="A226" s="12">
        <f t="shared" si="59"/>
        <v>219</v>
      </c>
      <c r="B226" s="20" t="s">
        <v>163</v>
      </c>
      <c r="C226" s="15">
        <v>6125.0</v>
      </c>
      <c r="D226" s="16" t="s">
        <v>165</v>
      </c>
      <c r="E226" s="16" t="s">
        <v>513</v>
      </c>
      <c r="F226" s="33" t="s">
        <v>968</v>
      </c>
      <c r="G226" s="69" t="s">
        <v>969</v>
      </c>
      <c r="H226" s="30" t="s">
        <v>970</v>
      </c>
      <c r="I226" s="30"/>
      <c r="J226" s="15" t="s">
        <v>961</v>
      </c>
      <c r="K226" s="20" t="s">
        <v>511</v>
      </c>
      <c r="L226" s="21" t="s">
        <v>33</v>
      </c>
      <c r="M226" s="21"/>
      <c r="N226" s="109">
        <v>45888.0</v>
      </c>
      <c r="O226" s="109">
        <v>45888.0</v>
      </c>
      <c r="P226" s="110" t="s">
        <v>512</v>
      </c>
      <c r="Q226" s="111">
        <v>46087.0</v>
      </c>
      <c r="R226" s="112"/>
      <c r="S226" s="21" t="s">
        <v>423</v>
      </c>
      <c r="T226" s="21"/>
      <c r="U226" s="159"/>
      <c r="V226" s="206"/>
      <c r="W226" s="206"/>
      <c r="X226" s="206"/>
      <c r="Y226" s="206"/>
      <c r="Z226" s="206"/>
      <c r="AA226" s="206"/>
      <c r="AB226" s="206"/>
      <c r="AC226" s="206"/>
      <c r="AD226" s="206"/>
      <c r="AE226" s="206"/>
      <c r="AF226" s="206"/>
      <c r="AG226" s="114"/>
      <c r="AH226" s="114"/>
      <c r="AI226" s="137"/>
      <c r="AJ226" s="114"/>
      <c r="AK226" s="137"/>
      <c r="AL226" s="137"/>
      <c r="AM226" s="137"/>
      <c r="AN226" s="137"/>
      <c r="AO226" s="137"/>
      <c r="AP226" s="137"/>
      <c r="AQ226" s="137"/>
      <c r="AR226" s="114"/>
      <c r="AS226" s="114"/>
      <c r="AT226" s="121"/>
      <c r="AU226" s="114"/>
      <c r="AV226" s="114"/>
      <c r="AW226" s="114"/>
      <c r="AX226" s="114"/>
      <c r="AY226" s="114"/>
      <c r="AZ226" s="114"/>
      <c r="BA226" s="114"/>
      <c r="BB226" s="114">
        <v>60060.0</v>
      </c>
      <c r="BC226" s="137" t="s">
        <v>128</v>
      </c>
      <c r="BD226" s="137" t="s">
        <v>128</v>
      </c>
      <c r="BE226" s="137" t="s">
        <v>128</v>
      </c>
      <c r="BF226" s="139" t="s">
        <v>128</v>
      </c>
      <c r="BG226" s="137" t="s">
        <v>128</v>
      </c>
      <c r="BH226" s="114">
        <v>60060.0</v>
      </c>
      <c r="BI226" s="114" t="s">
        <v>424</v>
      </c>
      <c r="BJ226" s="114"/>
      <c r="BK226" s="203"/>
      <c r="BL226" s="203"/>
      <c r="BM226" s="203"/>
      <c r="BN226" s="116">
        <f t="shared" si="54"/>
        <v>0</v>
      </c>
      <c r="BO226" s="178">
        <v>120120.0</v>
      </c>
      <c r="BP226" s="117">
        <v>0.0</v>
      </c>
      <c r="BQ226" s="118">
        <f t="shared" si="62"/>
        <v>120120</v>
      </c>
      <c r="BR226" s="119">
        <f t="shared" si="56"/>
        <v>120120</v>
      </c>
    </row>
    <row r="227" ht="27.0" customHeight="1">
      <c r="A227" s="12">
        <f t="shared" si="59"/>
        <v>220</v>
      </c>
      <c r="B227" s="20" t="s">
        <v>163</v>
      </c>
      <c r="C227" s="15" t="s">
        <v>128</v>
      </c>
      <c r="D227" s="38" t="s">
        <v>361</v>
      </c>
      <c r="E227" s="38" t="s">
        <v>362</v>
      </c>
      <c r="F227" s="33" t="s">
        <v>971</v>
      </c>
      <c r="G227" s="69" t="s">
        <v>972</v>
      </c>
      <c r="H227" s="30" t="s">
        <v>973</v>
      </c>
      <c r="I227" s="30"/>
      <c r="J227" s="15" t="s">
        <v>961</v>
      </c>
      <c r="K227" s="20" t="s">
        <v>446</v>
      </c>
      <c r="L227" s="21" t="s">
        <v>33</v>
      </c>
      <c r="M227" s="21"/>
      <c r="N227" s="109">
        <v>45882.0</v>
      </c>
      <c r="O227" s="109">
        <v>45882.0</v>
      </c>
      <c r="P227" s="110" t="s">
        <v>422</v>
      </c>
      <c r="Q227" s="111">
        <v>45904.0</v>
      </c>
      <c r="R227" s="112"/>
      <c r="S227" s="21" t="s">
        <v>423</v>
      </c>
      <c r="T227" s="21"/>
      <c r="U227" s="159"/>
      <c r="V227" s="206"/>
      <c r="W227" s="206"/>
      <c r="X227" s="206"/>
      <c r="Y227" s="206"/>
      <c r="Z227" s="206"/>
      <c r="AA227" s="206"/>
      <c r="AB227" s="206"/>
      <c r="AC227" s="206"/>
      <c r="AD227" s="206"/>
      <c r="AE227" s="206"/>
      <c r="AF227" s="206"/>
      <c r="AG227" s="114"/>
      <c r="AH227" s="114"/>
      <c r="AI227" s="137"/>
      <c r="AJ227" s="114"/>
      <c r="AK227" s="137"/>
      <c r="AL227" s="137"/>
      <c r="AM227" s="137"/>
      <c r="AN227" s="137"/>
      <c r="AO227" s="137"/>
      <c r="AP227" s="137"/>
      <c r="AQ227" s="137"/>
      <c r="AR227" s="114"/>
      <c r="AS227" s="114"/>
      <c r="AT227" s="121"/>
      <c r="AU227" s="114"/>
      <c r="AV227" s="114"/>
      <c r="AW227" s="114"/>
      <c r="AX227" s="114"/>
      <c r="AY227" s="114"/>
      <c r="AZ227" s="114"/>
      <c r="BA227" s="114"/>
      <c r="BB227" s="114">
        <v>120120.0</v>
      </c>
      <c r="BC227" s="114" t="s">
        <v>424</v>
      </c>
      <c r="BD227" s="114"/>
      <c r="BE227" s="114"/>
      <c r="BF227" s="121"/>
      <c r="BG227" s="114"/>
      <c r="BH227" s="114"/>
      <c r="BI227" s="114"/>
      <c r="BJ227" s="114"/>
      <c r="BK227" s="114"/>
      <c r="BL227" s="114"/>
      <c r="BM227" s="114"/>
      <c r="BN227" s="116">
        <f t="shared" si="54"/>
        <v>0</v>
      </c>
      <c r="BO227" s="117">
        <f t="shared" ref="BO227:BO232" si="63">sum(AV227:BB227)</f>
        <v>120120</v>
      </c>
      <c r="BP227" s="117">
        <v>0.0</v>
      </c>
      <c r="BQ227" s="118">
        <f t="shared" ref="BQ227:BQ231" si="64">sum(U227:BH227)</f>
        <v>120120</v>
      </c>
      <c r="BR227" s="119">
        <f t="shared" si="56"/>
        <v>120120</v>
      </c>
    </row>
    <row r="228" ht="27.0" customHeight="1">
      <c r="A228" s="12">
        <f t="shared" si="59"/>
        <v>221</v>
      </c>
      <c r="B228" s="20" t="s">
        <v>163</v>
      </c>
      <c r="C228" s="15" t="s">
        <v>128</v>
      </c>
      <c r="D228" s="38" t="s">
        <v>361</v>
      </c>
      <c r="E228" s="38" t="s">
        <v>362</v>
      </c>
      <c r="F228" s="33" t="s">
        <v>974</v>
      </c>
      <c r="G228" s="69" t="s">
        <v>975</v>
      </c>
      <c r="H228" s="30" t="s">
        <v>976</v>
      </c>
      <c r="I228" s="30"/>
      <c r="J228" s="15" t="s">
        <v>961</v>
      </c>
      <c r="K228" s="20" t="s">
        <v>446</v>
      </c>
      <c r="L228" s="21" t="s">
        <v>33</v>
      </c>
      <c r="M228" s="21"/>
      <c r="N228" s="109">
        <v>45882.0</v>
      </c>
      <c r="O228" s="109">
        <v>45882.0</v>
      </c>
      <c r="P228" s="110" t="s">
        <v>422</v>
      </c>
      <c r="Q228" s="111">
        <v>45904.0</v>
      </c>
      <c r="R228" s="112"/>
      <c r="S228" s="21" t="s">
        <v>423</v>
      </c>
      <c r="T228" s="21"/>
      <c r="U228" s="159"/>
      <c r="V228" s="206"/>
      <c r="W228" s="206"/>
      <c r="X228" s="206"/>
      <c r="Y228" s="206"/>
      <c r="Z228" s="206"/>
      <c r="AA228" s="206"/>
      <c r="AB228" s="206"/>
      <c r="AC228" s="206"/>
      <c r="AD228" s="206"/>
      <c r="AE228" s="206"/>
      <c r="AF228" s="206"/>
      <c r="AG228" s="114"/>
      <c r="AH228" s="114"/>
      <c r="AI228" s="137"/>
      <c r="AJ228" s="114"/>
      <c r="AK228" s="137"/>
      <c r="AL228" s="137"/>
      <c r="AM228" s="137"/>
      <c r="AN228" s="137"/>
      <c r="AO228" s="137"/>
      <c r="AP228" s="137"/>
      <c r="AQ228" s="137"/>
      <c r="AR228" s="114"/>
      <c r="AS228" s="114"/>
      <c r="AT228" s="121"/>
      <c r="AU228" s="114"/>
      <c r="AV228" s="114"/>
      <c r="AW228" s="114"/>
      <c r="AX228" s="114"/>
      <c r="AY228" s="114"/>
      <c r="AZ228" s="114"/>
      <c r="BA228" s="114"/>
      <c r="BB228" s="114">
        <v>120120.0</v>
      </c>
      <c r="BC228" s="114" t="s">
        <v>424</v>
      </c>
      <c r="BD228" s="114"/>
      <c r="BE228" s="114"/>
      <c r="BF228" s="121"/>
      <c r="BG228" s="114"/>
      <c r="BH228" s="114"/>
      <c r="BI228" s="114"/>
      <c r="BJ228" s="114"/>
      <c r="BK228" s="114"/>
      <c r="BL228" s="114"/>
      <c r="BM228" s="114"/>
      <c r="BN228" s="116">
        <f t="shared" si="54"/>
        <v>0</v>
      </c>
      <c r="BO228" s="117">
        <f t="shared" si="63"/>
        <v>120120</v>
      </c>
      <c r="BP228" s="117">
        <v>0.0</v>
      </c>
      <c r="BQ228" s="118">
        <f t="shared" si="64"/>
        <v>120120</v>
      </c>
      <c r="BR228" s="119">
        <f t="shared" si="56"/>
        <v>120120</v>
      </c>
    </row>
    <row r="229" ht="27.0" customHeight="1">
      <c r="A229" s="12">
        <f t="shared" si="59"/>
        <v>222</v>
      </c>
      <c r="B229" s="20" t="s">
        <v>163</v>
      </c>
      <c r="C229" s="15" t="s">
        <v>128</v>
      </c>
      <c r="D229" s="38" t="s">
        <v>361</v>
      </c>
      <c r="E229" s="38" t="s">
        <v>362</v>
      </c>
      <c r="F229" s="12">
        <v>15958.0</v>
      </c>
      <c r="G229" s="30" t="s">
        <v>977</v>
      </c>
      <c r="H229" s="30" t="s">
        <v>978</v>
      </c>
      <c r="I229" s="30"/>
      <c r="J229" s="15" t="s">
        <v>961</v>
      </c>
      <c r="K229" s="20" t="s">
        <v>446</v>
      </c>
      <c r="L229" s="21" t="s">
        <v>33</v>
      </c>
      <c r="M229" s="21"/>
      <c r="N229" s="109">
        <v>45896.0</v>
      </c>
      <c r="O229" s="109">
        <v>45896.0</v>
      </c>
      <c r="P229" s="110" t="s">
        <v>422</v>
      </c>
      <c r="Q229" s="111">
        <v>45904.0</v>
      </c>
      <c r="R229" s="112"/>
      <c r="S229" s="21" t="s">
        <v>423</v>
      </c>
      <c r="T229" s="21"/>
      <c r="U229" s="159"/>
      <c r="V229" s="206"/>
      <c r="W229" s="206"/>
      <c r="X229" s="206"/>
      <c r="Y229" s="206"/>
      <c r="Z229" s="206"/>
      <c r="AA229" s="206"/>
      <c r="AB229" s="206"/>
      <c r="AC229" s="206"/>
      <c r="AD229" s="206"/>
      <c r="AE229" s="206"/>
      <c r="AF229" s="206"/>
      <c r="AG229" s="114"/>
      <c r="AH229" s="114"/>
      <c r="AI229" s="137"/>
      <c r="AJ229" s="114"/>
      <c r="AK229" s="137"/>
      <c r="AL229" s="137"/>
      <c r="AM229" s="137"/>
      <c r="AN229" s="137"/>
      <c r="AO229" s="137"/>
      <c r="AP229" s="137"/>
      <c r="AQ229" s="137"/>
      <c r="AR229" s="114"/>
      <c r="AS229" s="114"/>
      <c r="AT229" s="121"/>
      <c r="AU229" s="114"/>
      <c r="AV229" s="114"/>
      <c r="AW229" s="114"/>
      <c r="AX229" s="114"/>
      <c r="AY229" s="114"/>
      <c r="AZ229" s="114"/>
      <c r="BA229" s="114"/>
      <c r="BB229" s="114">
        <v>120120.0</v>
      </c>
      <c r="BC229" s="114" t="s">
        <v>424</v>
      </c>
      <c r="BD229" s="114"/>
      <c r="BE229" s="114"/>
      <c r="BF229" s="121"/>
      <c r="BG229" s="114"/>
      <c r="BH229" s="114"/>
      <c r="BI229" s="114"/>
      <c r="BJ229" s="114"/>
      <c r="BK229" s="114"/>
      <c r="BL229" s="114"/>
      <c r="BM229" s="114"/>
      <c r="BN229" s="116">
        <f t="shared" si="54"/>
        <v>0</v>
      </c>
      <c r="BO229" s="117">
        <f t="shared" si="63"/>
        <v>120120</v>
      </c>
      <c r="BP229" s="117">
        <v>0.0</v>
      </c>
      <c r="BQ229" s="118">
        <f t="shared" si="64"/>
        <v>120120</v>
      </c>
      <c r="BR229" s="119">
        <f t="shared" si="56"/>
        <v>120120</v>
      </c>
    </row>
    <row r="230" ht="27.0" customHeight="1">
      <c r="A230" s="12">
        <f t="shared" si="59"/>
        <v>223</v>
      </c>
      <c r="B230" s="20" t="s">
        <v>163</v>
      </c>
      <c r="C230" s="15" t="s">
        <v>128</v>
      </c>
      <c r="D230" s="38" t="s">
        <v>361</v>
      </c>
      <c r="E230" s="38" t="s">
        <v>362</v>
      </c>
      <c r="F230" s="33" t="s">
        <v>979</v>
      </c>
      <c r="G230" s="69" t="s">
        <v>980</v>
      </c>
      <c r="H230" s="30" t="s">
        <v>981</v>
      </c>
      <c r="I230" s="30"/>
      <c r="J230" s="15" t="s">
        <v>961</v>
      </c>
      <c r="K230" s="20" t="s">
        <v>446</v>
      </c>
      <c r="L230" s="21" t="s">
        <v>33</v>
      </c>
      <c r="M230" s="21"/>
      <c r="N230" s="109">
        <v>45834.0</v>
      </c>
      <c r="O230" s="109">
        <v>45834.0</v>
      </c>
      <c r="P230" s="110" t="s">
        <v>422</v>
      </c>
      <c r="Q230" s="111">
        <v>45904.0</v>
      </c>
      <c r="R230" s="112"/>
      <c r="S230" s="21" t="s">
        <v>423</v>
      </c>
      <c r="T230" s="21"/>
      <c r="U230" s="159"/>
      <c r="V230" s="206"/>
      <c r="W230" s="206"/>
      <c r="X230" s="206"/>
      <c r="Y230" s="206"/>
      <c r="Z230" s="206"/>
      <c r="AA230" s="206"/>
      <c r="AB230" s="206"/>
      <c r="AC230" s="206"/>
      <c r="AD230" s="206"/>
      <c r="AE230" s="206"/>
      <c r="AF230" s="206"/>
      <c r="AG230" s="114"/>
      <c r="AH230" s="114"/>
      <c r="AI230" s="137"/>
      <c r="AJ230" s="114"/>
      <c r="AK230" s="137"/>
      <c r="AL230" s="137"/>
      <c r="AM230" s="137"/>
      <c r="AN230" s="137"/>
      <c r="AO230" s="137"/>
      <c r="AP230" s="137"/>
      <c r="AQ230" s="137"/>
      <c r="AR230" s="114"/>
      <c r="AS230" s="114"/>
      <c r="AT230" s="121"/>
      <c r="AU230" s="114"/>
      <c r="AV230" s="114"/>
      <c r="AW230" s="114"/>
      <c r="AX230" s="114"/>
      <c r="AY230" s="114"/>
      <c r="AZ230" s="114">
        <v>120120.0</v>
      </c>
      <c r="BA230" s="114" t="s">
        <v>424</v>
      </c>
      <c r="BB230" s="114"/>
      <c r="BC230" s="114"/>
      <c r="BD230" s="114"/>
      <c r="BE230" s="114"/>
      <c r="BF230" s="121"/>
      <c r="BG230" s="114"/>
      <c r="BH230" s="114"/>
      <c r="BI230" s="114"/>
      <c r="BJ230" s="114"/>
      <c r="BK230" s="114"/>
      <c r="BL230" s="114"/>
      <c r="BM230" s="114"/>
      <c r="BN230" s="116">
        <f t="shared" si="54"/>
        <v>0</v>
      </c>
      <c r="BO230" s="117">
        <f t="shared" si="63"/>
        <v>120120</v>
      </c>
      <c r="BP230" s="117">
        <v>0.0</v>
      </c>
      <c r="BQ230" s="118">
        <f t="shared" si="64"/>
        <v>120120</v>
      </c>
      <c r="BR230" s="119">
        <f t="shared" si="56"/>
        <v>120120</v>
      </c>
    </row>
    <row r="231" ht="27.0" customHeight="1">
      <c r="A231" s="12">
        <f t="shared" si="59"/>
        <v>224</v>
      </c>
      <c r="B231" s="20" t="s">
        <v>163</v>
      </c>
      <c r="C231" s="15" t="s">
        <v>128</v>
      </c>
      <c r="D231" s="38" t="s">
        <v>361</v>
      </c>
      <c r="E231" s="38" t="s">
        <v>362</v>
      </c>
      <c r="F231" s="33" t="s">
        <v>982</v>
      </c>
      <c r="G231" s="69" t="s">
        <v>983</v>
      </c>
      <c r="H231" s="30" t="s">
        <v>983</v>
      </c>
      <c r="I231" s="30"/>
      <c r="J231" s="15" t="s">
        <v>961</v>
      </c>
      <c r="K231" s="20" t="s">
        <v>446</v>
      </c>
      <c r="L231" s="21" t="s">
        <v>33</v>
      </c>
      <c r="M231" s="21"/>
      <c r="N231" s="109">
        <v>45842.0</v>
      </c>
      <c r="O231" s="109">
        <v>45842.0</v>
      </c>
      <c r="P231" s="110" t="s">
        <v>422</v>
      </c>
      <c r="Q231" s="111">
        <v>45904.0</v>
      </c>
      <c r="R231" s="112"/>
      <c r="S231" s="21" t="s">
        <v>423</v>
      </c>
      <c r="T231" s="21"/>
      <c r="U231" s="159"/>
      <c r="V231" s="206"/>
      <c r="W231" s="206"/>
      <c r="X231" s="206"/>
      <c r="Y231" s="206"/>
      <c r="Z231" s="206"/>
      <c r="AA231" s="206"/>
      <c r="AB231" s="206"/>
      <c r="AC231" s="206"/>
      <c r="AD231" s="206"/>
      <c r="AE231" s="206"/>
      <c r="AF231" s="206"/>
      <c r="AG231" s="114"/>
      <c r="AH231" s="114"/>
      <c r="AI231" s="137"/>
      <c r="AJ231" s="114"/>
      <c r="AK231" s="137"/>
      <c r="AL231" s="137"/>
      <c r="AM231" s="137"/>
      <c r="AN231" s="137"/>
      <c r="AO231" s="137"/>
      <c r="AP231" s="137"/>
      <c r="AQ231" s="137"/>
      <c r="AR231" s="114"/>
      <c r="AS231" s="114"/>
      <c r="AT231" s="121"/>
      <c r="AU231" s="114"/>
      <c r="AV231" s="114"/>
      <c r="AW231" s="114"/>
      <c r="AX231" s="114"/>
      <c r="AY231" s="114"/>
      <c r="AZ231" s="114"/>
      <c r="BA231" s="114">
        <v>120120.0</v>
      </c>
      <c r="BB231" s="114" t="s">
        <v>424</v>
      </c>
      <c r="BC231" s="114"/>
      <c r="BD231" s="114"/>
      <c r="BE231" s="114"/>
      <c r="BF231" s="121"/>
      <c r="BG231" s="114"/>
      <c r="BH231" s="114"/>
      <c r="BI231" s="114"/>
      <c r="BJ231" s="114"/>
      <c r="BK231" s="114"/>
      <c r="BL231" s="114"/>
      <c r="BM231" s="114"/>
      <c r="BN231" s="116">
        <f t="shared" si="54"/>
        <v>0</v>
      </c>
      <c r="BO231" s="117">
        <f t="shared" si="63"/>
        <v>120120</v>
      </c>
      <c r="BP231" s="117">
        <v>0.0</v>
      </c>
      <c r="BQ231" s="118">
        <f t="shared" si="64"/>
        <v>120120</v>
      </c>
      <c r="BR231" s="119">
        <f t="shared" si="56"/>
        <v>120120</v>
      </c>
    </row>
    <row r="232" ht="27.0" customHeight="1">
      <c r="A232" s="12">
        <f t="shared" si="59"/>
        <v>225</v>
      </c>
      <c r="B232" s="20" t="s">
        <v>163</v>
      </c>
      <c r="C232" s="15" t="s">
        <v>128</v>
      </c>
      <c r="D232" s="38" t="s">
        <v>361</v>
      </c>
      <c r="E232" s="38" t="s">
        <v>362</v>
      </c>
      <c r="F232" s="33" t="s">
        <v>984</v>
      </c>
      <c r="G232" s="69" t="s">
        <v>985</v>
      </c>
      <c r="H232" s="30" t="s">
        <v>986</v>
      </c>
      <c r="I232" s="30"/>
      <c r="J232" s="15" t="s">
        <v>420</v>
      </c>
      <c r="K232" s="20" t="s">
        <v>439</v>
      </c>
      <c r="L232" s="21" t="s">
        <v>33</v>
      </c>
      <c r="M232" s="21"/>
      <c r="N232" s="109">
        <v>45897.0</v>
      </c>
      <c r="O232" s="109">
        <v>45900.0</v>
      </c>
      <c r="P232" s="110" t="s">
        <v>512</v>
      </c>
      <c r="Q232" s="111">
        <v>45904.0</v>
      </c>
      <c r="R232" s="112"/>
      <c r="S232" s="21" t="s">
        <v>450</v>
      </c>
      <c r="T232" s="21"/>
      <c r="U232" s="159"/>
      <c r="V232" s="206"/>
      <c r="W232" s="206"/>
      <c r="X232" s="206"/>
      <c r="Y232" s="206"/>
      <c r="Z232" s="206"/>
      <c r="AA232" s="206"/>
      <c r="AB232" s="206"/>
      <c r="AC232" s="206"/>
      <c r="AD232" s="206"/>
      <c r="AE232" s="206"/>
      <c r="AF232" s="206"/>
      <c r="AG232" s="114"/>
      <c r="AH232" s="114"/>
      <c r="AI232" s="137"/>
      <c r="AJ232" s="114"/>
      <c r="AK232" s="137"/>
      <c r="AL232" s="137"/>
      <c r="AM232" s="137"/>
      <c r="AN232" s="137"/>
      <c r="AO232" s="137"/>
      <c r="AP232" s="137"/>
      <c r="AQ232" s="137"/>
      <c r="AR232" s="114"/>
      <c r="AS232" s="114"/>
      <c r="AT232" s="121"/>
      <c r="AU232" s="114"/>
      <c r="AV232" s="114"/>
      <c r="AW232" s="114"/>
      <c r="AX232" s="114"/>
      <c r="AY232" s="114"/>
      <c r="AZ232" s="114"/>
      <c r="BA232" s="114"/>
      <c r="BB232" s="114">
        <v>75000.0</v>
      </c>
      <c r="BC232" s="137" t="s">
        <v>128</v>
      </c>
      <c r="BD232" s="137" t="s">
        <v>128</v>
      </c>
      <c r="BE232" s="137" t="s">
        <v>128</v>
      </c>
      <c r="BF232" s="139" t="s">
        <v>128</v>
      </c>
      <c r="BG232" s="137" t="s">
        <v>128</v>
      </c>
      <c r="BH232" s="114"/>
      <c r="BI232" s="114"/>
      <c r="BJ232" s="114"/>
      <c r="BK232" s="203"/>
      <c r="BL232" s="203"/>
      <c r="BM232" s="203"/>
      <c r="BN232" s="116">
        <f t="shared" si="54"/>
        <v>0</v>
      </c>
      <c r="BO232" s="117">
        <f t="shared" si="63"/>
        <v>75000</v>
      </c>
      <c r="BP232" s="117">
        <v>0.0</v>
      </c>
      <c r="BQ232" s="118">
        <f>sum(BA232:BH232)</f>
        <v>75000</v>
      </c>
      <c r="BR232" s="119">
        <f t="shared" si="56"/>
        <v>75000</v>
      </c>
    </row>
    <row r="233" ht="27.0" customHeight="1">
      <c r="A233" s="12">
        <f t="shared" si="59"/>
        <v>226</v>
      </c>
      <c r="B233" s="20" t="s">
        <v>163</v>
      </c>
      <c r="C233" s="15" t="s">
        <v>128</v>
      </c>
      <c r="D233" s="16" t="s">
        <v>361</v>
      </c>
      <c r="E233" s="38" t="s">
        <v>362</v>
      </c>
      <c r="F233" s="33" t="s">
        <v>987</v>
      </c>
      <c r="G233" s="69" t="s">
        <v>988</v>
      </c>
      <c r="H233" s="30" t="s">
        <v>989</v>
      </c>
      <c r="I233" s="30"/>
      <c r="J233" s="15" t="s">
        <v>961</v>
      </c>
      <c r="K233" s="20" t="s">
        <v>446</v>
      </c>
      <c r="L233" s="21" t="s">
        <v>33</v>
      </c>
      <c r="M233" s="21"/>
      <c r="N233" s="109">
        <v>45918.0</v>
      </c>
      <c r="O233" s="109">
        <v>45918.0</v>
      </c>
      <c r="P233" s="110" t="s">
        <v>422</v>
      </c>
      <c r="Q233" s="111"/>
      <c r="R233" s="112"/>
      <c r="S233" s="21" t="s">
        <v>433</v>
      </c>
      <c r="T233" s="21" t="s">
        <v>434</v>
      </c>
      <c r="U233" s="159"/>
      <c r="V233" s="206"/>
      <c r="W233" s="206"/>
      <c r="X233" s="206"/>
      <c r="Y233" s="206"/>
      <c r="Z233" s="206"/>
      <c r="AA233" s="206"/>
      <c r="AB233" s="206"/>
      <c r="AC233" s="206"/>
      <c r="AD233" s="206"/>
      <c r="AE233" s="206"/>
      <c r="AF233" s="206"/>
      <c r="AG233" s="114"/>
      <c r="AH233" s="114"/>
      <c r="AI233" s="137"/>
      <c r="AJ233" s="114"/>
      <c r="AK233" s="137"/>
      <c r="AL233" s="137"/>
      <c r="AM233" s="137"/>
      <c r="AN233" s="137"/>
      <c r="AO233" s="137"/>
      <c r="AP233" s="137"/>
      <c r="AQ233" s="137"/>
      <c r="AR233" s="114"/>
      <c r="AS233" s="114"/>
      <c r="AT233" s="121"/>
      <c r="AU233" s="114"/>
      <c r="AV233" s="114"/>
      <c r="AW233" s="114"/>
      <c r="AX233" s="114"/>
      <c r="AY233" s="114"/>
      <c r="AZ233" s="114"/>
      <c r="BA233" s="114"/>
      <c r="BB233" s="114"/>
      <c r="BC233" s="137">
        <v>120120.0</v>
      </c>
      <c r="BD233" s="114" t="s">
        <v>424</v>
      </c>
      <c r="BE233" s="137"/>
      <c r="BF233" s="139"/>
      <c r="BG233" s="137"/>
      <c r="BH233" s="137"/>
      <c r="BI233" s="137"/>
      <c r="BJ233" s="137"/>
      <c r="BK233" s="137"/>
      <c r="BL233" s="137"/>
      <c r="BM233" s="137"/>
      <c r="BN233" s="123">
        <f t="shared" si="54"/>
        <v>120120</v>
      </c>
      <c r="BO233" s="117">
        <v>0.0</v>
      </c>
      <c r="BP233" s="117">
        <v>0.0</v>
      </c>
      <c r="BQ233" s="118">
        <v>0.0</v>
      </c>
      <c r="BR233" s="119">
        <f t="shared" si="56"/>
        <v>120120</v>
      </c>
    </row>
    <row r="234" ht="27.0" customHeight="1">
      <c r="A234" s="183"/>
      <c r="B234" s="184"/>
      <c r="C234" s="185"/>
      <c r="D234" s="186"/>
      <c r="E234" s="187"/>
      <c r="F234" s="188"/>
      <c r="G234" s="189"/>
      <c r="H234" s="189"/>
      <c r="I234" s="189"/>
      <c r="J234" s="189"/>
      <c r="K234" s="190"/>
      <c r="L234" s="191"/>
      <c r="M234" s="191"/>
      <c r="N234" s="192"/>
      <c r="O234" s="192"/>
      <c r="P234" s="192"/>
      <c r="Q234" s="193"/>
      <c r="R234" s="193"/>
      <c r="S234" s="193"/>
      <c r="T234" s="193"/>
      <c r="U234" s="191">
        <f t="shared" ref="U234:BJ234" si="65">SUM(U215:U222)</f>
        <v>0</v>
      </c>
      <c r="V234" s="194">
        <f t="shared" si="65"/>
        <v>0</v>
      </c>
      <c r="W234" s="194">
        <f t="shared" si="65"/>
        <v>0</v>
      </c>
      <c r="X234" s="194">
        <f t="shared" si="65"/>
        <v>0</v>
      </c>
      <c r="Y234" s="194">
        <f t="shared" si="65"/>
        <v>0</v>
      </c>
      <c r="Z234" s="194">
        <f t="shared" si="65"/>
        <v>0</v>
      </c>
      <c r="AA234" s="194">
        <f t="shared" si="65"/>
        <v>0</v>
      </c>
      <c r="AB234" s="194">
        <f t="shared" si="65"/>
        <v>0</v>
      </c>
      <c r="AC234" s="194">
        <f t="shared" si="65"/>
        <v>0</v>
      </c>
      <c r="AD234" s="194">
        <f t="shared" si="65"/>
        <v>0</v>
      </c>
      <c r="AE234" s="194">
        <f t="shared" si="65"/>
        <v>0</v>
      </c>
      <c r="AF234" s="194">
        <f t="shared" si="65"/>
        <v>0</v>
      </c>
      <c r="AG234" s="194">
        <f t="shared" si="65"/>
        <v>0</v>
      </c>
      <c r="AH234" s="194">
        <f t="shared" si="65"/>
        <v>0</v>
      </c>
      <c r="AI234" s="194">
        <f t="shared" si="65"/>
        <v>162500</v>
      </c>
      <c r="AJ234" s="194">
        <f t="shared" si="65"/>
        <v>0</v>
      </c>
      <c r="AK234" s="194">
        <f t="shared" si="65"/>
        <v>12500</v>
      </c>
      <c r="AL234" s="194">
        <f t="shared" si="65"/>
        <v>12500</v>
      </c>
      <c r="AM234" s="194">
        <f t="shared" si="65"/>
        <v>12500</v>
      </c>
      <c r="AN234" s="194">
        <f t="shared" si="65"/>
        <v>12500</v>
      </c>
      <c r="AO234" s="194">
        <f t="shared" si="65"/>
        <v>12500</v>
      </c>
      <c r="AP234" s="194">
        <f t="shared" si="65"/>
        <v>87500</v>
      </c>
      <c r="AQ234" s="194">
        <f t="shared" si="65"/>
        <v>12500</v>
      </c>
      <c r="AR234" s="194">
        <f t="shared" si="65"/>
        <v>200920</v>
      </c>
      <c r="AS234" s="194">
        <f t="shared" si="65"/>
        <v>12500</v>
      </c>
      <c r="AT234" s="235">
        <f t="shared" si="65"/>
        <v>12500</v>
      </c>
      <c r="AU234" s="194">
        <f t="shared" si="65"/>
        <v>25000</v>
      </c>
      <c r="AV234" s="194">
        <f t="shared" si="65"/>
        <v>25000</v>
      </c>
      <c r="AW234" s="194">
        <f t="shared" si="65"/>
        <v>25000</v>
      </c>
      <c r="AX234" s="194">
        <f t="shared" si="65"/>
        <v>25000</v>
      </c>
      <c r="AY234" s="194">
        <f t="shared" si="65"/>
        <v>25000</v>
      </c>
      <c r="AZ234" s="194">
        <f t="shared" si="65"/>
        <v>12500</v>
      </c>
      <c r="BA234" s="194">
        <f t="shared" si="65"/>
        <v>12500</v>
      </c>
      <c r="BB234" s="194">
        <f t="shared" si="65"/>
        <v>75000</v>
      </c>
      <c r="BC234" s="194">
        <f t="shared" si="65"/>
        <v>0</v>
      </c>
      <c r="BD234" s="194">
        <f t="shared" si="65"/>
        <v>150000</v>
      </c>
      <c r="BE234" s="194">
        <f t="shared" si="65"/>
        <v>0</v>
      </c>
      <c r="BF234" s="235">
        <f t="shared" si="65"/>
        <v>0</v>
      </c>
      <c r="BG234" s="194">
        <f t="shared" si="65"/>
        <v>0</v>
      </c>
      <c r="BH234" s="194">
        <f t="shared" si="65"/>
        <v>75000</v>
      </c>
      <c r="BI234" s="194">
        <f t="shared" si="65"/>
        <v>0</v>
      </c>
      <c r="BJ234" s="194">
        <f t="shared" si="65"/>
        <v>0</v>
      </c>
      <c r="BK234" s="191"/>
      <c r="BL234" s="191"/>
      <c r="BM234" s="191"/>
      <c r="BN234" s="236">
        <f>SUM(BN215:BN233)</f>
        <v>457620</v>
      </c>
      <c r="BO234" s="194">
        <f t="shared" ref="BO234:BR234" si="66">SUM(BO215:BO222)</f>
        <v>488420</v>
      </c>
      <c r="BP234" s="194">
        <f t="shared" si="66"/>
        <v>0</v>
      </c>
      <c r="BQ234" s="194">
        <f t="shared" si="66"/>
        <v>663420</v>
      </c>
      <c r="BR234" s="194">
        <f t="shared" si="66"/>
        <v>1000920</v>
      </c>
    </row>
    <row r="235" ht="27.0" customHeight="1">
      <c r="A235" s="12">
        <f>A233+1</f>
        <v>227</v>
      </c>
      <c r="B235" s="20" t="s">
        <v>43</v>
      </c>
      <c r="C235" s="32">
        <v>4323.0</v>
      </c>
      <c r="D235" s="31" t="s">
        <v>147</v>
      </c>
      <c r="E235" s="131" t="s">
        <v>148</v>
      </c>
      <c r="F235" s="130" t="s">
        <v>990</v>
      </c>
      <c r="G235" s="31" t="s">
        <v>991</v>
      </c>
      <c r="H235" s="16" t="s">
        <v>992</v>
      </c>
      <c r="I235" s="16"/>
      <c r="J235" s="15" t="s">
        <v>420</v>
      </c>
      <c r="K235" s="20" t="s">
        <v>421</v>
      </c>
      <c r="L235" s="21" t="s">
        <v>33</v>
      </c>
      <c r="M235" s="21"/>
      <c r="N235" s="109">
        <v>45579.0</v>
      </c>
      <c r="O235" s="109">
        <v>45579.0</v>
      </c>
      <c r="P235" s="110" t="s">
        <v>422</v>
      </c>
      <c r="Q235" s="111"/>
      <c r="R235" s="112"/>
      <c r="S235" s="21" t="s">
        <v>433</v>
      </c>
      <c r="T235" s="21" t="s">
        <v>434</v>
      </c>
      <c r="U235" s="159"/>
      <c r="V235" s="206"/>
      <c r="W235" s="206"/>
      <c r="X235" s="206"/>
      <c r="Y235" s="206"/>
      <c r="Z235" s="206"/>
      <c r="AA235" s="206"/>
      <c r="AB235" s="206"/>
      <c r="AC235" s="206"/>
      <c r="AD235" s="206"/>
      <c r="AE235" s="206"/>
      <c r="AF235" s="206"/>
      <c r="AG235" s="114"/>
      <c r="AH235" s="114"/>
      <c r="AI235" s="137"/>
      <c r="AJ235" s="114"/>
      <c r="AK235" s="137"/>
      <c r="AL235" s="137"/>
      <c r="AM235" s="137"/>
      <c r="AN235" s="137"/>
      <c r="AO235" s="137"/>
      <c r="AP235" s="137"/>
      <c r="AQ235" s="137"/>
      <c r="AR235" s="137">
        <v>150000.0</v>
      </c>
      <c r="AS235" s="114" t="s">
        <v>424</v>
      </c>
      <c r="AT235" s="237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37"/>
      <c r="BG235" s="21"/>
      <c r="BH235" s="21"/>
      <c r="BI235" s="21"/>
      <c r="BJ235" s="21"/>
      <c r="BK235" s="21"/>
      <c r="BL235" s="21"/>
      <c r="BM235" s="21"/>
      <c r="BN235" s="123">
        <f t="shared" ref="BN235:BN239" si="67">BR235-BQ235</f>
        <v>150000</v>
      </c>
      <c r="BO235" s="117">
        <v>0.0</v>
      </c>
      <c r="BP235" s="117">
        <v>0.0</v>
      </c>
      <c r="BQ235" s="118">
        <v>0.0</v>
      </c>
      <c r="BR235" s="119">
        <f t="shared" ref="BR235:BR239" si="68">SUM(U235:BJ235)</f>
        <v>150000</v>
      </c>
    </row>
    <row r="236" ht="27.0" customHeight="1">
      <c r="A236" s="12">
        <f t="shared" ref="A236:A239" si="69">A235+1</f>
        <v>228</v>
      </c>
      <c r="B236" s="20" t="s">
        <v>43</v>
      </c>
      <c r="C236" s="32">
        <v>4323.0</v>
      </c>
      <c r="D236" s="31" t="s">
        <v>147</v>
      </c>
      <c r="E236" s="131" t="s">
        <v>148</v>
      </c>
      <c r="F236" s="130" t="s">
        <v>990</v>
      </c>
      <c r="G236" s="31" t="s">
        <v>991</v>
      </c>
      <c r="H236" s="16" t="s">
        <v>993</v>
      </c>
      <c r="I236" s="16"/>
      <c r="J236" s="15" t="s">
        <v>420</v>
      </c>
      <c r="K236" s="20" t="s">
        <v>421</v>
      </c>
      <c r="L236" s="21" t="s">
        <v>33</v>
      </c>
      <c r="M236" s="21"/>
      <c r="N236" s="109">
        <v>45582.0</v>
      </c>
      <c r="O236" s="109">
        <v>45582.0</v>
      </c>
      <c r="P236" s="110" t="s">
        <v>422</v>
      </c>
      <c r="Q236" s="111"/>
      <c r="R236" s="112"/>
      <c r="S236" s="21" t="s">
        <v>433</v>
      </c>
      <c r="T236" s="21" t="s">
        <v>434</v>
      </c>
      <c r="U236" s="159"/>
      <c r="V236" s="206"/>
      <c r="W236" s="206"/>
      <c r="X236" s="206"/>
      <c r="Y236" s="206"/>
      <c r="Z236" s="206"/>
      <c r="AA236" s="206"/>
      <c r="AB236" s="206"/>
      <c r="AC236" s="206"/>
      <c r="AD236" s="206"/>
      <c r="AE236" s="206"/>
      <c r="AF236" s="206"/>
      <c r="AG236" s="114"/>
      <c r="AH236" s="114"/>
      <c r="AI236" s="137"/>
      <c r="AJ236" s="114"/>
      <c r="AK236" s="137"/>
      <c r="AL236" s="137"/>
      <c r="AM236" s="137"/>
      <c r="AN236" s="137"/>
      <c r="AO236" s="137"/>
      <c r="AP236" s="137"/>
      <c r="AQ236" s="137"/>
      <c r="AR236" s="137">
        <v>150000.0</v>
      </c>
      <c r="AS236" s="114" t="s">
        <v>424</v>
      </c>
      <c r="AT236" s="237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37"/>
      <c r="BG236" s="21"/>
      <c r="BH236" s="21"/>
      <c r="BI236" s="21"/>
      <c r="BJ236" s="21"/>
      <c r="BK236" s="21"/>
      <c r="BL236" s="21"/>
      <c r="BM236" s="21"/>
      <c r="BN236" s="123">
        <f t="shared" si="67"/>
        <v>150000</v>
      </c>
      <c r="BO236" s="117">
        <v>0.0</v>
      </c>
      <c r="BP236" s="117">
        <v>0.0</v>
      </c>
      <c r="BQ236" s="118">
        <v>0.0</v>
      </c>
      <c r="BR236" s="119">
        <f t="shared" si="68"/>
        <v>150000</v>
      </c>
    </row>
    <row r="237" ht="27.0" customHeight="1">
      <c r="A237" s="12">
        <f t="shared" si="69"/>
        <v>229</v>
      </c>
      <c r="B237" s="20" t="s">
        <v>163</v>
      </c>
      <c r="C237" s="15" t="s">
        <v>128</v>
      </c>
      <c r="D237" s="16" t="s">
        <v>361</v>
      </c>
      <c r="E237" s="148" t="s">
        <v>362</v>
      </c>
      <c r="F237" s="108">
        <v>13512.0</v>
      </c>
      <c r="G237" s="16" t="s">
        <v>994</v>
      </c>
      <c r="H237" s="213" t="s">
        <v>995</v>
      </c>
      <c r="I237" s="213"/>
      <c r="J237" s="15" t="s">
        <v>996</v>
      </c>
      <c r="K237" s="20" t="s">
        <v>446</v>
      </c>
      <c r="L237" s="21" t="s">
        <v>33</v>
      </c>
      <c r="M237" s="21"/>
      <c r="N237" s="109">
        <v>45572.0</v>
      </c>
      <c r="O237" s="109">
        <v>45590.0</v>
      </c>
      <c r="P237" s="110" t="s">
        <v>422</v>
      </c>
      <c r="Q237" s="111">
        <v>45695.0</v>
      </c>
      <c r="R237" s="112"/>
      <c r="S237" s="21" t="s">
        <v>423</v>
      </c>
      <c r="T237" s="21"/>
      <c r="U237" s="159"/>
      <c r="V237" s="206"/>
      <c r="W237" s="206"/>
      <c r="X237" s="206"/>
      <c r="Y237" s="206"/>
      <c r="Z237" s="206"/>
      <c r="AA237" s="206"/>
      <c r="AB237" s="206"/>
      <c r="AC237" s="206"/>
      <c r="AD237" s="206"/>
      <c r="AE237" s="206"/>
      <c r="AF237" s="206"/>
      <c r="AG237" s="114"/>
      <c r="AH237" s="114"/>
      <c r="AI237" s="137"/>
      <c r="AJ237" s="114"/>
      <c r="AK237" s="137"/>
      <c r="AL237" s="137"/>
      <c r="AM237" s="137"/>
      <c r="AN237" s="137"/>
      <c r="AO237" s="137"/>
      <c r="AP237" s="137"/>
      <c r="AQ237" s="137"/>
      <c r="AR237" s="114">
        <v>269910.0</v>
      </c>
      <c r="AS237" s="114" t="s">
        <v>424</v>
      </c>
      <c r="AT237" s="115"/>
      <c r="AU237" s="134"/>
      <c r="AV237" s="134"/>
      <c r="AW237" s="134"/>
      <c r="AX237" s="134"/>
      <c r="AY237" s="134"/>
      <c r="AZ237" s="134"/>
      <c r="BA237" s="134"/>
      <c r="BB237" s="134"/>
      <c r="BC237" s="134"/>
      <c r="BD237" s="134"/>
      <c r="BE237" s="134"/>
      <c r="BF237" s="211"/>
      <c r="BG237" s="134"/>
      <c r="BH237" s="134"/>
      <c r="BI237" s="134"/>
      <c r="BJ237" s="134"/>
      <c r="BK237" s="134"/>
      <c r="BL237" s="134"/>
      <c r="BM237" s="134"/>
      <c r="BN237" s="116">
        <f t="shared" si="67"/>
        <v>0</v>
      </c>
      <c r="BO237" s="117">
        <f>SUM(AR237)</f>
        <v>269910</v>
      </c>
      <c r="BP237" s="117">
        <v>0.0</v>
      </c>
      <c r="BQ237" s="118">
        <f t="shared" ref="BQ237:BQ239" si="70">sum(U237:BH237)</f>
        <v>269910</v>
      </c>
      <c r="BR237" s="119">
        <f t="shared" si="68"/>
        <v>269910</v>
      </c>
    </row>
    <row r="238" ht="27.0" customHeight="1">
      <c r="A238" s="12">
        <f t="shared" si="69"/>
        <v>230</v>
      </c>
      <c r="B238" s="20" t="s">
        <v>163</v>
      </c>
      <c r="C238" s="15" t="s">
        <v>128</v>
      </c>
      <c r="D238" s="16" t="s">
        <v>361</v>
      </c>
      <c r="E238" s="148" t="s">
        <v>362</v>
      </c>
      <c r="F238" s="108">
        <v>14327.0</v>
      </c>
      <c r="G238" s="30" t="s">
        <v>997</v>
      </c>
      <c r="H238" s="30" t="s">
        <v>998</v>
      </c>
      <c r="I238" s="30"/>
      <c r="J238" s="15" t="s">
        <v>420</v>
      </c>
      <c r="K238" s="20" t="s">
        <v>421</v>
      </c>
      <c r="L238" s="21" t="s">
        <v>33</v>
      </c>
      <c r="M238" s="21"/>
      <c r="N238" s="109">
        <v>45676.0</v>
      </c>
      <c r="O238" s="109">
        <v>45676.0</v>
      </c>
      <c r="P238" s="110" t="s">
        <v>422</v>
      </c>
      <c r="Q238" s="111">
        <v>45695.0</v>
      </c>
      <c r="R238" s="112"/>
      <c r="S238" s="21" t="s">
        <v>423</v>
      </c>
      <c r="T238" s="21"/>
      <c r="U238" s="159"/>
      <c r="V238" s="206"/>
      <c r="W238" s="206"/>
      <c r="X238" s="206"/>
      <c r="Y238" s="206"/>
      <c r="Z238" s="206"/>
      <c r="AA238" s="206"/>
      <c r="AB238" s="206"/>
      <c r="AC238" s="206"/>
      <c r="AD238" s="206"/>
      <c r="AE238" s="206"/>
      <c r="AF238" s="206"/>
      <c r="AG238" s="114"/>
      <c r="AH238" s="114"/>
      <c r="AI238" s="137"/>
      <c r="AJ238" s="114"/>
      <c r="AK238" s="137"/>
      <c r="AL238" s="137"/>
      <c r="AM238" s="137"/>
      <c r="AN238" s="137"/>
      <c r="AO238" s="137"/>
      <c r="AP238" s="137"/>
      <c r="AQ238" s="137"/>
      <c r="AR238" s="114"/>
      <c r="AS238" s="114"/>
      <c r="AT238" s="121"/>
      <c r="AU238" s="114">
        <v>150000.0</v>
      </c>
      <c r="AV238" s="114" t="s">
        <v>424</v>
      </c>
      <c r="AW238" s="114"/>
      <c r="AX238" s="114"/>
      <c r="AY238" s="114"/>
      <c r="AZ238" s="114"/>
      <c r="BA238" s="114"/>
      <c r="BB238" s="114"/>
      <c r="BC238" s="114"/>
      <c r="BD238" s="114"/>
      <c r="BE238" s="114"/>
      <c r="BF238" s="121"/>
      <c r="BG238" s="114"/>
      <c r="BH238" s="114"/>
      <c r="BI238" s="114"/>
      <c r="BJ238" s="114"/>
      <c r="BK238" s="114"/>
      <c r="BL238" s="114"/>
      <c r="BM238" s="114"/>
      <c r="BN238" s="116">
        <f t="shared" si="67"/>
        <v>0</v>
      </c>
      <c r="BO238" s="117">
        <f t="shared" ref="BO238:BO239" si="71">SUM(AU238)</f>
        <v>150000</v>
      </c>
      <c r="BP238" s="117">
        <v>0.0</v>
      </c>
      <c r="BQ238" s="118">
        <f t="shared" si="70"/>
        <v>150000</v>
      </c>
      <c r="BR238" s="119">
        <f t="shared" si="68"/>
        <v>150000</v>
      </c>
    </row>
    <row r="239" ht="32.25" customHeight="1">
      <c r="A239" s="12">
        <f t="shared" si="69"/>
        <v>231</v>
      </c>
      <c r="B239" s="20" t="s">
        <v>163</v>
      </c>
      <c r="C239" s="15" t="s">
        <v>128</v>
      </c>
      <c r="D239" s="16" t="s">
        <v>361</v>
      </c>
      <c r="E239" s="148" t="s">
        <v>362</v>
      </c>
      <c r="F239" s="108">
        <v>14369.0</v>
      </c>
      <c r="G239" s="69" t="s">
        <v>999</v>
      </c>
      <c r="H239" s="30" t="s">
        <v>1000</v>
      </c>
      <c r="I239" s="30"/>
      <c r="J239" s="15" t="s">
        <v>1001</v>
      </c>
      <c r="K239" s="20" t="s">
        <v>421</v>
      </c>
      <c r="L239" s="21" t="s">
        <v>33</v>
      </c>
      <c r="M239" s="21"/>
      <c r="N239" s="109">
        <v>45677.0</v>
      </c>
      <c r="O239" s="109">
        <v>45684.0</v>
      </c>
      <c r="P239" s="110" t="s">
        <v>422</v>
      </c>
      <c r="Q239" s="111">
        <v>45695.0</v>
      </c>
      <c r="R239" s="112"/>
      <c r="S239" s="21" t="s">
        <v>423</v>
      </c>
      <c r="T239" s="21"/>
      <c r="U239" s="159"/>
      <c r="V239" s="206"/>
      <c r="W239" s="206"/>
      <c r="X239" s="206"/>
      <c r="Y239" s="206"/>
      <c r="Z239" s="206"/>
      <c r="AA239" s="206"/>
      <c r="AB239" s="206"/>
      <c r="AC239" s="206"/>
      <c r="AD239" s="206"/>
      <c r="AE239" s="206"/>
      <c r="AF239" s="206"/>
      <c r="AG239" s="114"/>
      <c r="AH239" s="114"/>
      <c r="AI239" s="137"/>
      <c r="AJ239" s="114"/>
      <c r="AK239" s="137"/>
      <c r="AL239" s="137"/>
      <c r="AM239" s="137"/>
      <c r="AN239" s="137"/>
      <c r="AO239" s="137"/>
      <c r="AP239" s="137"/>
      <c r="AQ239" s="137"/>
      <c r="AR239" s="114"/>
      <c r="AS239" s="113"/>
      <c r="AT239" s="115"/>
      <c r="AU239" s="114">
        <v>239850.0</v>
      </c>
      <c r="AV239" s="114" t="s">
        <v>424</v>
      </c>
      <c r="AW239" s="114"/>
      <c r="AX239" s="114"/>
      <c r="AY239" s="114"/>
      <c r="AZ239" s="114"/>
      <c r="BA239" s="114"/>
      <c r="BB239" s="114"/>
      <c r="BC239" s="114"/>
      <c r="BD239" s="114"/>
      <c r="BE239" s="114"/>
      <c r="BF239" s="121"/>
      <c r="BG239" s="114"/>
      <c r="BH239" s="114"/>
      <c r="BI239" s="114"/>
      <c r="BJ239" s="114"/>
      <c r="BK239" s="114"/>
      <c r="BL239" s="114"/>
      <c r="BM239" s="114"/>
      <c r="BN239" s="116">
        <f t="shared" si="67"/>
        <v>0</v>
      </c>
      <c r="BO239" s="117">
        <f t="shared" si="71"/>
        <v>239850</v>
      </c>
      <c r="BP239" s="117">
        <v>0.0</v>
      </c>
      <c r="BQ239" s="118">
        <f t="shared" si="70"/>
        <v>239850</v>
      </c>
      <c r="BR239" s="119">
        <f t="shared" si="68"/>
        <v>239850</v>
      </c>
    </row>
    <row r="240" ht="27.0" customHeight="1">
      <c r="A240" s="183"/>
      <c r="B240" s="184"/>
      <c r="C240" s="185"/>
      <c r="D240" s="186"/>
      <c r="E240" s="187"/>
      <c r="F240" s="188"/>
      <c r="G240" s="189"/>
      <c r="H240" s="189"/>
      <c r="I240" s="189"/>
      <c r="J240" s="189"/>
      <c r="K240" s="238"/>
      <c r="L240" s="191"/>
      <c r="M240" s="191"/>
      <c r="N240" s="192"/>
      <c r="O240" s="192"/>
      <c r="P240" s="192"/>
      <c r="Q240" s="193"/>
      <c r="R240" s="193"/>
      <c r="S240" s="193"/>
      <c r="T240" s="193"/>
      <c r="U240" s="191">
        <f t="shared" ref="U240:BJ240" si="72">SUM(U235:U239)</f>
        <v>0</v>
      </c>
      <c r="V240" s="194">
        <f t="shared" si="72"/>
        <v>0</v>
      </c>
      <c r="W240" s="194">
        <f t="shared" si="72"/>
        <v>0</v>
      </c>
      <c r="X240" s="194">
        <f t="shared" si="72"/>
        <v>0</v>
      </c>
      <c r="Y240" s="194">
        <f t="shared" si="72"/>
        <v>0</v>
      </c>
      <c r="Z240" s="194">
        <f t="shared" si="72"/>
        <v>0</v>
      </c>
      <c r="AA240" s="194">
        <f t="shared" si="72"/>
        <v>0</v>
      </c>
      <c r="AB240" s="194">
        <f t="shared" si="72"/>
        <v>0</v>
      </c>
      <c r="AC240" s="194">
        <f t="shared" si="72"/>
        <v>0</v>
      </c>
      <c r="AD240" s="194">
        <f t="shared" si="72"/>
        <v>0</v>
      </c>
      <c r="AE240" s="194">
        <f t="shared" si="72"/>
        <v>0</v>
      </c>
      <c r="AF240" s="194">
        <f t="shared" si="72"/>
        <v>0</v>
      </c>
      <c r="AG240" s="194">
        <f t="shared" si="72"/>
        <v>0</v>
      </c>
      <c r="AH240" s="194">
        <f t="shared" si="72"/>
        <v>0</v>
      </c>
      <c r="AI240" s="194">
        <f t="shared" si="72"/>
        <v>0</v>
      </c>
      <c r="AJ240" s="194">
        <f t="shared" si="72"/>
        <v>0</v>
      </c>
      <c r="AK240" s="194">
        <f t="shared" si="72"/>
        <v>0</v>
      </c>
      <c r="AL240" s="194">
        <f t="shared" si="72"/>
        <v>0</v>
      </c>
      <c r="AM240" s="194">
        <f t="shared" si="72"/>
        <v>0</v>
      </c>
      <c r="AN240" s="194">
        <f t="shared" si="72"/>
        <v>0</v>
      </c>
      <c r="AO240" s="194">
        <f t="shared" si="72"/>
        <v>0</v>
      </c>
      <c r="AP240" s="194">
        <f t="shared" si="72"/>
        <v>0</v>
      </c>
      <c r="AQ240" s="194">
        <f t="shared" si="72"/>
        <v>0</v>
      </c>
      <c r="AR240" s="194">
        <f t="shared" si="72"/>
        <v>569910</v>
      </c>
      <c r="AS240" s="194">
        <f t="shared" si="72"/>
        <v>0</v>
      </c>
      <c r="AT240" s="235">
        <f t="shared" si="72"/>
        <v>0</v>
      </c>
      <c r="AU240" s="194">
        <f t="shared" si="72"/>
        <v>389850</v>
      </c>
      <c r="AV240" s="194">
        <f t="shared" si="72"/>
        <v>0</v>
      </c>
      <c r="AW240" s="194">
        <f t="shared" si="72"/>
        <v>0</v>
      </c>
      <c r="AX240" s="194">
        <f t="shared" si="72"/>
        <v>0</v>
      </c>
      <c r="AY240" s="194">
        <f t="shared" si="72"/>
        <v>0</v>
      </c>
      <c r="AZ240" s="194">
        <f t="shared" si="72"/>
        <v>0</v>
      </c>
      <c r="BA240" s="194">
        <f t="shared" si="72"/>
        <v>0</v>
      </c>
      <c r="BB240" s="194">
        <f t="shared" si="72"/>
        <v>0</v>
      </c>
      <c r="BC240" s="194">
        <f t="shared" si="72"/>
        <v>0</v>
      </c>
      <c r="BD240" s="194">
        <f t="shared" si="72"/>
        <v>0</v>
      </c>
      <c r="BE240" s="194">
        <f t="shared" si="72"/>
        <v>0</v>
      </c>
      <c r="BF240" s="235">
        <f t="shared" si="72"/>
        <v>0</v>
      </c>
      <c r="BG240" s="194">
        <f t="shared" si="72"/>
        <v>0</v>
      </c>
      <c r="BH240" s="194">
        <f t="shared" si="72"/>
        <v>0</v>
      </c>
      <c r="BI240" s="194">
        <f t="shared" si="72"/>
        <v>0</v>
      </c>
      <c r="BJ240" s="194">
        <f t="shared" si="72"/>
        <v>0</v>
      </c>
      <c r="BK240" s="191"/>
      <c r="BL240" s="191"/>
      <c r="BM240" s="191"/>
      <c r="BN240" s="236">
        <f t="shared" ref="BN240:BQ240" si="73">SUM(BN235:BN239)</f>
        <v>300000</v>
      </c>
      <c r="BO240" s="194">
        <f t="shared" si="73"/>
        <v>659760</v>
      </c>
      <c r="BP240" s="194">
        <f t="shared" si="73"/>
        <v>0</v>
      </c>
      <c r="BQ240" s="194">
        <f t="shared" si="73"/>
        <v>659760</v>
      </c>
      <c r="BR240" s="119">
        <f>SUM(U240:BH240)</f>
        <v>959760</v>
      </c>
    </row>
    <row r="241" ht="27.0" customHeight="1">
      <c r="A241" s="94"/>
      <c r="B241" s="94"/>
      <c r="C241" s="239"/>
      <c r="D241" s="240" t="str">
        <f t="array" ref="D241">sum(1/countif(D3:D124,D140:D203))</f>
        <v>#DIV/0!</v>
      </c>
      <c r="E241" s="241"/>
      <c r="F241" s="242"/>
      <c r="G241" s="243"/>
      <c r="H241" s="98" t="s">
        <v>1002</v>
      </c>
      <c r="I241" s="98"/>
      <c r="J241" s="98"/>
      <c r="K241" s="95"/>
      <c r="L241" s="98"/>
      <c r="M241" s="98"/>
      <c r="N241" s="244"/>
      <c r="O241" s="244"/>
      <c r="P241" s="245"/>
      <c r="Q241" s="246"/>
      <c r="R241" s="246"/>
      <c r="S241" s="246"/>
      <c r="T241" s="246"/>
      <c r="U241" s="247">
        <f t="shared" ref="U241:AW241" si="74">U139+U213+U234+U240</f>
        <v>29166</v>
      </c>
      <c r="V241" s="247">
        <f t="shared" si="74"/>
        <v>29166</v>
      </c>
      <c r="W241" s="247">
        <f t="shared" si="74"/>
        <v>404166</v>
      </c>
      <c r="X241" s="247">
        <f t="shared" si="74"/>
        <v>37499</v>
      </c>
      <c r="Y241" s="247">
        <f t="shared" si="74"/>
        <v>204165</v>
      </c>
      <c r="Z241" s="247">
        <f t="shared" si="74"/>
        <v>220831</v>
      </c>
      <c r="AA241" s="247">
        <f t="shared" si="74"/>
        <v>870830</v>
      </c>
      <c r="AB241" s="247">
        <f t="shared" si="74"/>
        <v>333330</v>
      </c>
      <c r="AC241" s="247">
        <f t="shared" si="74"/>
        <v>583329</v>
      </c>
      <c r="AD241" s="247">
        <f t="shared" si="74"/>
        <v>499995</v>
      </c>
      <c r="AE241" s="247">
        <f t="shared" si="74"/>
        <v>420828</v>
      </c>
      <c r="AF241" s="247">
        <f t="shared" si="74"/>
        <v>670828</v>
      </c>
      <c r="AG241" s="247">
        <f t="shared" si="74"/>
        <v>370828</v>
      </c>
      <c r="AH241" s="247">
        <f t="shared" si="74"/>
        <v>383328</v>
      </c>
      <c r="AI241" s="247">
        <f t="shared" si="74"/>
        <v>1029160</v>
      </c>
      <c r="AJ241" s="247">
        <f t="shared" si="74"/>
        <v>737494</v>
      </c>
      <c r="AK241" s="247">
        <f t="shared" si="74"/>
        <v>1370826</v>
      </c>
      <c r="AL241" s="247">
        <f t="shared" si="74"/>
        <v>479160</v>
      </c>
      <c r="AM241" s="247">
        <f t="shared" si="74"/>
        <v>1002546</v>
      </c>
      <c r="AN241" s="247">
        <f t="shared" si="74"/>
        <v>1058327</v>
      </c>
      <c r="AO241" s="247">
        <f t="shared" si="74"/>
        <v>1216661</v>
      </c>
      <c r="AP241" s="247">
        <f t="shared" si="74"/>
        <v>591662</v>
      </c>
      <c r="AQ241" s="247">
        <f t="shared" si="74"/>
        <v>520827</v>
      </c>
      <c r="AR241" s="247">
        <f t="shared" si="74"/>
        <v>1374991</v>
      </c>
      <c r="AS241" s="247">
        <f t="shared" si="74"/>
        <v>577546</v>
      </c>
      <c r="AT241" s="248">
        <f t="shared" si="74"/>
        <v>1435883</v>
      </c>
      <c r="AU241" s="247">
        <f t="shared" si="74"/>
        <v>1181512</v>
      </c>
      <c r="AV241" s="247">
        <f t="shared" si="74"/>
        <v>1387495</v>
      </c>
      <c r="AW241" s="247">
        <f t="shared" si="74"/>
        <v>487499</v>
      </c>
      <c r="AX241" s="247"/>
      <c r="AY241" s="247"/>
      <c r="AZ241" s="247"/>
      <c r="BA241" s="247"/>
      <c r="BB241" s="247"/>
      <c r="BC241" s="247"/>
      <c r="BD241" s="247"/>
      <c r="BE241" s="247"/>
      <c r="BF241" s="248"/>
      <c r="BG241" s="247"/>
      <c r="BH241" s="247"/>
      <c r="BI241" s="247"/>
      <c r="BJ241" s="247"/>
      <c r="BK241" s="247"/>
      <c r="BL241" s="247"/>
      <c r="BM241" s="247"/>
      <c r="BN241" s="247">
        <f t="shared" ref="BN241:BR241" si="75">BN139+BN213+BN234+BN240</f>
        <v>9146779.333</v>
      </c>
      <c r="BO241" s="247">
        <f t="shared" si="75"/>
        <v>13938250</v>
      </c>
      <c r="BP241" s="247">
        <f t="shared" si="75"/>
        <v>841649</v>
      </c>
      <c r="BQ241" s="247">
        <f t="shared" si="75"/>
        <v>19239870</v>
      </c>
      <c r="BR241" s="247">
        <f t="shared" si="75"/>
        <v>28266529.33</v>
      </c>
    </row>
  </sheetData>
  <mergeCells count="8">
    <mergeCell ref="B1:E1"/>
    <mergeCell ref="F1:H1"/>
    <mergeCell ref="U1:V1"/>
    <mergeCell ref="AA1:AH1"/>
    <mergeCell ref="AI1:AM1"/>
    <mergeCell ref="AU1:AW1"/>
    <mergeCell ref="BG1:BH1"/>
    <mergeCell ref="BN1:BR1"/>
  </mergeCells>
  <conditionalFormatting sqref="P3:P241">
    <cfRule type="containsText" dxfId="0" priority="1" operator="containsText" text="Sudah 1 Tahun">
      <formula>NOT(ISERROR(SEARCH(("Sudah 1 Tahun"),(P3))))</formula>
    </cfRule>
  </conditionalFormatting>
  <conditionalFormatting sqref="P3:P241">
    <cfRule type="containsText" dxfId="1" priority="2" operator="containsText" text="Belum 1 Tahun">
      <formula>NOT(ISERROR(SEARCH(("Belum 1 Tahun"),(P3))))</formula>
    </cfRule>
  </conditionalFormatting>
  <dataValidations>
    <dataValidation type="list" allowBlank="1" showErrorMessage="1" sqref="K3:K138 K140:K212 K214:K233 K235:K239">
      <formula1>"Basic 1 Bulan,Bisnis 1 Bulan,Basic 3 Bulan,Bisnis 3 Bulan,Basic 6 Bulan,Bisnis 6 Bulan,Basic 12 Bulan,Bisnis 12 Bulan,Bisnis 9 Bulan,Bisnis 18 Bulan,Pro 12 Bulan,Pro 1 Bulan"</formula1>
    </dataValidation>
    <dataValidation type="list" allowBlank="1" showErrorMessage="1" sqref="L3:L138 L140:L212 L214:L233 L235:L239">
      <formula1>"Heriwati,Lidya,Novel,Lady,Selvi"</formula1>
    </dataValidation>
    <dataValidation type="list" allowBlank="1" showErrorMessage="1" sqref="P3:P138 P140:P212 P214:P233 P235:P239">
      <formula1>"Sudah 1 Tahun,Belum 1 Tahun"</formula1>
    </dataValidation>
    <dataValidation type="list" allowBlank="1" showErrorMessage="1" sqref="S3:S138 S140:S179 S180:U180 S181:S212 S214:S233 S235:S239">
      <formula1>"Belum Dicairkan,Dicairkan Sebagian,Selesai Dicairkan,Proses"</formula1>
    </dataValidation>
    <dataValidation type="list" allowBlank="1" showErrorMessage="1" sqref="B3:B138 B140:B212 B214:B233 B235:B239">
      <formula1>"FRANCHISE (Jual Brand Usaha),REFERAL (Berlangganan),AFILIASI (Perlengkapan  Ex. Mesin,Parfum,Dll)"</formula1>
    </dataValidation>
    <dataValidation type="list" allowBlank="1" showErrorMessage="1" sqref="T3:T138 T140:T179 T181:T212 T214:T233 T235:T239">
      <formula1>"Share CMO"</formula1>
    </dataValidation>
    <dataValidation type="list" allowBlank="1" sqref="J3:J138 J140:J212 J214:J233 J235:J239">
      <formula1>"Referral,Partnership,Corporate Paket Basic,Corporate Paket Bisnis,Corporate Paket Bundling Bisnis,Corporate Paket UMKM,Corporate Paket Enterpreneur"</formula1>
    </dataValidation>
  </dataValidations>
  <hyperlinks>
    <hyperlink r:id="rId2" ref="M4"/>
    <hyperlink r:id="rId3" ref="M29"/>
    <hyperlink r:id="rId4" ref="M30"/>
    <hyperlink r:id="rId5" ref="M31"/>
    <hyperlink r:id="rId6" ref="M59"/>
    <hyperlink r:id="rId7" ref="I137"/>
    <hyperlink r:id="rId8" ref="I147"/>
    <hyperlink r:id="rId9" ref="I148"/>
    <hyperlink r:id="rId10" ref="I166"/>
    <hyperlink r:id="rId11" ref="I167"/>
    <hyperlink r:id="rId12" ref="I168"/>
    <hyperlink r:id="rId13" ref="E171"/>
    <hyperlink r:id="rId14" ref="E172"/>
    <hyperlink r:id="rId15" ref="E174"/>
    <hyperlink r:id="rId16" ref="E175"/>
    <hyperlink r:id="rId17" ref="E176"/>
    <hyperlink r:id="rId18" ref="M180"/>
    <hyperlink r:id="rId19" ref="M201"/>
    <hyperlink r:id="rId20" ref="M202"/>
    <hyperlink r:id="rId21" ref="M203"/>
    <hyperlink r:id="rId22" ref="M204"/>
    <hyperlink r:id="rId23" ref="I209"/>
    <hyperlink r:id="rId24" ref="I210"/>
    <hyperlink r:id="rId25" ref="I211"/>
    <hyperlink r:id="rId26" ref="I212"/>
    <hyperlink r:id="rId27" ref="M219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8"/>
  <legacy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0.88"/>
    <col customWidth="1" min="2" max="5" width="21.63"/>
  </cols>
  <sheetData>
    <row r="1" ht="33.75" customHeight="1">
      <c r="A1" s="249" t="s">
        <v>1003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</row>
    <row r="2" ht="15.75" customHeight="1">
      <c r="A2" s="251" t="s">
        <v>1004</v>
      </c>
      <c r="B2" s="251" t="s">
        <v>1005</v>
      </c>
      <c r="C2" s="251" t="s">
        <v>1006</v>
      </c>
      <c r="D2" s="251" t="s">
        <v>1007</v>
      </c>
      <c r="E2" s="251" t="s">
        <v>1008</v>
      </c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</row>
    <row r="3" ht="29.25" customHeight="1">
      <c r="A3" s="252" t="s">
        <v>1009</v>
      </c>
      <c r="B3" s="253">
        <f t="shared" ref="B3:B7" si="1">C3/12</f>
        <v>10010</v>
      </c>
      <c r="C3" s="253">
        <v>120120.0</v>
      </c>
      <c r="D3" s="253">
        <v>500000.0</v>
      </c>
      <c r="E3" s="253">
        <v>5103600.0</v>
      </c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</row>
    <row r="4" ht="29.25" customHeight="1">
      <c r="A4" s="252" t="s">
        <v>1010</v>
      </c>
      <c r="B4" s="253">
        <f t="shared" si="1"/>
        <v>15143.33333</v>
      </c>
      <c r="C4" s="253">
        <v>181720.0</v>
      </c>
      <c r="D4" s="253">
        <v>1000000.0</v>
      </c>
      <c r="E4" s="253">
        <v>8451600.0</v>
      </c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</row>
    <row r="5" ht="29.25" customHeight="1">
      <c r="A5" s="252" t="s">
        <v>1011</v>
      </c>
      <c r="B5" s="253">
        <f t="shared" si="1"/>
        <v>19987.5</v>
      </c>
      <c r="C5" s="253">
        <v>239850.0</v>
      </c>
      <c r="D5" s="253">
        <v>1500000.0</v>
      </c>
      <c r="E5" s="253">
        <v>1.16955E7</v>
      </c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</row>
    <row r="6" ht="29.25" customHeight="1">
      <c r="A6" s="252" t="s">
        <v>1012</v>
      </c>
      <c r="B6" s="253">
        <f t="shared" si="1"/>
        <v>22492.5</v>
      </c>
      <c r="C6" s="253">
        <v>269910.0</v>
      </c>
      <c r="D6" s="253">
        <v>2000000.0</v>
      </c>
      <c r="E6" s="253">
        <v>1.40973E7</v>
      </c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</row>
    <row r="7" ht="29.25" customHeight="1">
      <c r="A7" s="252" t="s">
        <v>1013</v>
      </c>
      <c r="B7" s="253">
        <f t="shared" si="1"/>
        <v>26242.5</v>
      </c>
      <c r="C7" s="253">
        <v>314910.0</v>
      </c>
      <c r="D7" s="253">
        <v>2500000.0</v>
      </c>
      <c r="E7" s="253">
        <v>1.69473E7</v>
      </c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</row>
    <row r="8" ht="15.75" customHeight="1">
      <c r="A8" s="254" t="s">
        <v>1014</v>
      </c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</row>
    <row r="9" ht="15.75" customHeight="1">
      <c r="A9" s="255" t="s">
        <v>1015</v>
      </c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</row>
    <row r="10" ht="15.75" customHeight="1">
      <c r="A10" s="255" t="s">
        <v>1016</v>
      </c>
      <c r="B10" s="250"/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</row>
    <row r="11" ht="15.75" customHeight="1">
      <c r="A11" s="255" t="s">
        <v>1017</v>
      </c>
      <c r="B11" s="250"/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</row>
    <row r="12" ht="15.75" customHeight="1">
      <c r="A12" s="255" t="s">
        <v>1018</v>
      </c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</row>
    <row r="13" ht="15.75" customHeight="1">
      <c r="A13" s="255" t="s">
        <v>1019</v>
      </c>
      <c r="B13" s="25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</row>
    <row r="14" ht="15.75" customHeight="1">
      <c r="A14" s="179"/>
      <c r="B14" s="250"/>
      <c r="C14" s="250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</row>
    <row r="15" ht="15.75" customHeight="1">
      <c r="A15" s="256" t="s">
        <v>1020</v>
      </c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</row>
    <row r="16" ht="15.75" customHeight="1">
      <c r="A16" s="256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</row>
    <row r="17" ht="15.75" customHeight="1">
      <c r="A17" s="256" t="s">
        <v>1021</v>
      </c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</row>
    <row r="18" ht="15.75" customHeight="1">
      <c r="A18" s="250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</row>
    <row r="19" ht="15.75" customHeight="1">
      <c r="A19" s="250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</row>
    <row r="20" ht="15.75" customHeight="1">
      <c r="A20" s="250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</row>
    <row r="21" ht="15.75" customHeight="1">
      <c r="A21" s="250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</row>
    <row r="22" ht="15.75" customHeight="1">
      <c r="A22" s="250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</row>
    <row r="23" ht="15.75" customHeight="1">
      <c r="A23" s="250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</row>
    <row r="24" ht="15.75" customHeight="1">
      <c r="A24" s="250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</row>
    <row r="25" ht="15.75" customHeight="1">
      <c r="A25" s="250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</row>
    <row r="26" ht="15.75" customHeight="1">
      <c r="A26" s="250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</row>
    <row r="27" ht="15.75" customHeight="1">
      <c r="A27" s="250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</row>
    <row r="28" ht="15.75" customHeight="1">
      <c r="A28" s="250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</row>
    <row r="29" ht="15.75" customHeight="1">
      <c r="A29" s="250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</row>
    <row r="30" ht="15.75" customHeight="1">
      <c r="A30" s="250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</row>
    <row r="31" ht="15.75" customHeight="1">
      <c r="A31" s="250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</row>
    <row r="32" ht="15.75" customHeight="1">
      <c r="A32" s="250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</row>
    <row r="33" ht="15.75" customHeight="1">
      <c r="A33" s="250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</row>
    <row r="34" ht="15.75" customHeight="1">
      <c r="A34" s="250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</row>
    <row r="35" ht="15.75" customHeight="1">
      <c r="A35" s="250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</row>
    <row r="36" ht="15.75" customHeight="1">
      <c r="A36" s="250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</row>
    <row r="37" ht="15.75" customHeight="1">
      <c r="A37" s="250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</row>
    <row r="38" ht="15.75" customHeight="1">
      <c r="A38" s="250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</row>
    <row r="39" ht="15.75" customHeight="1">
      <c r="A39" s="250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</row>
    <row r="40" ht="15.75" customHeight="1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</row>
    <row r="41" ht="15.75" customHeight="1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</row>
    <row r="42" ht="15.75" customHeight="1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</row>
    <row r="43" ht="15.75" customHeight="1">
      <c r="A43" s="250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</row>
    <row r="44" ht="15.75" customHeight="1">
      <c r="A44" s="250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</row>
    <row r="45" ht="15.75" customHeight="1">
      <c r="A45" s="250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</row>
    <row r="46" ht="15.75" customHeight="1">
      <c r="A46" s="250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</row>
    <row r="47" ht="15.75" customHeight="1">
      <c r="A47" s="250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</row>
    <row r="48" ht="15.75" customHeight="1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</row>
    <row r="49" ht="15.75" customHeight="1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</row>
    <row r="50" ht="15.75" customHeight="1">
      <c r="A50" s="250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</row>
    <row r="51" ht="15.75" customHeight="1">
      <c r="A51" s="250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</row>
    <row r="52" ht="15.75" customHeight="1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</row>
    <row r="53" ht="15.75" customHeight="1">
      <c r="A53" s="250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</row>
    <row r="54" ht="15.75" customHeight="1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</row>
    <row r="55" ht="15.75" customHeight="1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</row>
    <row r="56" ht="15.75" customHeight="1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</row>
    <row r="57" ht="15.75" customHeight="1">
      <c r="A57" s="250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</row>
    <row r="58" ht="15.75" customHeight="1">
      <c r="A58" s="250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</row>
    <row r="59" ht="15.75" customHeight="1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</row>
    <row r="60" ht="15.75" customHeight="1">
      <c r="A60" s="250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</row>
    <row r="61" ht="15.75" customHeight="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</row>
    <row r="62" ht="15.75" customHeight="1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</row>
    <row r="63" ht="15.75" customHeight="1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</row>
    <row r="64" ht="15.75" customHeight="1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</row>
    <row r="65" ht="15.75" customHeight="1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</row>
    <row r="66" ht="15.75" customHeight="1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</row>
    <row r="67" ht="15.75" customHeight="1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</row>
    <row r="68" ht="15.75" customHeight="1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</row>
    <row r="69" ht="15.75" customHeight="1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</row>
    <row r="70" ht="15.75" customHeight="1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</row>
    <row r="71" ht="15.75" customHeight="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</row>
    <row r="72" ht="15.75" customHeight="1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</row>
    <row r="73" ht="15.75" customHeight="1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</row>
    <row r="74" ht="15.75" customHeight="1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</row>
    <row r="75" ht="15.75" customHeight="1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</row>
    <row r="76" ht="15.75" customHeight="1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</row>
    <row r="77" ht="15.75" customHeight="1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</row>
    <row r="78" ht="15.75" customHeight="1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</row>
    <row r="79" ht="15.75" customHeight="1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</row>
    <row r="80" ht="15.75" customHeight="1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</row>
    <row r="81" ht="15.75" customHeight="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</row>
    <row r="82" ht="15.75" customHeight="1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</row>
    <row r="83" ht="15.75" customHeight="1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</row>
    <row r="84" ht="15.75" customHeight="1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</row>
    <row r="85" ht="15.75" customHeight="1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</row>
    <row r="86" ht="15.75" customHeight="1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</row>
    <row r="87" ht="15.75" customHeight="1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</row>
    <row r="88" ht="15.75" customHeight="1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</row>
    <row r="89" ht="15.75" customHeight="1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</row>
    <row r="90" ht="15.75" customHeight="1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</row>
    <row r="91" ht="15.75" customHeight="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</row>
    <row r="92" ht="15.75" customHeight="1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</row>
    <row r="93" ht="15.75" customHeight="1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</row>
    <row r="94" ht="15.75" customHeight="1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</row>
    <row r="95" ht="15.75" customHeight="1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</row>
    <row r="96" ht="15.75" customHeight="1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</row>
    <row r="97" ht="15.75" customHeight="1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</row>
    <row r="98" ht="15.75" customHeight="1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</row>
    <row r="99" ht="15.75" customHeight="1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</row>
    <row r="100" ht="15.75" customHeight="1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</row>
    <row r="101" ht="15.75" customHeight="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</row>
    <row r="102" ht="15.75" customHeight="1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</row>
    <row r="103" ht="15.75" customHeight="1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</row>
    <row r="104" ht="15.75" customHeight="1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</row>
    <row r="105" ht="15.75" customHeight="1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</row>
    <row r="106" ht="15.75" customHeight="1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</row>
    <row r="107" ht="15.75" customHeight="1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</row>
    <row r="108" ht="15.75" customHeight="1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</row>
    <row r="109" ht="15.75" customHeight="1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</row>
    <row r="110" ht="15.75" customHeight="1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</row>
    <row r="111" ht="15.75" customHeight="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</row>
    <row r="112" ht="15.75" customHeight="1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</row>
    <row r="113" ht="15.75" customHeight="1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</row>
    <row r="114" ht="15.75" customHeight="1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</row>
    <row r="115" ht="15.75" customHeight="1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</row>
    <row r="116" ht="15.75" customHeight="1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</row>
    <row r="117" ht="15.75" customHeight="1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</row>
    <row r="118" ht="15.75" customHeight="1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</row>
    <row r="119" ht="15.75" customHeight="1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</row>
    <row r="120" ht="15.75" customHeight="1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</row>
    <row r="121" ht="15.75" customHeight="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</row>
    <row r="122" ht="15.75" customHeight="1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</row>
    <row r="123" ht="15.75" customHeight="1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</row>
    <row r="124" ht="15.75" customHeight="1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</row>
    <row r="125" ht="15.75" customHeight="1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</row>
    <row r="126" ht="15.75" customHeight="1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</row>
    <row r="127" ht="15.75" customHeight="1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</row>
    <row r="128" ht="15.75" customHeight="1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</row>
    <row r="129" ht="15.75" customHeight="1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</row>
    <row r="130" ht="15.75" customHeight="1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</row>
    <row r="131" ht="15.75" customHeight="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</row>
    <row r="132" ht="15.75" customHeight="1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</row>
    <row r="133" ht="15.75" customHeight="1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</row>
    <row r="134" ht="15.75" customHeight="1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</row>
    <row r="135" ht="15.75" customHeight="1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</row>
    <row r="136" ht="15.75" customHeight="1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</row>
    <row r="137" ht="15.75" customHeight="1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</row>
    <row r="138" ht="15.75" customHeight="1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</row>
    <row r="139" ht="15.75" customHeight="1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</row>
    <row r="140" ht="15.75" customHeight="1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</row>
    <row r="141" ht="15.75" customHeight="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</row>
    <row r="142" ht="15.75" customHeight="1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</row>
    <row r="143" ht="15.75" customHeight="1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</row>
    <row r="144" ht="15.75" customHeight="1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</row>
    <row r="145" ht="15.75" customHeight="1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</row>
    <row r="146" ht="15.75" customHeight="1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</row>
    <row r="147" ht="15.75" customHeight="1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</row>
    <row r="148" ht="15.75" customHeight="1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</row>
    <row r="149" ht="15.75" customHeight="1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</row>
    <row r="150" ht="15.75" customHeight="1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</row>
    <row r="151" ht="15.75" customHeight="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</row>
    <row r="152" ht="15.75" customHeight="1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</row>
    <row r="153" ht="15.75" customHeight="1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</row>
    <row r="154" ht="15.75" customHeight="1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</row>
    <row r="155" ht="15.75" customHeight="1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</row>
    <row r="156" ht="15.75" customHeight="1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</row>
    <row r="157" ht="15.75" customHeight="1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</row>
    <row r="158" ht="15.75" customHeight="1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</row>
    <row r="159" ht="15.75" customHeight="1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</row>
    <row r="160" ht="15.75" customHeight="1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</row>
    <row r="161" ht="15.75" customHeight="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</row>
    <row r="162" ht="15.75" customHeight="1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</row>
    <row r="163" ht="15.75" customHeight="1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</row>
    <row r="164" ht="15.75" customHeight="1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</row>
    <row r="165" ht="15.75" customHeight="1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</row>
    <row r="166" ht="15.75" customHeight="1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</row>
    <row r="167" ht="15.75" customHeight="1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</row>
    <row r="168" ht="15.75" customHeight="1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</row>
    <row r="169" ht="15.75" customHeight="1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</row>
    <row r="170" ht="15.75" customHeight="1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</row>
    <row r="171" ht="15.75" customHeight="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</row>
    <row r="172" ht="15.75" customHeight="1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</row>
    <row r="173" ht="15.75" customHeight="1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</row>
    <row r="174" ht="15.75" customHeight="1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</row>
    <row r="175" ht="15.75" customHeight="1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</row>
    <row r="176" ht="15.75" customHeight="1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</row>
    <row r="177" ht="15.75" customHeight="1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</row>
    <row r="178" ht="15.75" customHeight="1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</row>
    <row r="179" ht="15.75" customHeight="1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</row>
    <row r="180" ht="15.75" customHeight="1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</row>
    <row r="181" ht="15.75" customHeight="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</row>
    <row r="182" ht="15.75" customHeight="1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</row>
    <row r="183" ht="15.75" customHeight="1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</row>
    <row r="184" ht="15.75" customHeight="1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</row>
    <row r="185" ht="15.75" customHeight="1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</row>
    <row r="186" ht="15.75" customHeight="1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</row>
    <row r="187" ht="15.75" customHeight="1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</row>
    <row r="188" ht="15.75" customHeight="1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</row>
    <row r="189" ht="15.75" customHeight="1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</row>
    <row r="190" ht="15.75" customHeight="1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</row>
    <row r="191" ht="15.75" customHeight="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</row>
    <row r="192" ht="15.75" customHeight="1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</row>
    <row r="193" ht="15.75" customHeight="1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</row>
    <row r="194" ht="15.75" customHeight="1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</row>
    <row r="195" ht="15.75" customHeight="1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</row>
    <row r="196" ht="15.75" customHeight="1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</row>
    <row r="197" ht="15.75" customHeight="1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</row>
    <row r="198" ht="15.75" customHeight="1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</row>
    <row r="199" ht="15.75" customHeight="1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</row>
    <row r="200" ht="15.75" customHeight="1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</row>
    <row r="201" ht="15.75" customHeight="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</row>
    <row r="202" ht="15.75" customHeight="1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</row>
    <row r="203" ht="15.75" customHeight="1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</row>
    <row r="204" ht="15.75" customHeight="1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</row>
    <row r="205" ht="15.75" customHeight="1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</row>
    <row r="206" ht="15.75" customHeight="1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</row>
    <row r="207" ht="15.75" customHeight="1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</row>
    <row r="208" ht="15.75" customHeight="1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</row>
    <row r="209" ht="15.75" customHeight="1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</row>
    <row r="210" ht="15.75" customHeight="1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</row>
    <row r="211" ht="15.75" customHeight="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</row>
    <row r="212" ht="15.75" customHeight="1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</row>
    <row r="213" ht="15.75" customHeight="1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</row>
    <row r="214" ht="15.75" customHeight="1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</row>
    <row r="215" ht="15.75" customHeight="1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</row>
    <row r="216" ht="15.75" customHeight="1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</row>
    <row r="217" ht="15.75" customHeight="1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</row>
    <row r="218" ht="15.75" customHeight="1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</row>
    <row r="219" ht="15.75" customHeight="1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</row>
    <row r="220" ht="15.75" customHeight="1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0505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5"/>
    <col customWidth="1" hidden="1" min="2" max="2" width="13.38"/>
    <col customWidth="1" hidden="1" min="3" max="3" width="26.75"/>
    <col customWidth="1" min="4" max="4" width="10.75"/>
    <col customWidth="1" hidden="1" min="5" max="5" width="13.63"/>
    <col customWidth="1" min="6" max="6" width="5.25"/>
    <col customWidth="1" min="7" max="7" width="15.88"/>
    <col customWidth="1" min="8" max="8" width="21.13"/>
    <col customWidth="1" min="9" max="9" width="10.88"/>
    <col customWidth="1" hidden="1" min="10" max="10" width="25.13"/>
    <col customWidth="1" hidden="1" min="11" max="11" width="18.13"/>
    <col customWidth="1" hidden="1" min="12" max="12" width="17.88"/>
    <col customWidth="1" hidden="1" min="13" max="13" width="16.13"/>
    <col customWidth="1" hidden="1" min="14" max="14" width="23.5"/>
    <col customWidth="1" hidden="1" min="15" max="15" width="15.75"/>
    <col customWidth="1" hidden="1" min="16" max="16" width="11.75"/>
    <col customWidth="1" min="17" max="17" width="5.88"/>
    <col customWidth="1" min="18" max="18" width="10.88"/>
    <col customWidth="1" min="19" max="19" width="48.13"/>
    <col customWidth="1" hidden="1" min="20" max="20" width="11.13"/>
  </cols>
  <sheetData>
    <row r="1" ht="20.25" customHeight="1">
      <c r="A1" s="1" t="s">
        <v>1</v>
      </c>
      <c r="B1" s="1" t="s">
        <v>2</v>
      </c>
      <c r="C1" s="1" t="s">
        <v>3</v>
      </c>
      <c r="D1" s="9" t="s">
        <v>4</v>
      </c>
      <c r="E1" s="9" t="s">
        <v>5</v>
      </c>
      <c r="F1" s="9" t="s">
        <v>6</v>
      </c>
      <c r="G1" s="3" t="s">
        <v>7</v>
      </c>
      <c r="H1" s="9" t="s">
        <v>8</v>
      </c>
      <c r="I1" s="5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16</v>
      </c>
      <c r="P1" s="10" t="s">
        <v>17</v>
      </c>
      <c r="Q1" s="9" t="s">
        <v>18</v>
      </c>
      <c r="R1" s="11" t="s">
        <v>19</v>
      </c>
      <c r="S1" s="11" t="s">
        <v>1022</v>
      </c>
      <c r="T1" s="11" t="s">
        <v>20</v>
      </c>
    </row>
    <row r="2" ht="18.75" customHeight="1">
      <c r="A2" s="12">
        <v>1.0</v>
      </c>
      <c r="B2" s="13" t="s">
        <v>21</v>
      </c>
      <c r="C2" s="13" t="s">
        <v>43</v>
      </c>
      <c r="D2" s="14" t="s">
        <v>44</v>
      </c>
      <c r="E2" s="15"/>
      <c r="F2" s="15">
        <v>11117.0</v>
      </c>
      <c r="G2" s="30" t="s">
        <v>333</v>
      </c>
      <c r="H2" s="38" t="s">
        <v>334</v>
      </c>
      <c r="I2" s="33" t="s">
        <v>335</v>
      </c>
      <c r="J2" s="37" t="s">
        <v>336</v>
      </c>
      <c r="K2" s="17"/>
      <c r="L2" s="17" t="s">
        <v>176</v>
      </c>
      <c r="M2" s="17" t="s">
        <v>59</v>
      </c>
      <c r="N2" s="16" t="s">
        <v>337</v>
      </c>
      <c r="O2" s="15">
        <v>7.180472813E9</v>
      </c>
      <c r="P2" s="15" t="s">
        <v>96</v>
      </c>
      <c r="Q2" s="12">
        <v>1.0</v>
      </c>
      <c r="R2" s="20" t="s">
        <v>338</v>
      </c>
      <c r="S2" s="20"/>
      <c r="T2" s="21" t="s">
        <v>339</v>
      </c>
    </row>
    <row r="3" ht="18.75" customHeight="1">
      <c r="A3" s="12">
        <f t="shared" ref="A3:A49" si="1">A2+1</f>
        <v>2</v>
      </c>
      <c r="B3" s="13" t="s">
        <v>21</v>
      </c>
      <c r="C3" s="13" t="s">
        <v>43</v>
      </c>
      <c r="D3" s="14" t="s">
        <v>44</v>
      </c>
      <c r="E3" s="15"/>
      <c r="F3" s="29">
        <v>1694.0</v>
      </c>
      <c r="G3" s="23" t="s">
        <v>340</v>
      </c>
      <c r="H3" s="24" t="s">
        <v>341</v>
      </c>
      <c r="I3" s="257" t="s">
        <v>342</v>
      </c>
      <c r="J3" s="27" t="s">
        <v>343</v>
      </c>
      <c r="K3" s="27" t="s">
        <v>344</v>
      </c>
      <c r="L3" s="27" t="s">
        <v>345</v>
      </c>
      <c r="M3" s="27" t="s">
        <v>190</v>
      </c>
      <c r="N3" s="28" t="s">
        <v>346</v>
      </c>
      <c r="O3" s="29">
        <v>1.090016628075E12</v>
      </c>
      <c r="P3" s="15" t="s">
        <v>193</v>
      </c>
      <c r="Q3" s="12">
        <v>2.0</v>
      </c>
      <c r="R3" s="20" t="s">
        <v>338</v>
      </c>
      <c r="S3" s="20"/>
      <c r="T3" s="21" t="s">
        <v>347</v>
      </c>
    </row>
    <row r="4" ht="18.75" customHeight="1">
      <c r="A4" s="12">
        <f t="shared" si="1"/>
        <v>3</v>
      </c>
      <c r="B4" s="13" t="s">
        <v>21</v>
      </c>
      <c r="C4" s="13" t="s">
        <v>43</v>
      </c>
      <c r="D4" s="14" t="s">
        <v>44</v>
      </c>
      <c r="E4" s="74"/>
      <c r="F4" s="75">
        <v>4134.0</v>
      </c>
      <c r="G4" s="17" t="s">
        <v>348</v>
      </c>
      <c r="H4" s="51" t="s">
        <v>349</v>
      </c>
      <c r="I4" s="258" t="s">
        <v>350</v>
      </c>
      <c r="J4" s="17" t="s">
        <v>351</v>
      </c>
      <c r="K4" s="51" t="s">
        <v>352</v>
      </c>
      <c r="L4" s="51" t="s">
        <v>102</v>
      </c>
      <c r="M4" s="51" t="s">
        <v>103</v>
      </c>
      <c r="N4" s="213" t="s">
        <v>353</v>
      </c>
      <c r="O4" s="50"/>
      <c r="P4" s="15"/>
      <c r="Q4" s="15">
        <v>1.0</v>
      </c>
      <c r="R4" s="20" t="s">
        <v>338</v>
      </c>
      <c r="S4" s="20"/>
      <c r="T4" s="21" t="s">
        <v>347</v>
      </c>
    </row>
    <row r="5" ht="18.75" customHeight="1">
      <c r="A5" s="12">
        <f t="shared" si="1"/>
        <v>4</v>
      </c>
      <c r="B5" s="13" t="s">
        <v>21</v>
      </c>
      <c r="C5" s="13" t="s">
        <v>43</v>
      </c>
      <c r="D5" s="14" t="s">
        <v>44</v>
      </c>
      <c r="E5" s="87">
        <v>45920.0</v>
      </c>
      <c r="F5" s="12">
        <v>15517.0</v>
      </c>
      <c r="G5" s="16" t="s">
        <v>368</v>
      </c>
      <c r="H5" s="38" t="s">
        <v>369</v>
      </c>
      <c r="I5" s="33" t="s">
        <v>370</v>
      </c>
      <c r="J5" s="37" t="s">
        <v>371</v>
      </c>
      <c r="K5" s="31" t="s">
        <v>175</v>
      </c>
      <c r="L5" s="17" t="s">
        <v>176</v>
      </c>
      <c r="M5" s="17" t="s">
        <v>59</v>
      </c>
      <c r="N5" s="31" t="s">
        <v>372</v>
      </c>
      <c r="O5" s="15">
        <v>8.681130152E9</v>
      </c>
      <c r="P5" s="15" t="s">
        <v>96</v>
      </c>
      <c r="Q5" s="15">
        <v>1.0</v>
      </c>
      <c r="R5" s="20" t="s">
        <v>338</v>
      </c>
      <c r="S5" s="20"/>
      <c r="T5" s="21" t="s">
        <v>339</v>
      </c>
    </row>
    <row r="6" ht="18.75" customHeight="1">
      <c r="A6" s="12">
        <f t="shared" si="1"/>
        <v>5</v>
      </c>
      <c r="B6" s="13" t="s">
        <v>21</v>
      </c>
      <c r="C6" s="13" t="s">
        <v>163</v>
      </c>
      <c r="D6" s="14" t="s">
        <v>164</v>
      </c>
      <c r="E6" s="15"/>
      <c r="F6" s="12">
        <v>1782.0</v>
      </c>
      <c r="G6" s="16" t="s">
        <v>756</v>
      </c>
      <c r="H6" s="17" t="s">
        <v>204</v>
      </c>
      <c r="I6" s="33" t="s">
        <v>205</v>
      </c>
      <c r="J6" s="17" t="s">
        <v>206</v>
      </c>
      <c r="K6" s="19" t="s">
        <v>207</v>
      </c>
      <c r="L6" s="19" t="s">
        <v>208</v>
      </c>
      <c r="M6" s="26" t="s">
        <v>209</v>
      </c>
      <c r="N6" s="31" t="s">
        <v>1023</v>
      </c>
      <c r="O6" s="15">
        <v>3.04701028491533E14</v>
      </c>
      <c r="P6" s="15" t="s">
        <v>146</v>
      </c>
      <c r="Q6" s="12">
        <v>8.0</v>
      </c>
      <c r="R6" s="20" t="s">
        <v>338</v>
      </c>
      <c r="S6" s="20"/>
      <c r="T6" s="21" t="s">
        <v>212</v>
      </c>
    </row>
    <row r="7" ht="18.75" customHeight="1">
      <c r="A7" s="12">
        <f t="shared" si="1"/>
        <v>6</v>
      </c>
      <c r="B7" s="13" t="s">
        <v>21</v>
      </c>
      <c r="C7" s="13" t="s">
        <v>163</v>
      </c>
      <c r="D7" s="14" t="s">
        <v>164</v>
      </c>
      <c r="E7" s="49">
        <v>44927.0</v>
      </c>
      <c r="F7" s="15">
        <v>6343.0</v>
      </c>
      <c r="G7" s="16" t="s">
        <v>213</v>
      </c>
      <c r="H7" s="17" t="s">
        <v>214</v>
      </c>
      <c r="I7" s="33" t="s">
        <v>215</v>
      </c>
      <c r="J7" s="17" t="s">
        <v>216</v>
      </c>
      <c r="K7" s="19" t="s">
        <v>217</v>
      </c>
      <c r="L7" s="19" t="s">
        <v>160</v>
      </c>
      <c r="M7" s="26" t="s">
        <v>103</v>
      </c>
      <c r="N7" s="31" t="s">
        <v>218</v>
      </c>
      <c r="O7" s="15"/>
      <c r="P7" s="15"/>
      <c r="Q7" s="12">
        <v>12.0</v>
      </c>
      <c r="R7" s="20" t="s">
        <v>338</v>
      </c>
      <c r="S7" s="20"/>
      <c r="T7" s="21" t="s">
        <v>212</v>
      </c>
    </row>
    <row r="8" ht="18.75" customHeight="1">
      <c r="A8" s="12">
        <f t="shared" si="1"/>
        <v>7</v>
      </c>
      <c r="B8" s="13" t="s">
        <v>21</v>
      </c>
      <c r="C8" s="13" t="s">
        <v>163</v>
      </c>
      <c r="D8" s="14" t="s">
        <v>164</v>
      </c>
      <c r="E8" s="15"/>
      <c r="F8" s="15">
        <v>989.0</v>
      </c>
      <c r="G8" s="16" t="s">
        <v>219</v>
      </c>
      <c r="H8" s="17" t="s">
        <v>220</v>
      </c>
      <c r="I8" s="33" t="s">
        <v>221</v>
      </c>
      <c r="J8" s="17" t="s">
        <v>222</v>
      </c>
      <c r="K8" s="19" t="s">
        <v>223</v>
      </c>
      <c r="L8" s="19" t="s">
        <v>224</v>
      </c>
      <c r="M8" s="19" t="s">
        <v>225</v>
      </c>
      <c r="N8" s="31" t="s">
        <v>1024</v>
      </c>
      <c r="O8" s="50"/>
      <c r="P8" s="15"/>
      <c r="Q8" s="12">
        <v>6.0</v>
      </c>
      <c r="R8" s="20" t="s">
        <v>338</v>
      </c>
      <c r="S8" s="20"/>
      <c r="T8" s="21" t="s">
        <v>212</v>
      </c>
    </row>
    <row r="9" ht="18.75" customHeight="1">
      <c r="A9" s="12">
        <f t="shared" si="1"/>
        <v>8</v>
      </c>
      <c r="B9" s="13" t="s">
        <v>21</v>
      </c>
      <c r="C9" s="13" t="s">
        <v>163</v>
      </c>
      <c r="D9" s="14" t="s">
        <v>164</v>
      </c>
      <c r="E9" s="49"/>
      <c r="F9" s="15"/>
      <c r="G9" s="16" t="s">
        <v>227</v>
      </c>
      <c r="H9" s="17" t="s">
        <v>228</v>
      </c>
      <c r="I9" s="33"/>
      <c r="J9" s="17"/>
      <c r="K9" s="19"/>
      <c r="L9" s="19"/>
      <c r="M9" s="19"/>
      <c r="N9" s="41"/>
      <c r="O9" s="15"/>
      <c r="P9" s="15"/>
      <c r="Q9" s="15">
        <v>2.0</v>
      </c>
      <c r="R9" s="20" t="s">
        <v>338</v>
      </c>
      <c r="S9" s="20"/>
      <c r="T9" s="21" t="s">
        <v>212</v>
      </c>
    </row>
    <row r="10" ht="18.75" customHeight="1">
      <c r="A10" s="12">
        <f t="shared" si="1"/>
        <v>9</v>
      </c>
      <c r="B10" s="13" t="s">
        <v>21</v>
      </c>
      <c r="C10" s="13" t="s">
        <v>163</v>
      </c>
      <c r="D10" s="14" t="s">
        <v>164</v>
      </c>
      <c r="E10" s="15"/>
      <c r="F10" s="15">
        <v>6509.0</v>
      </c>
      <c r="G10" s="51" t="s">
        <v>229</v>
      </c>
      <c r="H10" s="52" t="s">
        <v>230</v>
      </c>
      <c r="I10" s="33" t="s">
        <v>231</v>
      </c>
      <c r="J10" s="17" t="s">
        <v>232</v>
      </c>
      <c r="K10" s="19" t="s">
        <v>233</v>
      </c>
      <c r="L10" s="19" t="s">
        <v>234</v>
      </c>
      <c r="M10" s="19" t="s">
        <v>59</v>
      </c>
      <c r="N10" s="19" t="s">
        <v>235</v>
      </c>
      <c r="O10" s="50"/>
      <c r="P10" s="15"/>
      <c r="Q10" s="12">
        <v>6.0</v>
      </c>
      <c r="R10" s="20" t="s">
        <v>338</v>
      </c>
      <c r="S10" s="20"/>
      <c r="T10" s="21" t="s">
        <v>212</v>
      </c>
    </row>
    <row r="11" ht="18.75" customHeight="1">
      <c r="A11" s="12">
        <f t="shared" si="1"/>
        <v>10</v>
      </c>
      <c r="B11" s="13" t="s">
        <v>21</v>
      </c>
      <c r="C11" s="13" t="s">
        <v>163</v>
      </c>
      <c r="D11" s="14" t="s">
        <v>164</v>
      </c>
      <c r="E11" s="15"/>
      <c r="F11" s="22">
        <v>8645.0</v>
      </c>
      <c r="G11" s="53" t="s">
        <v>236</v>
      </c>
      <c r="H11" s="54" t="s">
        <v>237</v>
      </c>
      <c r="I11" s="55" t="s">
        <v>238</v>
      </c>
      <c r="J11" s="27" t="s">
        <v>239</v>
      </c>
      <c r="K11" s="27" t="s">
        <v>240</v>
      </c>
      <c r="L11" s="27" t="s">
        <v>170</v>
      </c>
      <c r="M11" s="27" t="s">
        <v>103</v>
      </c>
      <c r="N11" s="28" t="s">
        <v>241</v>
      </c>
      <c r="O11" s="29">
        <v>8.430520009E9</v>
      </c>
      <c r="P11" s="15" t="s">
        <v>96</v>
      </c>
      <c r="Q11" s="12">
        <v>4.0</v>
      </c>
      <c r="R11" s="20" t="s">
        <v>338</v>
      </c>
      <c r="S11" s="20"/>
      <c r="T11" s="21" t="s">
        <v>212</v>
      </c>
    </row>
    <row r="12" ht="18.75" customHeight="1">
      <c r="A12" s="12">
        <f t="shared" si="1"/>
        <v>11</v>
      </c>
      <c r="B12" s="13" t="s">
        <v>21</v>
      </c>
      <c r="C12" s="13" t="s">
        <v>163</v>
      </c>
      <c r="D12" s="14" t="s">
        <v>164</v>
      </c>
      <c r="E12" s="15"/>
      <c r="F12" s="12">
        <v>14152.0</v>
      </c>
      <c r="G12" s="40" t="s">
        <v>242</v>
      </c>
      <c r="H12" s="60" t="s">
        <v>243</v>
      </c>
      <c r="I12" s="57" t="s">
        <v>244</v>
      </c>
      <c r="J12" s="17" t="s">
        <v>245</v>
      </c>
      <c r="K12" s="26"/>
      <c r="L12" s="19" t="s">
        <v>246</v>
      </c>
      <c r="M12" s="19" t="s">
        <v>225</v>
      </c>
      <c r="N12" s="31" t="s">
        <v>247</v>
      </c>
      <c r="O12" s="15">
        <v>3.03701020614532E14</v>
      </c>
      <c r="P12" s="15" t="s">
        <v>146</v>
      </c>
      <c r="Q12" s="33" t="s">
        <v>248</v>
      </c>
      <c r="R12" s="20" t="s">
        <v>338</v>
      </c>
      <c r="S12" s="20"/>
      <c r="T12" s="21" t="s">
        <v>212</v>
      </c>
    </row>
    <row r="13" ht="18.75" customHeight="1">
      <c r="A13" s="12">
        <f t="shared" si="1"/>
        <v>12</v>
      </c>
      <c r="B13" s="13" t="s">
        <v>21</v>
      </c>
      <c r="C13" s="13" t="s">
        <v>163</v>
      </c>
      <c r="D13" s="14" t="s">
        <v>164</v>
      </c>
      <c r="E13" s="15"/>
      <c r="F13" s="12"/>
      <c r="G13" s="40" t="s">
        <v>249</v>
      </c>
      <c r="H13" s="60" t="s">
        <v>250</v>
      </c>
      <c r="I13" s="57" t="s">
        <v>251</v>
      </c>
      <c r="J13" s="17"/>
      <c r="K13" s="19"/>
      <c r="L13" s="19"/>
      <c r="M13" s="19"/>
      <c r="N13" s="31"/>
      <c r="O13" s="15"/>
      <c r="P13" s="15"/>
      <c r="Q13" s="15">
        <v>1.0</v>
      </c>
      <c r="R13" s="20" t="s">
        <v>338</v>
      </c>
      <c r="S13" s="20"/>
      <c r="T13" s="21" t="s">
        <v>212</v>
      </c>
    </row>
    <row r="14" ht="18.75" customHeight="1">
      <c r="A14" s="12">
        <f t="shared" si="1"/>
        <v>13</v>
      </c>
      <c r="B14" s="13" t="s">
        <v>21</v>
      </c>
      <c r="C14" s="13" t="s">
        <v>22</v>
      </c>
      <c r="D14" s="14" t="s">
        <v>23</v>
      </c>
      <c r="E14" s="49">
        <v>45047.0</v>
      </c>
      <c r="F14" s="259"/>
      <c r="G14" s="16" t="s">
        <v>252</v>
      </c>
      <c r="H14" s="17" t="s">
        <v>253</v>
      </c>
      <c r="I14" s="33" t="s">
        <v>254</v>
      </c>
      <c r="J14" s="17" t="s">
        <v>255</v>
      </c>
      <c r="K14" s="17" t="s">
        <v>256</v>
      </c>
      <c r="L14" s="17" t="s">
        <v>257</v>
      </c>
      <c r="M14" s="17" t="s">
        <v>258</v>
      </c>
      <c r="N14" s="16" t="s">
        <v>259</v>
      </c>
      <c r="O14" s="15">
        <v>2.23701000459309E14</v>
      </c>
      <c r="P14" s="15" t="s">
        <v>146</v>
      </c>
      <c r="Q14" s="12">
        <v>6.0</v>
      </c>
      <c r="R14" s="20" t="s">
        <v>338</v>
      </c>
      <c r="S14" s="20"/>
      <c r="T14" s="21" t="s">
        <v>212</v>
      </c>
    </row>
    <row r="15" ht="18.75" customHeight="1">
      <c r="A15" s="12">
        <f t="shared" si="1"/>
        <v>14</v>
      </c>
      <c r="B15" s="13" t="s">
        <v>21</v>
      </c>
      <c r="C15" s="13" t="s">
        <v>22</v>
      </c>
      <c r="D15" s="14" t="s">
        <v>23</v>
      </c>
      <c r="E15" s="15"/>
      <c r="F15" s="15">
        <v>10717.0</v>
      </c>
      <c r="G15" s="16" t="s">
        <v>260</v>
      </c>
      <c r="H15" s="51" t="s">
        <v>261</v>
      </c>
      <c r="I15" s="64" t="s">
        <v>262</v>
      </c>
      <c r="J15" s="17" t="s">
        <v>263</v>
      </c>
      <c r="K15" s="17" t="s">
        <v>264</v>
      </c>
      <c r="L15" s="17" t="s">
        <v>265</v>
      </c>
      <c r="M15" s="17" t="s">
        <v>103</v>
      </c>
      <c r="N15" s="16" t="s">
        <v>266</v>
      </c>
      <c r="O15" s="15">
        <v>2.69276177E8</v>
      </c>
      <c r="P15" s="15" t="s">
        <v>267</v>
      </c>
      <c r="Q15" s="12">
        <v>2.0</v>
      </c>
      <c r="R15" s="20" t="s">
        <v>338</v>
      </c>
      <c r="S15" s="20"/>
      <c r="T15" s="21" t="s">
        <v>212</v>
      </c>
    </row>
    <row r="16" ht="18.75" customHeight="1">
      <c r="A16" s="12">
        <f t="shared" si="1"/>
        <v>15</v>
      </c>
      <c r="B16" s="13" t="s">
        <v>21</v>
      </c>
      <c r="C16" s="13" t="s">
        <v>43</v>
      </c>
      <c r="D16" s="14" t="s">
        <v>44</v>
      </c>
      <c r="E16" s="29"/>
      <c r="F16" s="15">
        <v>5836.0</v>
      </c>
      <c r="G16" s="16" t="s">
        <v>268</v>
      </c>
      <c r="H16" s="17" t="s">
        <v>269</v>
      </c>
      <c r="I16" s="33" t="s">
        <v>270</v>
      </c>
      <c r="J16" s="17" t="s">
        <v>271</v>
      </c>
      <c r="K16" s="17" t="s">
        <v>272</v>
      </c>
      <c r="L16" s="17" t="s">
        <v>208</v>
      </c>
      <c r="M16" s="27" t="s">
        <v>209</v>
      </c>
      <c r="N16" s="28" t="s">
        <v>273</v>
      </c>
      <c r="O16" s="50"/>
      <c r="P16" s="15"/>
      <c r="Q16" s="15">
        <v>1.0</v>
      </c>
      <c r="R16" s="20" t="s">
        <v>338</v>
      </c>
      <c r="S16" s="20"/>
      <c r="T16" s="21" t="s">
        <v>212</v>
      </c>
    </row>
    <row r="17" ht="18.75" customHeight="1">
      <c r="A17" s="12">
        <f t="shared" si="1"/>
        <v>16</v>
      </c>
      <c r="B17" s="13" t="s">
        <v>21</v>
      </c>
      <c r="C17" s="13" t="s">
        <v>43</v>
      </c>
      <c r="D17" s="14" t="s">
        <v>44</v>
      </c>
      <c r="E17" s="29"/>
      <c r="F17" s="15">
        <v>4896.0</v>
      </c>
      <c r="G17" s="16" t="s">
        <v>274</v>
      </c>
      <c r="H17" s="17" t="s">
        <v>275</v>
      </c>
      <c r="I17" s="33" t="s">
        <v>276</v>
      </c>
      <c r="J17" s="17" t="s">
        <v>277</v>
      </c>
      <c r="K17" s="17" t="s">
        <v>278</v>
      </c>
      <c r="L17" s="17" t="s">
        <v>65</v>
      </c>
      <c r="M17" s="27" t="s">
        <v>41</v>
      </c>
      <c r="N17" s="28" t="s">
        <v>279</v>
      </c>
      <c r="O17" s="50"/>
      <c r="P17" s="15"/>
      <c r="Q17" s="15">
        <v>1.0</v>
      </c>
      <c r="R17" s="20" t="s">
        <v>338</v>
      </c>
      <c r="S17" s="20"/>
      <c r="T17" s="21" t="s">
        <v>212</v>
      </c>
    </row>
    <row r="18" ht="18.75" customHeight="1">
      <c r="A18" s="12">
        <f t="shared" si="1"/>
        <v>17</v>
      </c>
      <c r="B18" s="13" t="s">
        <v>21</v>
      </c>
      <c r="C18" s="13" t="s">
        <v>43</v>
      </c>
      <c r="D18" s="14" t="s">
        <v>44</v>
      </c>
      <c r="E18" s="15"/>
      <c r="F18" s="15">
        <v>7233.0</v>
      </c>
      <c r="G18" s="16" t="s">
        <v>280</v>
      </c>
      <c r="H18" s="17" t="s">
        <v>281</v>
      </c>
      <c r="I18" s="33" t="s">
        <v>282</v>
      </c>
      <c r="J18" s="17" t="s">
        <v>283</v>
      </c>
      <c r="K18" s="19" t="s">
        <v>284</v>
      </c>
      <c r="L18" s="19" t="s">
        <v>50</v>
      </c>
      <c r="M18" s="19" t="s">
        <v>51</v>
      </c>
      <c r="N18" s="19" t="s">
        <v>285</v>
      </c>
      <c r="O18" s="15"/>
      <c r="P18" s="15"/>
      <c r="Q18" s="15">
        <v>1.0</v>
      </c>
      <c r="R18" s="20" t="s">
        <v>338</v>
      </c>
      <c r="S18" s="20"/>
      <c r="T18" s="21" t="s">
        <v>212</v>
      </c>
    </row>
    <row r="19" ht="18.75" customHeight="1">
      <c r="A19" s="12">
        <f t="shared" si="1"/>
        <v>18</v>
      </c>
      <c r="B19" s="13" t="s">
        <v>21</v>
      </c>
      <c r="C19" s="13" t="s">
        <v>43</v>
      </c>
      <c r="D19" s="14" t="s">
        <v>44</v>
      </c>
      <c r="E19" s="15"/>
      <c r="F19" s="15">
        <v>2700.0</v>
      </c>
      <c r="G19" s="16" t="s">
        <v>286</v>
      </c>
      <c r="H19" s="17" t="s">
        <v>287</v>
      </c>
      <c r="I19" s="33" t="s">
        <v>288</v>
      </c>
      <c r="J19" s="17" t="s">
        <v>289</v>
      </c>
      <c r="K19" s="51" t="s">
        <v>290</v>
      </c>
      <c r="L19" s="51" t="s">
        <v>160</v>
      </c>
      <c r="M19" s="17" t="s">
        <v>103</v>
      </c>
      <c r="N19" s="213" t="s">
        <v>291</v>
      </c>
      <c r="O19" s="15"/>
      <c r="P19" s="15"/>
      <c r="Q19" s="12">
        <v>4.0</v>
      </c>
      <c r="R19" s="20" t="s">
        <v>338</v>
      </c>
      <c r="S19" s="20"/>
      <c r="T19" s="21" t="s">
        <v>212</v>
      </c>
    </row>
    <row r="20" ht="18.75" customHeight="1">
      <c r="A20" s="12">
        <f t="shared" si="1"/>
        <v>19</v>
      </c>
      <c r="B20" s="13" t="s">
        <v>21</v>
      </c>
      <c r="C20" s="13" t="s">
        <v>43</v>
      </c>
      <c r="D20" s="14" t="s">
        <v>44</v>
      </c>
      <c r="E20" s="66"/>
      <c r="F20" s="250"/>
      <c r="G20" s="41" t="s">
        <v>292</v>
      </c>
      <c r="H20" s="60" t="s">
        <v>293</v>
      </c>
      <c r="I20" s="33" t="s">
        <v>294</v>
      </c>
      <c r="J20" s="17" t="s">
        <v>295</v>
      </c>
      <c r="K20" s="68"/>
      <c r="L20" s="19" t="s">
        <v>296</v>
      </c>
      <c r="M20" s="17" t="s">
        <v>258</v>
      </c>
      <c r="N20" s="31" t="s">
        <v>297</v>
      </c>
      <c r="O20" s="15">
        <v>4.290938843E9</v>
      </c>
      <c r="P20" s="15" t="s">
        <v>96</v>
      </c>
      <c r="Q20" s="15">
        <v>3.0</v>
      </c>
      <c r="R20" s="20" t="s">
        <v>338</v>
      </c>
      <c r="S20" s="20"/>
      <c r="T20" s="21" t="s">
        <v>212</v>
      </c>
    </row>
    <row r="21" ht="18.75" customHeight="1">
      <c r="A21" s="12">
        <f t="shared" si="1"/>
        <v>20</v>
      </c>
      <c r="B21" s="13" t="s">
        <v>21</v>
      </c>
      <c r="C21" s="13" t="s">
        <v>43</v>
      </c>
      <c r="D21" s="14" t="s">
        <v>44</v>
      </c>
      <c r="E21" s="32"/>
      <c r="F21" s="33" t="s">
        <v>298</v>
      </c>
      <c r="G21" s="40" t="s">
        <v>299</v>
      </c>
      <c r="H21" s="37" t="s">
        <v>300</v>
      </c>
      <c r="I21" s="33" t="s">
        <v>301</v>
      </c>
      <c r="J21" s="17" t="s">
        <v>302</v>
      </c>
      <c r="K21" s="19" t="s">
        <v>303</v>
      </c>
      <c r="L21" s="19" t="s">
        <v>304</v>
      </c>
      <c r="M21" s="19" t="s">
        <v>209</v>
      </c>
      <c r="N21" s="31" t="s">
        <v>305</v>
      </c>
      <c r="O21" s="15"/>
      <c r="P21" s="15"/>
      <c r="Q21" s="15">
        <v>1.0</v>
      </c>
      <c r="R21" s="20" t="s">
        <v>338</v>
      </c>
      <c r="S21" s="20"/>
      <c r="T21" s="21" t="s">
        <v>212</v>
      </c>
    </row>
    <row r="22" ht="18.75" customHeight="1">
      <c r="A22" s="12">
        <f t="shared" si="1"/>
        <v>21</v>
      </c>
      <c r="B22" s="13" t="s">
        <v>21</v>
      </c>
      <c r="C22" s="13" t="s">
        <v>43</v>
      </c>
      <c r="D22" s="14" t="s">
        <v>44</v>
      </c>
      <c r="E22" s="32" t="s">
        <v>306</v>
      </c>
      <c r="F22" s="33" t="s">
        <v>307</v>
      </c>
      <c r="G22" s="69" t="s">
        <v>308</v>
      </c>
      <c r="H22" s="37" t="s">
        <v>286</v>
      </c>
      <c r="I22" s="260" t="s">
        <v>309</v>
      </c>
      <c r="J22" s="17" t="s">
        <v>310</v>
      </c>
      <c r="K22" s="19" t="s">
        <v>311</v>
      </c>
      <c r="L22" s="19" t="s">
        <v>312</v>
      </c>
      <c r="M22" s="19" t="s">
        <v>313</v>
      </c>
      <c r="N22" s="31" t="s">
        <v>314</v>
      </c>
      <c r="O22" s="15">
        <v>4.453847E7</v>
      </c>
      <c r="P22" s="15" t="s">
        <v>267</v>
      </c>
      <c r="Q22" s="15">
        <v>1.0</v>
      </c>
      <c r="R22" s="20" t="s">
        <v>338</v>
      </c>
      <c r="S22" s="20"/>
      <c r="T22" s="21" t="s">
        <v>212</v>
      </c>
    </row>
    <row r="23" ht="18.75" customHeight="1">
      <c r="A23" s="12">
        <f t="shared" si="1"/>
        <v>22</v>
      </c>
      <c r="B23" s="13" t="s">
        <v>21</v>
      </c>
      <c r="C23" s="13" t="s">
        <v>43</v>
      </c>
      <c r="D23" s="14" t="s">
        <v>44</v>
      </c>
      <c r="E23" s="32" t="s">
        <v>315</v>
      </c>
      <c r="F23" s="33"/>
      <c r="G23" s="69" t="s">
        <v>316</v>
      </c>
      <c r="H23" s="37" t="s">
        <v>316</v>
      </c>
      <c r="I23" s="70" t="s">
        <v>317</v>
      </c>
      <c r="J23" s="17" t="s">
        <v>318</v>
      </c>
      <c r="K23" s="19" t="s">
        <v>319</v>
      </c>
      <c r="L23" s="19" t="s">
        <v>170</v>
      </c>
      <c r="M23" s="19" t="s">
        <v>103</v>
      </c>
      <c r="N23" s="31" t="s">
        <v>320</v>
      </c>
      <c r="O23" s="15">
        <v>3.491613155E9</v>
      </c>
      <c r="P23" s="15" t="s">
        <v>96</v>
      </c>
      <c r="Q23" s="15">
        <v>1.0</v>
      </c>
      <c r="R23" s="20" t="s">
        <v>338</v>
      </c>
      <c r="S23" s="20"/>
      <c r="T23" s="21" t="s">
        <v>212</v>
      </c>
    </row>
    <row r="24" ht="18.75" customHeight="1">
      <c r="A24" s="12">
        <f t="shared" si="1"/>
        <v>23</v>
      </c>
      <c r="B24" s="13" t="s">
        <v>21</v>
      </c>
      <c r="C24" s="13" t="s">
        <v>22</v>
      </c>
      <c r="D24" s="14" t="s">
        <v>23</v>
      </c>
      <c r="E24" s="32" t="s">
        <v>321</v>
      </c>
      <c r="F24" s="33" t="s">
        <v>322</v>
      </c>
      <c r="G24" s="69" t="s">
        <v>323</v>
      </c>
      <c r="H24" s="37" t="s">
        <v>324</v>
      </c>
      <c r="I24" s="70" t="s">
        <v>325</v>
      </c>
      <c r="J24" s="17" t="s">
        <v>326</v>
      </c>
      <c r="K24" s="19" t="s">
        <v>327</v>
      </c>
      <c r="L24" s="19" t="s">
        <v>328</v>
      </c>
      <c r="M24" s="19" t="s">
        <v>258</v>
      </c>
      <c r="N24" s="31" t="s">
        <v>329</v>
      </c>
      <c r="O24" s="15">
        <v>6.985282611E9</v>
      </c>
      <c r="P24" s="15" t="s">
        <v>96</v>
      </c>
      <c r="Q24" s="15">
        <v>1.0</v>
      </c>
      <c r="R24" s="20" t="s">
        <v>338</v>
      </c>
      <c r="S24" s="20"/>
      <c r="T24" s="21" t="s">
        <v>212</v>
      </c>
    </row>
    <row r="25" ht="18.75" customHeight="1">
      <c r="A25" s="12">
        <f t="shared" si="1"/>
        <v>24</v>
      </c>
      <c r="B25" s="13" t="s">
        <v>21</v>
      </c>
      <c r="C25" s="71" t="s">
        <v>163</v>
      </c>
      <c r="D25" s="14" t="s">
        <v>164</v>
      </c>
      <c r="E25" s="32"/>
      <c r="F25" s="33" t="s">
        <v>128</v>
      </c>
      <c r="G25" s="40" t="s">
        <v>330</v>
      </c>
      <c r="H25" s="40" t="s">
        <v>331</v>
      </c>
      <c r="I25" s="72" t="s">
        <v>332</v>
      </c>
      <c r="J25" s="17"/>
      <c r="K25" s="19"/>
      <c r="L25" s="19"/>
      <c r="M25" s="19"/>
      <c r="N25" s="31"/>
      <c r="O25" s="15"/>
      <c r="P25" s="15"/>
      <c r="Q25" s="15">
        <v>1.0</v>
      </c>
      <c r="R25" s="20" t="s">
        <v>338</v>
      </c>
      <c r="S25" s="20"/>
      <c r="T25" s="21" t="s">
        <v>212</v>
      </c>
    </row>
    <row r="26" ht="18.75" customHeight="1">
      <c r="A26" s="12">
        <f t="shared" si="1"/>
        <v>25</v>
      </c>
      <c r="B26" s="13" t="s">
        <v>21</v>
      </c>
      <c r="C26" s="13" t="s">
        <v>22</v>
      </c>
      <c r="D26" s="14" t="s">
        <v>23</v>
      </c>
      <c r="E26" s="15"/>
      <c r="F26" s="15">
        <v>6926.0</v>
      </c>
      <c r="G26" s="16" t="s">
        <v>24</v>
      </c>
      <c r="H26" s="17" t="s">
        <v>25</v>
      </c>
      <c r="I26" s="18" t="s">
        <v>26</v>
      </c>
      <c r="J26" s="19" t="s">
        <v>27</v>
      </c>
      <c r="K26" s="17" t="s">
        <v>28</v>
      </c>
      <c r="L26" s="17" t="s">
        <v>29</v>
      </c>
      <c r="M26" s="17" t="s">
        <v>30</v>
      </c>
      <c r="N26" s="16" t="s">
        <v>31</v>
      </c>
      <c r="O26" s="15" t="s">
        <v>32</v>
      </c>
      <c r="P26" s="15"/>
      <c r="Q26" s="15">
        <v>2.0</v>
      </c>
      <c r="R26" s="20" t="s">
        <v>33</v>
      </c>
      <c r="S26" s="20"/>
      <c r="T26" s="21" t="s">
        <v>34</v>
      </c>
    </row>
    <row r="27" ht="18.75" customHeight="1">
      <c r="A27" s="12">
        <f t="shared" si="1"/>
        <v>26</v>
      </c>
      <c r="B27" s="13" t="s">
        <v>21</v>
      </c>
      <c r="C27" s="13" t="s">
        <v>22</v>
      </c>
      <c r="D27" s="14" t="s">
        <v>23</v>
      </c>
      <c r="E27" s="15"/>
      <c r="F27" s="12">
        <v>11165.0</v>
      </c>
      <c r="G27" s="30" t="s">
        <v>35</v>
      </c>
      <c r="H27" s="38" t="s">
        <v>36</v>
      </c>
      <c r="I27" s="33" t="s">
        <v>37</v>
      </c>
      <c r="J27" s="19" t="s">
        <v>38</v>
      </c>
      <c r="K27" s="17" t="s">
        <v>39</v>
      </c>
      <c r="L27" s="17" t="s">
        <v>40</v>
      </c>
      <c r="M27" s="17" t="s">
        <v>41</v>
      </c>
      <c r="N27" s="16" t="s">
        <v>42</v>
      </c>
      <c r="O27" s="15"/>
      <c r="P27" s="15"/>
      <c r="Q27" s="15">
        <v>1.0</v>
      </c>
      <c r="R27" s="20" t="s">
        <v>33</v>
      </c>
      <c r="S27" s="20"/>
      <c r="T27" s="21" t="s">
        <v>34</v>
      </c>
    </row>
    <row r="28" ht="18.75" customHeight="1">
      <c r="A28" s="12">
        <f t="shared" si="1"/>
        <v>27</v>
      </c>
      <c r="B28" s="13" t="s">
        <v>21</v>
      </c>
      <c r="C28" s="13" t="s">
        <v>43</v>
      </c>
      <c r="D28" s="14" t="s">
        <v>44</v>
      </c>
      <c r="E28" s="15"/>
      <c r="F28" s="15">
        <v>1522.0</v>
      </c>
      <c r="G28" s="16" t="s">
        <v>45</v>
      </c>
      <c r="H28" s="17" t="s">
        <v>46</v>
      </c>
      <c r="I28" s="18" t="s">
        <v>47</v>
      </c>
      <c r="J28" s="19" t="s">
        <v>48</v>
      </c>
      <c r="K28" s="17" t="s">
        <v>49</v>
      </c>
      <c r="L28" s="17" t="s">
        <v>50</v>
      </c>
      <c r="M28" s="17" t="s">
        <v>51</v>
      </c>
      <c r="N28" s="16" t="s">
        <v>52</v>
      </c>
      <c r="O28" s="15"/>
      <c r="P28" s="15"/>
      <c r="Q28" s="15">
        <v>1.0</v>
      </c>
      <c r="R28" s="20" t="s">
        <v>33</v>
      </c>
      <c r="S28" s="20"/>
      <c r="T28" s="21" t="s">
        <v>34</v>
      </c>
    </row>
    <row r="29" ht="18.75" customHeight="1">
      <c r="A29" s="12">
        <f t="shared" si="1"/>
        <v>28</v>
      </c>
      <c r="B29" s="13" t="s">
        <v>21</v>
      </c>
      <c r="C29" s="13" t="s">
        <v>43</v>
      </c>
      <c r="D29" s="14" t="s">
        <v>44</v>
      </c>
      <c r="E29" s="15"/>
      <c r="F29" s="22">
        <v>6058.0</v>
      </c>
      <c r="G29" s="23" t="s">
        <v>53</v>
      </c>
      <c r="H29" s="27" t="s">
        <v>54</v>
      </c>
      <c r="I29" s="261" t="s">
        <v>55</v>
      </c>
      <c r="J29" s="19" t="s">
        <v>56</v>
      </c>
      <c r="K29" s="19" t="s">
        <v>57</v>
      </c>
      <c r="L29" s="19" t="s">
        <v>58</v>
      </c>
      <c r="M29" s="19" t="s">
        <v>59</v>
      </c>
      <c r="N29" s="212" t="s">
        <v>60</v>
      </c>
      <c r="O29" s="32"/>
      <c r="P29" s="15"/>
      <c r="Q29" s="15">
        <v>2.0</v>
      </c>
      <c r="R29" s="20" t="s">
        <v>33</v>
      </c>
      <c r="S29" s="20"/>
      <c r="T29" s="21" t="s">
        <v>34</v>
      </c>
    </row>
    <row r="30" ht="18.75" customHeight="1">
      <c r="A30" s="12">
        <f t="shared" si="1"/>
        <v>29</v>
      </c>
      <c r="B30" s="13" t="s">
        <v>21</v>
      </c>
      <c r="C30" s="13" t="s">
        <v>43</v>
      </c>
      <c r="D30" s="14" t="s">
        <v>44</v>
      </c>
      <c r="E30" s="15"/>
      <c r="F30" s="29">
        <v>7479.0</v>
      </c>
      <c r="G30" s="28" t="s">
        <v>61</v>
      </c>
      <c r="H30" s="27" t="s">
        <v>447</v>
      </c>
      <c r="I30" s="33" t="s">
        <v>62</v>
      </c>
      <c r="J30" s="26" t="s">
        <v>63</v>
      </c>
      <c r="K30" s="262" t="s">
        <v>64</v>
      </c>
      <c r="L30" s="262" t="s">
        <v>65</v>
      </c>
      <c r="M30" s="262" t="s">
        <v>41</v>
      </c>
      <c r="N30" s="63" t="s">
        <v>66</v>
      </c>
      <c r="O30" s="15"/>
      <c r="P30" s="15"/>
      <c r="Q30" s="15">
        <v>1.0</v>
      </c>
      <c r="R30" s="20" t="s">
        <v>33</v>
      </c>
      <c r="S30" s="20"/>
      <c r="T30" s="21" t="s">
        <v>34</v>
      </c>
    </row>
    <row r="31" ht="18.75" customHeight="1">
      <c r="A31" s="12">
        <f t="shared" si="1"/>
        <v>30</v>
      </c>
      <c r="B31" s="13" t="s">
        <v>21</v>
      </c>
      <c r="C31" s="13" t="s">
        <v>43</v>
      </c>
      <c r="D31" s="14" t="s">
        <v>44</v>
      </c>
      <c r="E31" s="34"/>
      <c r="F31" s="35">
        <v>4723.0</v>
      </c>
      <c r="G31" s="16" t="s">
        <v>67</v>
      </c>
      <c r="H31" s="17" t="s">
        <v>68</v>
      </c>
      <c r="I31" s="33" t="s">
        <v>69</v>
      </c>
      <c r="J31" s="19" t="s">
        <v>70</v>
      </c>
      <c r="K31" s="19" t="s">
        <v>71</v>
      </c>
      <c r="L31" s="17" t="s">
        <v>65</v>
      </c>
      <c r="M31" s="17" t="s">
        <v>41</v>
      </c>
      <c r="N31" s="59" t="s">
        <v>72</v>
      </c>
      <c r="O31" s="32"/>
      <c r="P31" s="15"/>
      <c r="Q31" s="12">
        <v>6.0</v>
      </c>
      <c r="R31" s="20" t="s">
        <v>33</v>
      </c>
      <c r="S31" s="20"/>
      <c r="T31" s="21" t="s">
        <v>34</v>
      </c>
    </row>
    <row r="32" ht="18.75" customHeight="1">
      <c r="A32" s="12">
        <f t="shared" si="1"/>
        <v>31</v>
      </c>
      <c r="B32" s="13" t="s">
        <v>21</v>
      </c>
      <c r="C32" s="13" t="s">
        <v>43</v>
      </c>
      <c r="D32" s="14" t="s">
        <v>44</v>
      </c>
      <c r="E32" s="263"/>
      <c r="F32" s="263">
        <v>4181.0</v>
      </c>
      <c r="G32" s="16" t="s">
        <v>73</v>
      </c>
      <c r="H32" s="17" t="s">
        <v>74</v>
      </c>
      <c r="I32" s="33" t="s">
        <v>75</v>
      </c>
      <c r="J32" s="19" t="s">
        <v>76</v>
      </c>
      <c r="K32" s="19" t="s">
        <v>77</v>
      </c>
      <c r="L32" s="17" t="s">
        <v>78</v>
      </c>
      <c r="M32" s="17" t="s">
        <v>30</v>
      </c>
      <c r="N32" s="59" t="s">
        <v>79</v>
      </c>
      <c r="O32" s="32"/>
      <c r="P32" s="15"/>
      <c r="Q32" s="12">
        <v>6.0</v>
      </c>
      <c r="R32" s="20" t="s">
        <v>33</v>
      </c>
      <c r="S32" s="20"/>
      <c r="T32" s="21" t="s">
        <v>34</v>
      </c>
    </row>
    <row r="33" ht="18.75" customHeight="1">
      <c r="A33" s="12">
        <f t="shared" si="1"/>
        <v>32</v>
      </c>
      <c r="B33" s="13" t="s">
        <v>21</v>
      </c>
      <c r="C33" s="13" t="s">
        <v>43</v>
      </c>
      <c r="D33" s="14" t="s">
        <v>44</v>
      </c>
      <c r="E33" s="15"/>
      <c r="F33" s="15">
        <v>7801.0</v>
      </c>
      <c r="G33" s="16" t="s">
        <v>80</v>
      </c>
      <c r="H33" s="17" t="s">
        <v>81</v>
      </c>
      <c r="I33" s="33" t="s">
        <v>82</v>
      </c>
      <c r="J33" s="19" t="s">
        <v>83</v>
      </c>
      <c r="K33" s="19" t="s">
        <v>84</v>
      </c>
      <c r="L33" s="19" t="s">
        <v>85</v>
      </c>
      <c r="M33" s="19" t="s">
        <v>86</v>
      </c>
      <c r="N33" s="59" t="s">
        <v>87</v>
      </c>
      <c r="O33" s="32"/>
      <c r="P33" s="15"/>
      <c r="Q33" s="12">
        <v>2.0</v>
      </c>
      <c r="R33" s="20" t="s">
        <v>33</v>
      </c>
      <c r="S33" s="20"/>
      <c r="T33" s="21" t="s">
        <v>34</v>
      </c>
    </row>
    <row r="34" ht="18.75" customHeight="1">
      <c r="A34" s="12">
        <f t="shared" si="1"/>
        <v>33</v>
      </c>
      <c r="B34" s="13" t="s">
        <v>21</v>
      </c>
      <c r="C34" s="13" t="s">
        <v>43</v>
      </c>
      <c r="D34" s="14" t="s">
        <v>44</v>
      </c>
      <c r="E34" s="15"/>
      <c r="F34" s="15">
        <v>11515.0</v>
      </c>
      <c r="G34" s="16" t="s">
        <v>88</v>
      </c>
      <c r="H34" s="17" t="s">
        <v>89</v>
      </c>
      <c r="I34" s="33" t="s">
        <v>90</v>
      </c>
      <c r="J34" s="19" t="s">
        <v>91</v>
      </c>
      <c r="K34" s="19" t="s">
        <v>92</v>
      </c>
      <c r="L34" s="19" t="s">
        <v>93</v>
      </c>
      <c r="M34" s="19" t="s">
        <v>59</v>
      </c>
      <c r="N34" s="31" t="s">
        <v>94</v>
      </c>
      <c r="O34" s="32" t="s">
        <v>95</v>
      </c>
      <c r="P34" s="15" t="s">
        <v>96</v>
      </c>
      <c r="Q34" s="15">
        <v>1.0</v>
      </c>
      <c r="R34" s="20" t="s">
        <v>33</v>
      </c>
      <c r="S34" s="20"/>
      <c r="T34" s="21" t="s">
        <v>34</v>
      </c>
    </row>
    <row r="35" ht="18.75" customHeight="1">
      <c r="A35" s="12">
        <f t="shared" si="1"/>
        <v>34</v>
      </c>
      <c r="B35" s="13" t="s">
        <v>21</v>
      </c>
      <c r="C35" s="13" t="s">
        <v>43</v>
      </c>
      <c r="D35" s="14" t="s">
        <v>44</v>
      </c>
      <c r="E35" s="15"/>
      <c r="F35" s="12">
        <v>9441.0</v>
      </c>
      <c r="G35" s="30" t="s">
        <v>97</v>
      </c>
      <c r="H35" s="37" t="s">
        <v>98</v>
      </c>
      <c r="I35" s="33" t="s">
        <v>99</v>
      </c>
      <c r="J35" s="19" t="s">
        <v>100</v>
      </c>
      <c r="K35" s="17" t="s">
        <v>101</v>
      </c>
      <c r="L35" s="17" t="s">
        <v>102</v>
      </c>
      <c r="M35" s="17" t="s">
        <v>103</v>
      </c>
      <c r="N35" s="63" t="s">
        <v>104</v>
      </c>
      <c r="O35" s="15"/>
      <c r="P35" s="15"/>
      <c r="Q35" s="15">
        <v>1.0</v>
      </c>
      <c r="R35" s="20" t="s">
        <v>33</v>
      </c>
      <c r="S35" s="20"/>
      <c r="T35" s="21" t="s">
        <v>34</v>
      </c>
    </row>
    <row r="36" ht="18.75" customHeight="1">
      <c r="A36" s="12">
        <f t="shared" si="1"/>
        <v>35</v>
      </c>
      <c r="B36" s="13" t="s">
        <v>21</v>
      </c>
      <c r="C36" s="13" t="s">
        <v>43</v>
      </c>
      <c r="D36" s="14" t="s">
        <v>44</v>
      </c>
      <c r="E36" s="15"/>
      <c r="F36" s="12">
        <v>14464.0</v>
      </c>
      <c r="G36" s="30" t="s">
        <v>105</v>
      </c>
      <c r="H36" s="37" t="s">
        <v>106</v>
      </c>
      <c r="I36" s="33" t="s">
        <v>107</v>
      </c>
      <c r="J36" s="19" t="s">
        <v>108</v>
      </c>
      <c r="K36" s="17" t="s">
        <v>109</v>
      </c>
      <c r="L36" s="17" t="s">
        <v>110</v>
      </c>
      <c r="M36" s="17" t="s">
        <v>111</v>
      </c>
      <c r="N36" s="16" t="s">
        <v>112</v>
      </c>
      <c r="O36" s="32" t="s">
        <v>113</v>
      </c>
      <c r="P36" s="15" t="s">
        <v>96</v>
      </c>
      <c r="Q36" s="15">
        <v>1.0</v>
      </c>
      <c r="R36" s="20" t="s">
        <v>33</v>
      </c>
      <c r="S36" s="20"/>
      <c r="T36" s="21" t="s">
        <v>34</v>
      </c>
    </row>
    <row r="37" ht="18.75" customHeight="1">
      <c r="A37" s="12">
        <f t="shared" si="1"/>
        <v>36</v>
      </c>
      <c r="B37" s="13" t="s">
        <v>21</v>
      </c>
      <c r="C37" s="13" t="s">
        <v>43</v>
      </c>
      <c r="D37" s="14" t="s">
        <v>44</v>
      </c>
      <c r="E37" s="15"/>
      <c r="F37" s="12">
        <v>13944.0</v>
      </c>
      <c r="G37" s="30" t="s">
        <v>114</v>
      </c>
      <c r="H37" s="37" t="s">
        <v>115</v>
      </c>
      <c r="I37" s="33" t="s">
        <v>116</v>
      </c>
      <c r="J37" s="19" t="s">
        <v>117</v>
      </c>
      <c r="K37" s="17" t="s">
        <v>118</v>
      </c>
      <c r="L37" s="17" t="s">
        <v>119</v>
      </c>
      <c r="M37" s="17" t="s">
        <v>103</v>
      </c>
      <c r="N37" s="28" t="s">
        <v>120</v>
      </c>
      <c r="O37" s="32"/>
      <c r="P37" s="15"/>
      <c r="Q37" s="15">
        <v>1.0</v>
      </c>
      <c r="R37" s="20" t="s">
        <v>33</v>
      </c>
      <c r="S37" s="20"/>
      <c r="T37" s="21" t="s">
        <v>34</v>
      </c>
    </row>
    <row r="38" ht="18.75" customHeight="1">
      <c r="A38" s="12">
        <f t="shared" si="1"/>
        <v>37</v>
      </c>
      <c r="B38" s="13" t="s">
        <v>21</v>
      </c>
      <c r="C38" s="13" t="s">
        <v>43</v>
      </c>
      <c r="D38" s="14" t="s">
        <v>44</v>
      </c>
      <c r="E38" s="15"/>
      <c r="F38" s="12">
        <v>10563.0</v>
      </c>
      <c r="G38" s="30" t="s">
        <v>121</v>
      </c>
      <c r="H38" s="37" t="s">
        <v>122</v>
      </c>
      <c r="I38" s="33" t="s">
        <v>123</v>
      </c>
      <c r="J38" s="19" t="s">
        <v>124</v>
      </c>
      <c r="K38" s="17" t="s">
        <v>125</v>
      </c>
      <c r="L38" s="17" t="s">
        <v>126</v>
      </c>
      <c r="M38" s="17" t="s">
        <v>30</v>
      </c>
      <c r="N38" s="16" t="s">
        <v>127</v>
      </c>
      <c r="O38" s="32"/>
      <c r="P38" s="15"/>
      <c r="Q38" s="15">
        <v>1.0</v>
      </c>
      <c r="R38" s="20" t="s">
        <v>33</v>
      </c>
      <c r="S38" s="20"/>
      <c r="T38" s="21" t="s">
        <v>34</v>
      </c>
    </row>
    <row r="39" ht="18.75" customHeight="1">
      <c r="A39" s="12">
        <f t="shared" si="1"/>
        <v>38</v>
      </c>
      <c r="B39" s="13" t="s">
        <v>21</v>
      </c>
      <c r="C39" s="13" t="s">
        <v>43</v>
      </c>
      <c r="D39" s="14" t="s">
        <v>44</v>
      </c>
      <c r="E39" s="15"/>
      <c r="F39" s="12"/>
      <c r="G39" s="30" t="s">
        <v>129</v>
      </c>
      <c r="H39" s="37" t="s">
        <v>130</v>
      </c>
      <c r="I39" s="33" t="s">
        <v>131</v>
      </c>
      <c r="J39" s="19" t="s">
        <v>132</v>
      </c>
      <c r="K39" s="17"/>
      <c r="L39" s="17" t="s">
        <v>133</v>
      </c>
      <c r="M39" s="19" t="s">
        <v>59</v>
      </c>
      <c r="N39" s="16" t="s">
        <v>134</v>
      </c>
      <c r="O39" s="33" t="s">
        <v>135</v>
      </c>
      <c r="P39" s="15" t="s">
        <v>96</v>
      </c>
      <c r="Q39" s="15">
        <v>1.0</v>
      </c>
      <c r="R39" s="20" t="s">
        <v>33</v>
      </c>
      <c r="S39" s="20"/>
      <c r="T39" s="21" t="s">
        <v>34</v>
      </c>
    </row>
    <row r="40" ht="18.75" customHeight="1">
      <c r="A40" s="12">
        <f t="shared" si="1"/>
        <v>39</v>
      </c>
      <c r="B40" s="13" t="s">
        <v>21</v>
      </c>
      <c r="C40" s="13" t="s">
        <v>43</v>
      </c>
      <c r="D40" s="14" t="s">
        <v>44</v>
      </c>
      <c r="E40" s="15" t="s">
        <v>136</v>
      </c>
      <c r="F40" s="12">
        <v>10409.0</v>
      </c>
      <c r="G40" s="30" t="s">
        <v>137</v>
      </c>
      <c r="H40" s="37" t="s">
        <v>138</v>
      </c>
      <c r="I40" s="33" t="s">
        <v>139</v>
      </c>
      <c r="J40" s="19" t="s">
        <v>140</v>
      </c>
      <c r="K40" s="38" t="s">
        <v>141</v>
      </c>
      <c r="L40" s="17" t="s">
        <v>142</v>
      </c>
      <c r="M40" s="19" t="s">
        <v>143</v>
      </c>
      <c r="N40" s="16" t="s">
        <v>144</v>
      </c>
      <c r="O40" s="33" t="s">
        <v>145</v>
      </c>
      <c r="P40" s="15" t="s">
        <v>146</v>
      </c>
      <c r="Q40" s="15">
        <v>1.0</v>
      </c>
      <c r="R40" s="20" t="s">
        <v>33</v>
      </c>
      <c r="S40" s="20"/>
      <c r="T40" s="21" t="s">
        <v>34</v>
      </c>
    </row>
    <row r="41" ht="18.75" customHeight="1">
      <c r="A41" s="12">
        <f t="shared" si="1"/>
        <v>40</v>
      </c>
      <c r="B41" s="13" t="s">
        <v>21</v>
      </c>
      <c r="C41" s="13" t="s">
        <v>43</v>
      </c>
      <c r="D41" s="14" t="s">
        <v>44</v>
      </c>
      <c r="E41" s="15" t="s">
        <v>136</v>
      </c>
      <c r="F41" s="12">
        <v>4323.0</v>
      </c>
      <c r="G41" s="30" t="s">
        <v>147</v>
      </c>
      <c r="H41" s="37" t="s">
        <v>148</v>
      </c>
      <c r="I41" s="33" t="s">
        <v>149</v>
      </c>
      <c r="J41" s="19" t="s">
        <v>150</v>
      </c>
      <c r="K41" s="39" t="s">
        <v>151</v>
      </c>
      <c r="L41" s="17" t="s">
        <v>152</v>
      </c>
      <c r="M41" s="19" t="s">
        <v>111</v>
      </c>
      <c r="N41" s="16" t="s">
        <v>153</v>
      </c>
      <c r="O41" s="33" t="s">
        <v>154</v>
      </c>
      <c r="P41" s="15" t="s">
        <v>96</v>
      </c>
      <c r="Q41" s="15">
        <v>3.0</v>
      </c>
      <c r="R41" s="20" t="s">
        <v>33</v>
      </c>
      <c r="S41" s="20"/>
      <c r="T41" s="21" t="s">
        <v>34</v>
      </c>
    </row>
    <row r="42" ht="18.75" customHeight="1">
      <c r="A42" s="12">
        <f t="shared" si="1"/>
        <v>41</v>
      </c>
      <c r="B42" s="13" t="s">
        <v>21</v>
      </c>
      <c r="C42" s="13" t="s">
        <v>43</v>
      </c>
      <c r="D42" s="14" t="s">
        <v>44</v>
      </c>
      <c r="E42" s="15" t="s">
        <v>155</v>
      </c>
      <c r="F42" s="12">
        <v>8177.0</v>
      </c>
      <c r="G42" s="40" t="s">
        <v>156</v>
      </c>
      <c r="H42" s="41" t="s">
        <v>157</v>
      </c>
      <c r="I42" s="33" t="s">
        <v>158</v>
      </c>
      <c r="J42" s="19" t="s">
        <v>159</v>
      </c>
      <c r="K42" s="39" t="s">
        <v>159</v>
      </c>
      <c r="L42" s="17" t="s">
        <v>160</v>
      </c>
      <c r="M42" s="19" t="s">
        <v>103</v>
      </c>
      <c r="N42" s="16" t="s">
        <v>161</v>
      </c>
      <c r="O42" s="32" t="s">
        <v>162</v>
      </c>
      <c r="P42" s="15"/>
      <c r="Q42" s="15">
        <v>1.0</v>
      </c>
      <c r="R42" s="20" t="s">
        <v>33</v>
      </c>
      <c r="S42" s="20"/>
      <c r="T42" s="21" t="s">
        <v>34</v>
      </c>
    </row>
    <row r="43" ht="18.75" customHeight="1">
      <c r="A43" s="12">
        <f t="shared" si="1"/>
        <v>42</v>
      </c>
      <c r="B43" s="13" t="s">
        <v>21</v>
      </c>
      <c r="C43" s="13" t="s">
        <v>163</v>
      </c>
      <c r="D43" s="14" t="s">
        <v>164</v>
      </c>
      <c r="E43" s="15"/>
      <c r="F43" s="15">
        <v>6125.0</v>
      </c>
      <c r="G43" s="16" t="s">
        <v>165</v>
      </c>
      <c r="H43" s="17" t="s">
        <v>166</v>
      </c>
      <c r="I43" s="33" t="s">
        <v>1025</v>
      </c>
      <c r="J43" s="19" t="s">
        <v>168</v>
      </c>
      <c r="K43" s="19" t="s">
        <v>169</v>
      </c>
      <c r="L43" s="19" t="s">
        <v>170</v>
      </c>
      <c r="M43" s="17" t="s">
        <v>103</v>
      </c>
      <c r="N43" s="31" t="s">
        <v>171</v>
      </c>
      <c r="O43" s="32" t="s">
        <v>162</v>
      </c>
      <c r="P43" s="15"/>
      <c r="Q43" s="12">
        <v>9.0</v>
      </c>
      <c r="R43" s="20" t="s">
        <v>33</v>
      </c>
      <c r="S43" s="20"/>
      <c r="T43" s="21" t="s">
        <v>34</v>
      </c>
    </row>
    <row r="44" ht="18.75" customHeight="1">
      <c r="A44" s="12">
        <f t="shared" si="1"/>
        <v>43</v>
      </c>
      <c r="B44" s="13" t="s">
        <v>21</v>
      </c>
      <c r="C44" s="13" t="s">
        <v>163</v>
      </c>
      <c r="D44" s="14" t="s">
        <v>164</v>
      </c>
      <c r="E44" s="16"/>
      <c r="F44" s="16"/>
      <c r="G44" s="16" t="s">
        <v>172</v>
      </c>
      <c r="H44" s="17" t="s">
        <v>173</v>
      </c>
      <c r="I44" s="33" t="s">
        <v>174</v>
      </c>
      <c r="J44" s="19"/>
      <c r="K44" s="19" t="s">
        <v>175</v>
      </c>
      <c r="L44" s="19" t="s">
        <v>176</v>
      </c>
      <c r="M44" s="19" t="s">
        <v>177</v>
      </c>
      <c r="N44" s="31" t="s">
        <v>178</v>
      </c>
      <c r="O44" s="32" t="s">
        <v>179</v>
      </c>
      <c r="P44" s="15" t="s">
        <v>96</v>
      </c>
      <c r="Q44" s="15">
        <v>3.0</v>
      </c>
      <c r="R44" s="20" t="s">
        <v>33</v>
      </c>
      <c r="S44" s="20"/>
      <c r="T44" s="21" t="s">
        <v>34</v>
      </c>
    </row>
    <row r="45" ht="18.75" customHeight="1">
      <c r="A45" s="12">
        <f t="shared" si="1"/>
        <v>44</v>
      </c>
      <c r="B45" s="13" t="s">
        <v>21</v>
      </c>
      <c r="C45" s="13" t="s">
        <v>163</v>
      </c>
      <c r="D45" s="14" t="s">
        <v>164</v>
      </c>
      <c r="E45" s="16"/>
      <c r="F45" s="16"/>
      <c r="G45" s="16" t="s">
        <v>172</v>
      </c>
      <c r="H45" s="17" t="s">
        <v>180</v>
      </c>
      <c r="I45" s="33" t="s">
        <v>181</v>
      </c>
      <c r="J45" s="19"/>
      <c r="K45" s="19" t="s">
        <v>182</v>
      </c>
      <c r="L45" s="19" t="s">
        <v>176</v>
      </c>
      <c r="M45" s="19" t="s">
        <v>177</v>
      </c>
      <c r="N45" s="31" t="s">
        <v>183</v>
      </c>
      <c r="O45" s="32" t="s">
        <v>184</v>
      </c>
      <c r="P45" s="15" t="s">
        <v>146</v>
      </c>
      <c r="Q45" s="12">
        <v>6.0</v>
      </c>
      <c r="R45" s="20" t="s">
        <v>33</v>
      </c>
      <c r="S45" s="20"/>
      <c r="T45" s="21" t="s">
        <v>34</v>
      </c>
    </row>
    <row r="46" ht="18.75" customHeight="1">
      <c r="A46" s="12">
        <f t="shared" si="1"/>
        <v>45</v>
      </c>
      <c r="B46" s="13" t="s">
        <v>21</v>
      </c>
      <c r="C46" s="13" t="s">
        <v>163</v>
      </c>
      <c r="D46" s="14" t="s">
        <v>164</v>
      </c>
      <c r="E46" s="16"/>
      <c r="F46" s="16"/>
      <c r="G46" s="264" t="s">
        <v>185</v>
      </c>
      <c r="H46" s="16" t="s">
        <v>185</v>
      </c>
      <c r="I46" s="265" t="s">
        <v>186</v>
      </c>
      <c r="J46" s="19" t="s">
        <v>187</v>
      </c>
      <c r="K46" s="19" t="s">
        <v>188</v>
      </c>
      <c r="L46" s="19" t="s">
        <v>189</v>
      </c>
      <c r="M46" s="19" t="s">
        <v>190</v>
      </c>
      <c r="N46" s="86" t="s">
        <v>191</v>
      </c>
      <c r="O46" s="32" t="s">
        <v>192</v>
      </c>
      <c r="P46" s="15" t="s">
        <v>193</v>
      </c>
      <c r="Q46" s="12">
        <v>3.0</v>
      </c>
      <c r="R46" s="20" t="s">
        <v>33</v>
      </c>
      <c r="S46" s="20"/>
      <c r="T46" s="21" t="s">
        <v>34</v>
      </c>
    </row>
    <row r="47" ht="18.75" customHeight="1">
      <c r="A47" s="12">
        <f t="shared" si="1"/>
        <v>46</v>
      </c>
      <c r="B47" s="13" t="s">
        <v>21</v>
      </c>
      <c r="C47" s="13" t="s">
        <v>163</v>
      </c>
      <c r="D47" s="14" t="s">
        <v>164</v>
      </c>
      <c r="E47" s="16"/>
      <c r="F47" s="266"/>
      <c r="G47" s="38" t="s">
        <v>194</v>
      </c>
      <c r="H47" s="267" t="s">
        <v>1026</v>
      </c>
      <c r="I47" s="81" t="s">
        <v>196</v>
      </c>
      <c r="J47" s="19" t="s">
        <v>197</v>
      </c>
      <c r="K47" s="19" t="s">
        <v>198</v>
      </c>
      <c r="L47" s="19" t="s">
        <v>199</v>
      </c>
      <c r="M47" s="19" t="s">
        <v>41</v>
      </c>
      <c r="N47" s="82" t="s">
        <v>200</v>
      </c>
      <c r="O47" s="32" t="s">
        <v>1027</v>
      </c>
      <c r="P47" s="15" t="s">
        <v>96</v>
      </c>
      <c r="Q47" s="12">
        <v>80.0</v>
      </c>
      <c r="R47" s="20" t="s">
        <v>33</v>
      </c>
      <c r="S47" s="20"/>
      <c r="T47" s="21" t="s">
        <v>34</v>
      </c>
    </row>
    <row r="48" ht="18.75" customHeight="1">
      <c r="A48" s="12">
        <f t="shared" si="1"/>
        <v>47</v>
      </c>
      <c r="B48" s="13" t="s">
        <v>21</v>
      </c>
      <c r="C48" s="13" t="s">
        <v>163</v>
      </c>
      <c r="D48" s="14" t="s">
        <v>164</v>
      </c>
      <c r="E48" s="15"/>
      <c r="F48" s="12">
        <v>8881.0</v>
      </c>
      <c r="G48" s="268" t="s">
        <v>354</v>
      </c>
      <c r="H48" s="269" t="s">
        <v>355</v>
      </c>
      <c r="I48" s="270" t="s">
        <v>356</v>
      </c>
      <c r="J48" s="17" t="s">
        <v>357</v>
      </c>
      <c r="K48" s="19" t="s">
        <v>358</v>
      </c>
      <c r="L48" s="19" t="s">
        <v>359</v>
      </c>
      <c r="M48" s="19" t="s">
        <v>225</v>
      </c>
      <c r="N48" s="86" t="s">
        <v>360</v>
      </c>
      <c r="O48" s="15">
        <v>2.831496021E9</v>
      </c>
      <c r="P48" s="15" t="s">
        <v>96</v>
      </c>
      <c r="Q48" s="12">
        <v>3.0</v>
      </c>
      <c r="R48" s="20" t="s">
        <v>33</v>
      </c>
      <c r="S48" s="20"/>
      <c r="T48" s="21" t="s">
        <v>347</v>
      </c>
    </row>
    <row r="49" ht="18.75" customHeight="1">
      <c r="A49" s="12">
        <f t="shared" si="1"/>
        <v>48</v>
      </c>
      <c r="B49" s="13" t="s">
        <v>21</v>
      </c>
      <c r="C49" s="13" t="s">
        <v>163</v>
      </c>
      <c r="D49" s="14" t="s">
        <v>164</v>
      </c>
      <c r="E49" s="15"/>
      <c r="F49" s="271"/>
      <c r="G49" s="272" t="s">
        <v>361</v>
      </c>
      <c r="H49" s="273" t="s">
        <v>362</v>
      </c>
      <c r="I49" s="274" t="s">
        <v>363</v>
      </c>
      <c r="J49" s="275" t="s">
        <v>364</v>
      </c>
      <c r="K49" s="276" t="s">
        <v>365</v>
      </c>
      <c r="L49" s="19" t="s">
        <v>366</v>
      </c>
      <c r="M49" s="19" t="s">
        <v>366</v>
      </c>
      <c r="N49" s="93" t="s">
        <v>367</v>
      </c>
      <c r="O49" s="15">
        <v>5.63201048259538E14</v>
      </c>
      <c r="P49" s="15" t="s">
        <v>146</v>
      </c>
      <c r="Q49" s="15">
        <v>11.0</v>
      </c>
      <c r="R49" s="20" t="s">
        <v>33</v>
      </c>
      <c r="S49" s="20"/>
      <c r="T49" s="21" t="s">
        <v>339</v>
      </c>
    </row>
    <row r="50" ht="20.25" hidden="1" customHeight="1">
      <c r="A50" s="44"/>
      <c r="B50" s="44"/>
      <c r="C50" s="44"/>
      <c r="D50" s="44"/>
      <c r="E50" s="45"/>
      <c r="F50" s="44"/>
      <c r="G50" s="46">
        <f>COUNTA(G48:G49)</f>
        <v>2</v>
      </c>
      <c r="H50" s="47"/>
      <c r="I50" s="44"/>
      <c r="J50" s="47"/>
      <c r="K50" s="47"/>
      <c r="L50" s="47"/>
      <c r="M50" s="47"/>
      <c r="N50" s="44"/>
      <c r="O50" s="44"/>
      <c r="P50" s="44"/>
      <c r="Q50" s="46">
        <f>SUM(Q48)</f>
        <v>3</v>
      </c>
      <c r="R50" s="48">
        <f>COUNTA(R48)</f>
        <v>1</v>
      </c>
      <c r="S50" s="48"/>
      <c r="T50" s="46"/>
    </row>
    <row r="51" ht="20.25" hidden="1" customHeight="1">
      <c r="A51" s="94" t="s">
        <v>390</v>
      </c>
      <c r="G51" s="95"/>
      <c r="K51" s="96"/>
      <c r="L51" s="96"/>
      <c r="M51" s="96"/>
      <c r="N51" s="97" t="s">
        <v>391</v>
      </c>
      <c r="Q51" s="95" t="str">
        <f>#REF!+#REF!+#REF!+Q50</f>
        <v>#REF!</v>
      </c>
      <c r="R51" s="95"/>
      <c r="S51" s="95"/>
      <c r="T51" s="98"/>
    </row>
  </sheetData>
  <mergeCells count="3">
    <mergeCell ref="A51:F51"/>
    <mergeCell ref="G51:J51"/>
    <mergeCell ref="N51:P51"/>
  </mergeCells>
  <dataValidations>
    <dataValidation type="list" allowBlank="1" showErrorMessage="1" sqref="R2:R49 T2:T49">
      <formula1>"Heriwati,Lidya,Novel,Lady,Selvi,Givoni,Intan"</formula1>
    </dataValidation>
    <dataValidation type="list" allowBlank="1" showErrorMessage="1" sqref="C2:C49">
      <formula1>"FRANCHISE (Jual Brand Usaha),REFERAL (Berlangganan),AFILIASI (Perlengkapan  Ex. Mesin,Parfum,Dll),CORPORATE (Rekomendasi &amp; Akuisisi)"</formula1>
    </dataValidation>
    <dataValidation type="list" allowBlank="1" showErrorMessage="1" sqref="B2:B49">
      <formula1>"SHARE CMO"</formula1>
    </dataValidation>
    <dataValidation type="list" allowBlank="1" showErrorMessage="1" sqref="P2:P49">
      <formula1>"BRI,BCA,BNI,BTN,MANDIRI"</formula1>
    </dataValidation>
  </dataValidations>
  <hyperlinks>
    <hyperlink r:id="rId1" ref="H47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0"/>
    <col customWidth="1" min="3" max="3" width="17.63"/>
    <col customWidth="1" min="4" max="4" width="18.63"/>
    <col customWidth="1" min="5" max="5" width="25.0"/>
  </cols>
  <sheetData>
    <row r="1" ht="15.75" customHeight="1">
      <c r="R1" s="277"/>
    </row>
    <row r="2" ht="15.75" customHeight="1">
      <c r="A2" s="278" t="s">
        <v>420</v>
      </c>
      <c r="B2" s="278" t="s">
        <v>432</v>
      </c>
      <c r="C2" s="278" t="s">
        <v>961</v>
      </c>
      <c r="D2" s="278" t="s">
        <v>996</v>
      </c>
      <c r="E2" s="278" t="s">
        <v>1001</v>
      </c>
      <c r="R2" s="277"/>
    </row>
    <row r="3" ht="15.75" customHeight="1">
      <c r="A3" s="278">
        <f>COUNTIF('Mitra - Referral'!$J$3:$J$239,A2)</f>
        <v>217</v>
      </c>
      <c r="B3" s="278">
        <f>COUNTIF('Mitra - Referral'!$J$3:$J$239,B2)</f>
        <v>4</v>
      </c>
      <c r="C3" s="278">
        <f>COUNTIF('Mitra - Referral'!$J$3:$J$239,C2)</f>
        <v>8</v>
      </c>
      <c r="D3" s="278">
        <f>COUNTIF('Mitra - Referral'!$J$3:$J$239,D2)</f>
        <v>1</v>
      </c>
      <c r="E3" s="278">
        <f>COUNTIF('Mitra - Referral'!$J$3:$J$239,E2)</f>
        <v>1</v>
      </c>
      <c r="R3" s="277"/>
    </row>
    <row r="4" ht="15.75" customHeight="1">
      <c r="R4" s="195"/>
    </row>
    <row r="5" ht="27.0" hidden="1" customHeight="1">
      <c r="A5" s="12">
        <f t="shared" ref="A5:A78" si="1">A4+1</f>
        <v>1</v>
      </c>
      <c r="B5" s="13" t="s">
        <v>1028</v>
      </c>
      <c r="C5" s="134"/>
      <c r="D5" s="30" t="s">
        <v>194</v>
      </c>
      <c r="E5" s="279" t="s">
        <v>1026</v>
      </c>
      <c r="F5" s="122">
        <v>14142.0</v>
      </c>
      <c r="G5" s="69" t="s">
        <v>709</v>
      </c>
      <c r="H5" s="69" t="s">
        <v>710</v>
      </c>
      <c r="I5" s="15" t="s">
        <v>420</v>
      </c>
      <c r="J5" s="280" t="s">
        <v>439</v>
      </c>
      <c r="K5" s="21" t="s">
        <v>33</v>
      </c>
      <c r="L5" s="21"/>
      <c r="M5" s="109">
        <v>45660.0</v>
      </c>
      <c r="N5" s="109">
        <v>45660.0</v>
      </c>
      <c r="O5" s="110" t="s">
        <v>512</v>
      </c>
      <c r="P5" s="111"/>
      <c r="Q5" s="112"/>
      <c r="R5" s="137">
        <f>COUNTIF($D$5:$D$91,D5)</f>
        <v>12</v>
      </c>
      <c r="S5" s="113"/>
      <c r="T5" s="113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>
        <f>12500*6</f>
        <v>75000</v>
      </c>
      <c r="AU5" s="113" t="s">
        <v>128</v>
      </c>
      <c r="AV5" s="113" t="s">
        <v>128</v>
      </c>
      <c r="AW5" s="113"/>
      <c r="AX5" s="113"/>
      <c r="AY5" s="113"/>
      <c r="AZ5" s="116">
        <f t="shared" ref="AZ5:AZ31" si="2">BD5-BC5</f>
        <v>75012</v>
      </c>
      <c r="BA5" s="117">
        <v>0.0</v>
      </c>
      <c r="BB5" s="117">
        <v>0.0</v>
      </c>
      <c r="BC5" s="118">
        <v>0.0</v>
      </c>
      <c r="BD5" s="119">
        <f t="shared" ref="BD5:BD31" si="3">SUM(R5:AX5)</f>
        <v>75012</v>
      </c>
    </row>
    <row r="6" ht="27.0" hidden="1" customHeight="1">
      <c r="A6" s="12">
        <f t="shared" si="1"/>
        <v>2</v>
      </c>
      <c r="B6" s="13" t="s">
        <v>1028</v>
      </c>
      <c r="C6" s="134"/>
      <c r="D6" s="30" t="s">
        <v>194</v>
      </c>
      <c r="E6" s="279" t="s">
        <v>1026</v>
      </c>
      <c r="F6" s="122">
        <v>14547.0</v>
      </c>
      <c r="G6" s="69" t="s">
        <v>711</v>
      </c>
      <c r="H6" s="174" t="s">
        <v>712</v>
      </c>
      <c r="I6" s="15" t="s">
        <v>420</v>
      </c>
      <c r="J6" s="280" t="s">
        <v>511</v>
      </c>
      <c r="K6" s="21" t="s">
        <v>33</v>
      </c>
      <c r="L6" s="21"/>
      <c r="M6" s="109">
        <v>45688.0</v>
      </c>
      <c r="N6" s="109">
        <v>45688.0</v>
      </c>
      <c r="O6" s="110" t="s">
        <v>512</v>
      </c>
      <c r="P6" s="111"/>
      <c r="Q6" s="112"/>
      <c r="S6" s="113"/>
      <c r="T6" s="113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13"/>
      <c r="AK6" s="113"/>
      <c r="AL6" s="113"/>
      <c r="AM6" s="113"/>
      <c r="AN6" s="113"/>
      <c r="AO6" s="113"/>
      <c r="AP6" s="113"/>
      <c r="AQ6" s="113"/>
      <c r="AR6" s="113">
        <f>8333*6</f>
        <v>49998</v>
      </c>
      <c r="AS6" s="113" t="s">
        <v>128</v>
      </c>
      <c r="AT6" s="113" t="s">
        <v>128</v>
      </c>
      <c r="AU6" s="113" t="s">
        <v>128</v>
      </c>
      <c r="AZ6" s="116">
        <f t="shared" si="2"/>
        <v>49998</v>
      </c>
      <c r="BA6" s="117">
        <v>0.0</v>
      </c>
      <c r="BB6" s="117">
        <v>0.0</v>
      </c>
      <c r="BC6" s="118">
        <v>0.0</v>
      </c>
      <c r="BD6" s="119">
        <f t="shared" si="3"/>
        <v>49998</v>
      </c>
    </row>
    <row r="7" ht="27.0" hidden="1" customHeight="1">
      <c r="A7" s="12">
        <f t="shared" si="1"/>
        <v>3</v>
      </c>
      <c r="B7" s="13" t="s">
        <v>1028</v>
      </c>
      <c r="C7" s="134"/>
      <c r="D7" s="30" t="s">
        <v>194</v>
      </c>
      <c r="E7" s="279" t="s">
        <v>1026</v>
      </c>
      <c r="F7" s="122" t="s">
        <v>713</v>
      </c>
      <c r="G7" s="69" t="s">
        <v>714</v>
      </c>
      <c r="H7" s="30" t="s">
        <v>715</v>
      </c>
      <c r="I7" s="15" t="s">
        <v>420</v>
      </c>
      <c r="J7" s="280" t="s">
        <v>421</v>
      </c>
      <c r="K7" s="21" t="s">
        <v>33</v>
      </c>
      <c r="L7" s="21"/>
      <c r="M7" s="109">
        <v>45689.0</v>
      </c>
      <c r="N7" s="109">
        <v>46061.0</v>
      </c>
      <c r="O7" s="110" t="s">
        <v>422</v>
      </c>
      <c r="P7" s="111"/>
      <c r="Q7" s="112"/>
      <c r="S7" s="113"/>
      <c r="T7" s="113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13"/>
      <c r="AK7" s="113"/>
      <c r="AL7" s="113"/>
      <c r="AM7" s="113"/>
      <c r="AN7" s="113"/>
      <c r="AO7" s="113"/>
      <c r="AP7" s="113"/>
      <c r="AQ7" s="113"/>
      <c r="AR7" s="113"/>
      <c r="AS7" s="113">
        <v>150000.0</v>
      </c>
      <c r="AT7" s="114" t="s">
        <v>424</v>
      </c>
      <c r="AU7" s="113"/>
      <c r="AV7" s="113"/>
      <c r="AW7" s="113"/>
      <c r="AX7" s="113"/>
      <c r="AY7" s="113"/>
      <c r="AZ7" s="116">
        <f t="shared" si="2"/>
        <v>150000</v>
      </c>
      <c r="BA7" s="117">
        <v>0.0</v>
      </c>
      <c r="BB7" s="117">
        <v>0.0</v>
      </c>
      <c r="BC7" s="118">
        <v>0.0</v>
      </c>
      <c r="BD7" s="119">
        <f t="shared" si="3"/>
        <v>150000</v>
      </c>
    </row>
    <row r="8" ht="27.0" hidden="1" customHeight="1">
      <c r="A8" s="12">
        <f t="shared" si="1"/>
        <v>4</v>
      </c>
      <c r="B8" s="13" t="s">
        <v>1028</v>
      </c>
      <c r="C8" s="134"/>
      <c r="D8" s="30" t="s">
        <v>194</v>
      </c>
      <c r="E8" s="279" t="s">
        <v>1026</v>
      </c>
      <c r="F8" s="122" t="s">
        <v>716</v>
      </c>
      <c r="G8" s="69" t="s">
        <v>717</v>
      </c>
      <c r="H8" s="30" t="s">
        <v>718</v>
      </c>
      <c r="I8" s="15" t="s">
        <v>420</v>
      </c>
      <c r="J8" s="280" t="s">
        <v>439</v>
      </c>
      <c r="K8" s="21" t="s">
        <v>33</v>
      </c>
      <c r="L8" s="21"/>
      <c r="M8" s="109">
        <v>45693.0</v>
      </c>
      <c r="N8" s="109">
        <v>45886.0</v>
      </c>
      <c r="O8" s="110" t="s">
        <v>512</v>
      </c>
      <c r="P8" s="111"/>
      <c r="Q8" s="112"/>
      <c r="S8" s="113"/>
      <c r="T8" s="113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13"/>
      <c r="AK8" s="113"/>
      <c r="AL8" s="113"/>
      <c r="AM8" s="113"/>
      <c r="AN8" s="113"/>
      <c r="AO8" s="113"/>
      <c r="AP8" s="113"/>
      <c r="AQ8" s="113"/>
      <c r="AR8" s="113"/>
      <c r="AS8" s="113">
        <f>12500*6</f>
        <v>75000</v>
      </c>
      <c r="AT8" s="113" t="s">
        <v>128</v>
      </c>
      <c r="AU8" s="113" t="s">
        <v>128</v>
      </c>
      <c r="AV8" s="113" t="s">
        <v>128</v>
      </c>
      <c r="AW8" s="113" t="s">
        <v>128</v>
      </c>
      <c r="AX8" s="113" t="s">
        <v>128</v>
      </c>
      <c r="AY8" s="113"/>
      <c r="AZ8" s="116">
        <f t="shared" si="2"/>
        <v>75000</v>
      </c>
      <c r="BA8" s="117">
        <v>0.0</v>
      </c>
      <c r="BB8" s="117">
        <v>0.0</v>
      </c>
      <c r="BC8" s="118">
        <v>0.0</v>
      </c>
      <c r="BD8" s="119">
        <f t="shared" si="3"/>
        <v>75000</v>
      </c>
    </row>
    <row r="9" ht="27.0" hidden="1" customHeight="1">
      <c r="A9" s="12">
        <f t="shared" si="1"/>
        <v>5</v>
      </c>
      <c r="B9" s="13" t="s">
        <v>1028</v>
      </c>
      <c r="C9" s="134"/>
      <c r="D9" s="30" t="s">
        <v>194</v>
      </c>
      <c r="E9" s="279" t="s">
        <v>1026</v>
      </c>
      <c r="F9" s="122" t="s">
        <v>719</v>
      </c>
      <c r="G9" s="69" t="s">
        <v>720</v>
      </c>
      <c r="H9" s="30" t="s">
        <v>721</v>
      </c>
      <c r="I9" s="15" t="s">
        <v>420</v>
      </c>
      <c r="J9" s="280" t="s">
        <v>511</v>
      </c>
      <c r="K9" s="21" t="s">
        <v>33</v>
      </c>
      <c r="L9" s="21"/>
      <c r="M9" s="109">
        <v>45849.0</v>
      </c>
      <c r="N9" s="109">
        <v>45879.0</v>
      </c>
      <c r="O9" s="110" t="s">
        <v>512</v>
      </c>
      <c r="P9" s="111"/>
      <c r="Q9" s="112"/>
      <c r="S9" s="113"/>
      <c r="T9" s="113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13"/>
      <c r="AK9" s="113"/>
      <c r="AL9" s="113"/>
      <c r="AM9" s="113"/>
      <c r="AN9" s="113"/>
      <c r="AO9" s="113"/>
      <c r="AP9" s="113"/>
      <c r="AQ9" s="113"/>
      <c r="AR9" s="113"/>
      <c r="AS9" s="113">
        <f>8333*6</f>
        <v>49998</v>
      </c>
      <c r="AT9" s="113" t="s">
        <v>128</v>
      </c>
      <c r="AU9" s="113" t="s">
        <v>128</v>
      </c>
      <c r="AV9" s="113" t="s">
        <v>128</v>
      </c>
      <c r="AW9" s="113" t="s">
        <v>128</v>
      </c>
      <c r="AX9" s="113" t="s">
        <v>128</v>
      </c>
      <c r="AY9" s="113"/>
      <c r="AZ9" s="116">
        <f t="shared" si="2"/>
        <v>49998</v>
      </c>
      <c r="BA9" s="117">
        <v>0.0</v>
      </c>
      <c r="BB9" s="117">
        <v>0.0</v>
      </c>
      <c r="BC9" s="118">
        <v>0.0</v>
      </c>
      <c r="BD9" s="119">
        <f t="shared" si="3"/>
        <v>49998</v>
      </c>
    </row>
    <row r="10" ht="27.0" hidden="1" customHeight="1">
      <c r="A10" s="12">
        <f t="shared" si="1"/>
        <v>6</v>
      </c>
      <c r="B10" s="13" t="s">
        <v>1028</v>
      </c>
      <c r="C10" s="134"/>
      <c r="D10" s="30" t="s">
        <v>194</v>
      </c>
      <c r="E10" s="279" t="s">
        <v>1026</v>
      </c>
      <c r="F10" s="122" t="s">
        <v>722</v>
      </c>
      <c r="G10" s="69" t="s">
        <v>723</v>
      </c>
      <c r="H10" s="30" t="s">
        <v>724</v>
      </c>
      <c r="I10" s="15" t="s">
        <v>420</v>
      </c>
      <c r="J10" s="280" t="s">
        <v>697</v>
      </c>
      <c r="K10" s="21" t="s">
        <v>33</v>
      </c>
      <c r="L10" s="21"/>
      <c r="M10" s="109">
        <v>45720.0</v>
      </c>
      <c r="N10" s="109">
        <v>45810.0</v>
      </c>
      <c r="O10" s="110" t="s">
        <v>512</v>
      </c>
      <c r="P10" s="111"/>
      <c r="Q10" s="112"/>
      <c r="S10" s="113"/>
      <c r="T10" s="113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13"/>
      <c r="AK10" s="113"/>
      <c r="AL10" s="113"/>
      <c r="AM10" s="113"/>
      <c r="AN10" s="113"/>
      <c r="AO10" s="113"/>
      <c r="AP10" s="113"/>
      <c r="AQ10" s="113"/>
      <c r="AR10" s="113"/>
      <c r="AT10" s="113">
        <f>8333*3</f>
        <v>24999</v>
      </c>
      <c r="AU10" s="113" t="s">
        <v>128</v>
      </c>
      <c r="AV10" s="113" t="s">
        <v>128</v>
      </c>
      <c r="AW10" s="113"/>
      <c r="AX10" s="113"/>
      <c r="AY10" s="113"/>
      <c r="AZ10" s="116">
        <f t="shared" si="2"/>
        <v>24999</v>
      </c>
      <c r="BA10" s="117">
        <v>0.0</v>
      </c>
      <c r="BB10" s="117">
        <v>0.0</v>
      </c>
      <c r="BC10" s="118">
        <v>0.0</v>
      </c>
      <c r="BD10" s="119">
        <f t="shared" si="3"/>
        <v>24999</v>
      </c>
    </row>
    <row r="11" ht="27.0" hidden="1" customHeight="1">
      <c r="A11" s="12">
        <f t="shared" si="1"/>
        <v>7</v>
      </c>
      <c r="B11" s="13" t="s">
        <v>1028</v>
      </c>
      <c r="C11" s="134"/>
      <c r="D11" s="30" t="s">
        <v>194</v>
      </c>
      <c r="E11" s="279" t="s">
        <v>1026</v>
      </c>
      <c r="F11" s="122" t="s">
        <v>725</v>
      </c>
      <c r="G11" s="69" t="s">
        <v>726</v>
      </c>
      <c r="H11" s="30" t="s">
        <v>727</v>
      </c>
      <c r="I11" s="15" t="s">
        <v>420</v>
      </c>
      <c r="J11" s="280" t="s">
        <v>421</v>
      </c>
      <c r="K11" s="21" t="s">
        <v>33</v>
      </c>
      <c r="L11" s="21"/>
      <c r="M11" s="109">
        <v>45769.0</v>
      </c>
      <c r="N11" s="109">
        <v>45782.0</v>
      </c>
      <c r="O11" s="110" t="s">
        <v>422</v>
      </c>
      <c r="P11" s="111"/>
      <c r="Q11" s="112"/>
      <c r="S11" s="113"/>
      <c r="T11" s="113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13">
        <v>150000.0</v>
      </c>
      <c r="AK11" s="113"/>
      <c r="AL11" s="113"/>
      <c r="AM11" s="113"/>
      <c r="AN11" s="113"/>
      <c r="AO11" s="113"/>
      <c r="AP11" s="113"/>
      <c r="AQ11" s="113"/>
      <c r="AR11" s="113"/>
      <c r="AT11" s="113"/>
      <c r="AU11" s="113"/>
      <c r="AV11" s="113"/>
      <c r="AW11" s="113"/>
      <c r="AX11" s="113"/>
      <c r="AY11" s="113"/>
      <c r="AZ11" s="116">
        <f t="shared" si="2"/>
        <v>150000</v>
      </c>
      <c r="BA11" s="117">
        <v>0.0</v>
      </c>
      <c r="BB11" s="117">
        <v>0.0</v>
      </c>
      <c r="BC11" s="118">
        <v>0.0</v>
      </c>
      <c r="BD11" s="119">
        <f t="shared" si="3"/>
        <v>150000</v>
      </c>
    </row>
    <row r="12" ht="27.0" hidden="1" customHeight="1">
      <c r="A12" s="12">
        <f t="shared" si="1"/>
        <v>8</v>
      </c>
      <c r="B12" s="13" t="s">
        <v>1028</v>
      </c>
      <c r="C12" s="134"/>
      <c r="D12" s="30" t="s">
        <v>194</v>
      </c>
      <c r="E12" s="279" t="s">
        <v>1026</v>
      </c>
      <c r="F12" s="122" t="s">
        <v>728</v>
      </c>
      <c r="G12" s="69" t="s">
        <v>729</v>
      </c>
      <c r="H12" s="30" t="s">
        <v>730</v>
      </c>
      <c r="I12" s="15" t="s">
        <v>420</v>
      </c>
      <c r="J12" s="280" t="s">
        <v>421</v>
      </c>
      <c r="K12" s="21" t="s">
        <v>33</v>
      </c>
      <c r="L12" s="21"/>
      <c r="M12" s="109">
        <v>45791.0</v>
      </c>
      <c r="N12" s="109">
        <v>45793.0</v>
      </c>
      <c r="O12" s="110" t="s">
        <v>422</v>
      </c>
      <c r="P12" s="111"/>
      <c r="Q12" s="112"/>
      <c r="S12" s="113"/>
      <c r="T12" s="113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13">
        <v>150000.0</v>
      </c>
      <c r="AK12" s="113"/>
      <c r="AL12" s="113"/>
      <c r="AM12" s="113"/>
      <c r="AN12" s="113"/>
      <c r="AO12" s="113"/>
      <c r="AP12" s="113"/>
      <c r="AQ12" s="113"/>
      <c r="AR12" s="113"/>
      <c r="AT12" s="113"/>
      <c r="AU12" s="113"/>
      <c r="AV12" s="113"/>
      <c r="AW12" s="113"/>
      <c r="AX12" s="113"/>
      <c r="AY12" s="113"/>
      <c r="AZ12" s="116">
        <f t="shared" si="2"/>
        <v>150000</v>
      </c>
      <c r="BA12" s="117">
        <v>0.0</v>
      </c>
      <c r="BB12" s="117">
        <v>0.0</v>
      </c>
      <c r="BC12" s="118">
        <v>0.0</v>
      </c>
      <c r="BD12" s="119">
        <f t="shared" si="3"/>
        <v>150000</v>
      </c>
    </row>
    <row r="13" ht="27.0" hidden="1" customHeight="1">
      <c r="A13" s="12">
        <f t="shared" si="1"/>
        <v>9</v>
      </c>
      <c r="B13" s="13" t="s">
        <v>1028</v>
      </c>
      <c r="C13" s="134"/>
      <c r="D13" s="30" t="s">
        <v>194</v>
      </c>
      <c r="E13" s="279" t="s">
        <v>1026</v>
      </c>
      <c r="F13" s="122" t="s">
        <v>731</v>
      </c>
      <c r="G13" s="69" t="s">
        <v>732</v>
      </c>
      <c r="H13" s="30" t="s">
        <v>732</v>
      </c>
      <c r="I13" s="15" t="s">
        <v>420</v>
      </c>
      <c r="J13" s="280" t="s">
        <v>421</v>
      </c>
      <c r="K13" s="21" t="s">
        <v>33</v>
      </c>
      <c r="L13" s="21"/>
      <c r="M13" s="109">
        <v>45796.0</v>
      </c>
      <c r="N13" s="109">
        <v>45808.0</v>
      </c>
      <c r="O13" s="110" t="s">
        <v>422</v>
      </c>
      <c r="P13" s="111"/>
      <c r="Q13" s="112"/>
      <c r="S13" s="113"/>
      <c r="T13" s="113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13">
        <v>150000.0</v>
      </c>
      <c r="AK13" s="113"/>
      <c r="AL13" s="113"/>
      <c r="AM13" s="113"/>
      <c r="AN13" s="113"/>
      <c r="AO13" s="113"/>
      <c r="AP13" s="113"/>
      <c r="AQ13" s="113"/>
      <c r="AR13" s="113"/>
      <c r="AT13" s="113"/>
      <c r="AU13" s="113"/>
      <c r="AV13" s="113"/>
      <c r="AW13" s="113"/>
      <c r="AX13" s="113"/>
      <c r="AY13" s="113"/>
      <c r="AZ13" s="116">
        <f t="shared" si="2"/>
        <v>150000</v>
      </c>
      <c r="BA13" s="117">
        <v>0.0</v>
      </c>
      <c r="BB13" s="117">
        <v>0.0</v>
      </c>
      <c r="BC13" s="118">
        <v>0.0</v>
      </c>
      <c r="BD13" s="119">
        <f t="shared" si="3"/>
        <v>150000</v>
      </c>
    </row>
    <row r="14" ht="27.0" hidden="1" customHeight="1">
      <c r="A14" s="12">
        <f t="shared" si="1"/>
        <v>10</v>
      </c>
      <c r="B14" s="13" t="s">
        <v>1028</v>
      </c>
      <c r="C14" s="134"/>
      <c r="D14" s="30" t="s">
        <v>194</v>
      </c>
      <c r="E14" s="279" t="s">
        <v>1026</v>
      </c>
      <c r="F14" s="122" t="s">
        <v>1029</v>
      </c>
      <c r="G14" s="69" t="s">
        <v>1030</v>
      </c>
      <c r="H14" s="165" t="s">
        <v>1031</v>
      </c>
      <c r="I14" s="15" t="s">
        <v>420</v>
      </c>
      <c r="J14" s="280" t="s">
        <v>439</v>
      </c>
      <c r="K14" s="21" t="s">
        <v>33</v>
      </c>
      <c r="L14" s="21"/>
      <c r="M14" s="109">
        <v>45783.0</v>
      </c>
      <c r="N14" s="109"/>
      <c r="O14" s="110"/>
      <c r="P14" s="111"/>
      <c r="Q14" s="112"/>
      <c r="S14" s="113"/>
      <c r="T14" s="113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13"/>
      <c r="AK14" s="113"/>
      <c r="AL14" s="113"/>
      <c r="AM14" s="113"/>
      <c r="AN14" s="113"/>
      <c r="AO14" s="113"/>
      <c r="AP14" s="113"/>
      <c r="AQ14" s="113"/>
      <c r="AR14" s="113"/>
      <c r="AT14" s="113"/>
      <c r="AU14" s="113"/>
      <c r="AV14" s="113"/>
      <c r="AW14" s="113"/>
      <c r="AX14" s="113"/>
      <c r="AY14" s="113"/>
      <c r="AZ14" s="116">
        <f t="shared" si="2"/>
        <v>0</v>
      </c>
      <c r="BA14" s="117">
        <v>0.0</v>
      </c>
      <c r="BB14" s="117">
        <v>0.0</v>
      </c>
      <c r="BC14" s="118">
        <v>0.0</v>
      </c>
      <c r="BD14" s="119">
        <f t="shared" si="3"/>
        <v>0</v>
      </c>
    </row>
    <row r="15" ht="27.0" hidden="1" customHeight="1">
      <c r="A15" s="12">
        <f t="shared" si="1"/>
        <v>11</v>
      </c>
      <c r="B15" s="13" t="s">
        <v>1028</v>
      </c>
      <c r="C15" s="134"/>
      <c r="D15" s="30" t="s">
        <v>194</v>
      </c>
      <c r="E15" s="279" t="s">
        <v>1026</v>
      </c>
      <c r="F15" s="281">
        <v>15510.0</v>
      </c>
      <c r="G15" s="69" t="s">
        <v>733</v>
      </c>
      <c r="H15" s="30" t="s">
        <v>734</v>
      </c>
      <c r="I15" s="15" t="s">
        <v>420</v>
      </c>
      <c r="J15" s="280" t="s">
        <v>439</v>
      </c>
      <c r="K15" s="21" t="s">
        <v>33</v>
      </c>
      <c r="L15" s="21"/>
      <c r="M15" s="109">
        <v>45797.0</v>
      </c>
      <c r="N15" s="109">
        <v>45809.0</v>
      </c>
      <c r="O15" s="110" t="s">
        <v>512</v>
      </c>
      <c r="P15" s="111"/>
      <c r="Q15" s="112"/>
      <c r="S15" s="113"/>
      <c r="T15" s="113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13"/>
      <c r="AK15" s="113">
        <f>12500*6</f>
        <v>75000</v>
      </c>
      <c r="AL15" s="113"/>
      <c r="AM15" s="113"/>
      <c r="AN15" s="113"/>
      <c r="AO15" s="113"/>
      <c r="AP15" s="113"/>
      <c r="AQ15" s="113"/>
      <c r="AR15" s="113"/>
      <c r="AT15" s="113"/>
      <c r="AU15" s="113"/>
      <c r="AV15" s="113"/>
      <c r="AW15" s="113"/>
      <c r="AX15" s="113"/>
      <c r="AY15" s="113"/>
      <c r="AZ15" s="116">
        <f t="shared" si="2"/>
        <v>75000</v>
      </c>
      <c r="BA15" s="117">
        <v>0.0</v>
      </c>
      <c r="BB15" s="117">
        <v>0.0</v>
      </c>
      <c r="BC15" s="118">
        <v>0.0</v>
      </c>
      <c r="BD15" s="119">
        <f t="shared" si="3"/>
        <v>75000</v>
      </c>
    </row>
    <row r="16" ht="27.0" hidden="1" customHeight="1">
      <c r="A16" s="12">
        <f t="shared" si="1"/>
        <v>12</v>
      </c>
      <c r="B16" s="13" t="s">
        <v>1028</v>
      </c>
      <c r="C16" s="134"/>
      <c r="D16" s="30" t="s">
        <v>194</v>
      </c>
      <c r="E16" s="279" t="s">
        <v>1026</v>
      </c>
      <c r="F16" s="122" t="s">
        <v>735</v>
      </c>
      <c r="G16" s="69" t="s">
        <v>736</v>
      </c>
      <c r="H16" s="30" t="s">
        <v>559</v>
      </c>
      <c r="I16" s="15" t="s">
        <v>420</v>
      </c>
      <c r="J16" s="280" t="s">
        <v>446</v>
      </c>
      <c r="K16" s="21" t="s">
        <v>33</v>
      </c>
      <c r="L16" s="21"/>
      <c r="M16" s="109">
        <v>45792.0</v>
      </c>
      <c r="N16" s="109">
        <v>45794.0</v>
      </c>
      <c r="O16" s="110" t="s">
        <v>422</v>
      </c>
      <c r="P16" s="111"/>
      <c r="Q16" s="112"/>
      <c r="S16" s="113"/>
      <c r="T16" s="113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13">
        <v>100000.0</v>
      </c>
      <c r="AK16" s="113"/>
      <c r="AL16" s="113"/>
      <c r="AM16" s="113"/>
      <c r="AN16" s="113"/>
      <c r="AO16" s="113"/>
      <c r="AP16" s="113"/>
      <c r="AQ16" s="113"/>
      <c r="AR16" s="113"/>
      <c r="AT16" s="113"/>
      <c r="AU16" s="113"/>
      <c r="AV16" s="113"/>
      <c r="AW16" s="113"/>
      <c r="AX16" s="113"/>
      <c r="AY16" s="113"/>
      <c r="AZ16" s="116">
        <f t="shared" si="2"/>
        <v>0</v>
      </c>
      <c r="BA16" s="117">
        <v>0.0</v>
      </c>
      <c r="BB16" s="117">
        <v>0.0</v>
      </c>
      <c r="BC16" s="118">
        <f>sum(AJ16)</f>
        <v>100000</v>
      </c>
      <c r="BD16" s="119">
        <f t="shared" si="3"/>
        <v>100000</v>
      </c>
    </row>
    <row r="17" ht="27.0" hidden="1" customHeight="1">
      <c r="A17" s="12">
        <f t="shared" si="1"/>
        <v>13</v>
      </c>
      <c r="B17" s="13" t="s">
        <v>1028</v>
      </c>
      <c r="C17" s="12">
        <v>1782.0</v>
      </c>
      <c r="D17" s="16" t="s">
        <v>756</v>
      </c>
      <c r="E17" s="16" t="s">
        <v>204</v>
      </c>
      <c r="F17" s="124">
        <v>11304.0</v>
      </c>
      <c r="G17" s="40" t="s">
        <v>757</v>
      </c>
      <c r="H17" s="195" t="s">
        <v>758</v>
      </c>
      <c r="I17" s="15" t="s">
        <v>420</v>
      </c>
      <c r="J17" s="21" t="s">
        <v>446</v>
      </c>
      <c r="K17" s="21" t="s">
        <v>338</v>
      </c>
      <c r="L17" s="21"/>
      <c r="M17" s="109">
        <v>45353.0</v>
      </c>
      <c r="N17" s="109">
        <v>45353.0</v>
      </c>
      <c r="O17" s="110" t="s">
        <v>422</v>
      </c>
      <c r="P17" s="111">
        <v>45615.0</v>
      </c>
      <c r="Q17" s="112"/>
      <c r="R17" s="137">
        <f>COUNTIF($D$5:$D$91,D17)</f>
        <v>8</v>
      </c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4"/>
      <c r="AH17" s="114">
        <v>100000.0</v>
      </c>
      <c r="AI17" s="114" t="s">
        <v>424</v>
      </c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6">
        <f t="shared" si="2"/>
        <v>8</v>
      </c>
      <c r="BA17" s="117">
        <f>SUM(AH17)</f>
        <v>100000</v>
      </c>
      <c r="BB17" s="117">
        <v>0.0</v>
      </c>
      <c r="BC17" s="118">
        <v>100000.0</v>
      </c>
      <c r="BD17" s="119">
        <f t="shared" si="3"/>
        <v>100008</v>
      </c>
    </row>
    <row r="18" ht="27.0" hidden="1" customHeight="1">
      <c r="A18" s="12">
        <f t="shared" si="1"/>
        <v>14</v>
      </c>
      <c r="B18" s="13" t="s">
        <v>1028</v>
      </c>
      <c r="C18" s="12">
        <v>1782.0</v>
      </c>
      <c r="D18" s="16" t="s">
        <v>756</v>
      </c>
      <c r="E18" s="16" t="s">
        <v>204</v>
      </c>
      <c r="F18" s="124">
        <v>11332.0</v>
      </c>
      <c r="G18" s="69" t="s">
        <v>759</v>
      </c>
      <c r="H18" s="195" t="s">
        <v>760</v>
      </c>
      <c r="I18" s="15" t="s">
        <v>420</v>
      </c>
      <c r="J18" s="21" t="s">
        <v>446</v>
      </c>
      <c r="K18" s="21" t="s">
        <v>338</v>
      </c>
      <c r="L18" s="21"/>
      <c r="M18" s="109">
        <v>45324.0</v>
      </c>
      <c r="N18" s="109">
        <v>45324.0</v>
      </c>
      <c r="O18" s="110" t="s">
        <v>422</v>
      </c>
      <c r="P18" s="111">
        <v>45615.0</v>
      </c>
      <c r="Q18" s="112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>
        <v>100000.0</v>
      </c>
      <c r="AH18" s="114" t="s">
        <v>424</v>
      </c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6">
        <f t="shared" si="2"/>
        <v>0</v>
      </c>
      <c r="BA18" s="117">
        <f t="shared" ref="BA18:BA19" si="4">SUM(AG18)</f>
        <v>100000</v>
      </c>
      <c r="BB18" s="117">
        <v>0.0</v>
      </c>
      <c r="BC18" s="118">
        <v>100000.0</v>
      </c>
      <c r="BD18" s="119">
        <f t="shared" si="3"/>
        <v>100000</v>
      </c>
    </row>
    <row r="19" ht="27.0" hidden="1" customHeight="1">
      <c r="A19" s="12">
        <f t="shared" si="1"/>
        <v>15</v>
      </c>
      <c r="B19" s="13" t="s">
        <v>1028</v>
      </c>
      <c r="C19" s="12">
        <v>1782.0</v>
      </c>
      <c r="D19" s="16" t="s">
        <v>756</v>
      </c>
      <c r="E19" s="16" t="s">
        <v>204</v>
      </c>
      <c r="F19" s="124">
        <v>11335.0</v>
      </c>
      <c r="G19" s="40" t="s">
        <v>761</v>
      </c>
      <c r="H19" s="195" t="s">
        <v>762</v>
      </c>
      <c r="I19" s="15" t="s">
        <v>420</v>
      </c>
      <c r="J19" s="21" t="s">
        <v>446</v>
      </c>
      <c r="K19" s="21" t="s">
        <v>338</v>
      </c>
      <c r="L19" s="21"/>
      <c r="M19" s="109">
        <v>45345.0</v>
      </c>
      <c r="N19" s="109">
        <v>45345.0</v>
      </c>
      <c r="O19" s="110" t="s">
        <v>422</v>
      </c>
      <c r="P19" s="111">
        <v>45615.0</v>
      </c>
      <c r="Q19" s="112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>
        <v>100000.0</v>
      </c>
      <c r="AH19" s="114" t="s">
        <v>424</v>
      </c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6">
        <f t="shared" si="2"/>
        <v>0</v>
      </c>
      <c r="BA19" s="117">
        <f t="shared" si="4"/>
        <v>100000</v>
      </c>
      <c r="BB19" s="117">
        <v>0.0</v>
      </c>
      <c r="BC19" s="118">
        <v>100000.0</v>
      </c>
      <c r="BD19" s="119">
        <f t="shared" si="3"/>
        <v>100000</v>
      </c>
    </row>
    <row r="20" ht="27.0" hidden="1" customHeight="1">
      <c r="A20" s="12">
        <f t="shared" si="1"/>
        <v>16</v>
      </c>
      <c r="B20" s="13" t="s">
        <v>1028</v>
      </c>
      <c r="C20" s="12">
        <v>1782.0</v>
      </c>
      <c r="D20" s="16" t="s">
        <v>756</v>
      </c>
      <c r="E20" s="16" t="s">
        <v>204</v>
      </c>
      <c r="F20" s="124">
        <v>12599.0</v>
      </c>
      <c r="G20" s="40" t="s">
        <v>763</v>
      </c>
      <c r="H20" s="195" t="s">
        <v>763</v>
      </c>
      <c r="I20" s="15" t="s">
        <v>420</v>
      </c>
      <c r="J20" s="21" t="s">
        <v>446</v>
      </c>
      <c r="K20" s="21" t="s">
        <v>338</v>
      </c>
      <c r="L20" s="21"/>
      <c r="M20" s="109">
        <v>45481.0</v>
      </c>
      <c r="N20" s="109">
        <v>45481.0</v>
      </c>
      <c r="O20" s="110" t="s">
        <v>422</v>
      </c>
      <c r="P20" s="111">
        <v>45615.0</v>
      </c>
      <c r="Q20" s="112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>
        <v>100000.0</v>
      </c>
      <c r="AM20" s="114" t="s">
        <v>424</v>
      </c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6">
        <f t="shared" si="2"/>
        <v>0</v>
      </c>
      <c r="BA20" s="117">
        <f t="shared" ref="BA20:BA22" si="5">SUM(AL20)</f>
        <v>100000</v>
      </c>
      <c r="BB20" s="117">
        <v>0.0</v>
      </c>
      <c r="BC20" s="118">
        <v>100000.0</v>
      </c>
      <c r="BD20" s="119">
        <f t="shared" si="3"/>
        <v>100000</v>
      </c>
    </row>
    <row r="21" ht="27.0" hidden="1" customHeight="1">
      <c r="A21" s="12">
        <f t="shared" si="1"/>
        <v>17</v>
      </c>
      <c r="B21" s="13" t="s">
        <v>1028</v>
      </c>
      <c r="C21" s="12">
        <v>1782.0</v>
      </c>
      <c r="D21" s="16" t="s">
        <v>756</v>
      </c>
      <c r="E21" s="16" t="s">
        <v>204</v>
      </c>
      <c r="F21" s="124">
        <v>12557.0</v>
      </c>
      <c r="G21" s="40" t="s">
        <v>764</v>
      </c>
      <c r="H21" s="195" t="s">
        <v>765</v>
      </c>
      <c r="I21" s="15" t="s">
        <v>420</v>
      </c>
      <c r="J21" s="21" t="s">
        <v>446</v>
      </c>
      <c r="K21" s="21" t="s">
        <v>338</v>
      </c>
      <c r="L21" s="21"/>
      <c r="M21" s="109">
        <v>45481.0</v>
      </c>
      <c r="N21" s="109">
        <v>45481.0</v>
      </c>
      <c r="O21" s="110" t="s">
        <v>422</v>
      </c>
      <c r="P21" s="111">
        <v>45615.0</v>
      </c>
      <c r="Q21" s="112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>
        <v>100000.0</v>
      </c>
      <c r="AM21" s="114" t="s">
        <v>424</v>
      </c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6">
        <f t="shared" si="2"/>
        <v>0</v>
      </c>
      <c r="BA21" s="117">
        <f t="shared" si="5"/>
        <v>100000</v>
      </c>
      <c r="BB21" s="117">
        <v>0.0</v>
      </c>
      <c r="BC21" s="118">
        <v>100000.0</v>
      </c>
      <c r="BD21" s="119">
        <f t="shared" si="3"/>
        <v>100000</v>
      </c>
    </row>
    <row r="22" ht="27.0" hidden="1" customHeight="1">
      <c r="A22" s="12">
        <f t="shared" si="1"/>
        <v>18</v>
      </c>
      <c r="B22" s="13" t="s">
        <v>1028</v>
      </c>
      <c r="C22" s="12">
        <v>1782.0</v>
      </c>
      <c r="D22" s="16" t="s">
        <v>756</v>
      </c>
      <c r="E22" s="16" t="s">
        <v>204</v>
      </c>
      <c r="F22" s="124">
        <v>12748.0</v>
      </c>
      <c r="G22" s="40" t="s">
        <v>766</v>
      </c>
      <c r="H22" s="195" t="s">
        <v>767</v>
      </c>
      <c r="I22" s="15" t="s">
        <v>420</v>
      </c>
      <c r="J22" s="21" t="s">
        <v>446</v>
      </c>
      <c r="K22" s="21" t="s">
        <v>338</v>
      </c>
      <c r="L22" s="21"/>
      <c r="M22" s="109">
        <v>45484.0</v>
      </c>
      <c r="N22" s="109">
        <v>45484.0</v>
      </c>
      <c r="O22" s="110" t="s">
        <v>422</v>
      </c>
      <c r="P22" s="111">
        <v>45615.0</v>
      </c>
      <c r="Q22" s="112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>
        <v>100000.0</v>
      </c>
      <c r="AM22" s="114" t="s">
        <v>424</v>
      </c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6">
        <f t="shared" si="2"/>
        <v>0</v>
      </c>
      <c r="BA22" s="117">
        <f t="shared" si="5"/>
        <v>100000</v>
      </c>
      <c r="BB22" s="117">
        <v>0.0</v>
      </c>
      <c r="BC22" s="118">
        <v>100000.0</v>
      </c>
      <c r="BD22" s="119">
        <f t="shared" si="3"/>
        <v>100000</v>
      </c>
    </row>
    <row r="23" ht="27.0" hidden="1" customHeight="1">
      <c r="A23" s="12">
        <f t="shared" si="1"/>
        <v>19</v>
      </c>
      <c r="B23" s="13" t="s">
        <v>1028</v>
      </c>
      <c r="C23" s="12">
        <v>1782.0</v>
      </c>
      <c r="D23" s="16" t="s">
        <v>756</v>
      </c>
      <c r="E23" s="16" t="s">
        <v>204</v>
      </c>
      <c r="F23" s="122" t="s">
        <v>768</v>
      </c>
      <c r="G23" s="40" t="s">
        <v>769</v>
      </c>
      <c r="H23" s="195" t="s">
        <v>769</v>
      </c>
      <c r="I23" s="15" t="s">
        <v>420</v>
      </c>
      <c r="J23" s="21" t="s">
        <v>446</v>
      </c>
      <c r="K23" s="21" t="s">
        <v>338</v>
      </c>
      <c r="L23" s="21"/>
      <c r="M23" s="109">
        <v>45589.0</v>
      </c>
      <c r="N23" s="109">
        <v>45589.0</v>
      </c>
      <c r="O23" s="110" t="s">
        <v>422</v>
      </c>
      <c r="P23" s="111">
        <v>45615.0</v>
      </c>
      <c r="Q23" s="112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>
        <v>100000.0</v>
      </c>
      <c r="AP23" s="114" t="s">
        <v>424</v>
      </c>
      <c r="AQ23" s="114"/>
      <c r="AR23" s="114"/>
      <c r="AS23" s="114"/>
      <c r="AT23" s="114"/>
      <c r="AU23" s="114"/>
      <c r="AV23" s="114"/>
      <c r="AW23" s="114"/>
      <c r="AX23" s="114"/>
      <c r="AY23" s="114"/>
      <c r="AZ23" s="116">
        <f t="shared" si="2"/>
        <v>0</v>
      </c>
      <c r="BA23" s="117">
        <f>SUM(AO23)</f>
        <v>100000</v>
      </c>
      <c r="BB23" s="117">
        <v>0.0</v>
      </c>
      <c r="BC23" s="118">
        <v>100000.0</v>
      </c>
      <c r="BD23" s="119">
        <f t="shared" si="3"/>
        <v>100000</v>
      </c>
    </row>
    <row r="24" ht="27.0" hidden="1" customHeight="1">
      <c r="A24" s="12">
        <f t="shared" si="1"/>
        <v>20</v>
      </c>
      <c r="B24" s="13" t="s">
        <v>1028</v>
      </c>
      <c r="C24" s="12">
        <v>1782.0</v>
      </c>
      <c r="D24" s="16" t="s">
        <v>756</v>
      </c>
      <c r="E24" s="16" t="s">
        <v>204</v>
      </c>
      <c r="F24" s="122">
        <v>14006.0</v>
      </c>
      <c r="G24" s="69" t="s">
        <v>770</v>
      </c>
      <c r="H24" s="69" t="s">
        <v>771</v>
      </c>
      <c r="I24" s="15" t="s">
        <v>420</v>
      </c>
      <c r="J24" s="21" t="s">
        <v>446</v>
      </c>
      <c r="K24" s="21" t="s">
        <v>338</v>
      </c>
      <c r="L24" s="21"/>
      <c r="M24" s="109">
        <v>45629.0</v>
      </c>
      <c r="N24" s="109">
        <v>45636.0</v>
      </c>
      <c r="O24" s="110" t="s">
        <v>422</v>
      </c>
      <c r="P24" s="111"/>
      <c r="Q24" s="112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37">
        <v>100000.0</v>
      </c>
      <c r="AR24" s="114" t="s">
        <v>424</v>
      </c>
      <c r="AS24" s="114"/>
      <c r="AT24" s="114"/>
      <c r="AU24" s="114"/>
      <c r="AV24" s="114"/>
      <c r="AW24" s="114"/>
      <c r="AX24" s="114"/>
      <c r="AY24" s="114"/>
      <c r="AZ24" s="116">
        <f t="shared" si="2"/>
        <v>100000</v>
      </c>
      <c r="BA24" s="117">
        <v>0.0</v>
      </c>
      <c r="BB24" s="117">
        <v>0.0</v>
      </c>
      <c r="BC24" s="118">
        <v>0.0</v>
      </c>
      <c r="BD24" s="119">
        <f t="shared" si="3"/>
        <v>100000</v>
      </c>
    </row>
    <row r="25" ht="27.0" hidden="1" customHeight="1">
      <c r="A25" s="12">
        <f t="shared" si="1"/>
        <v>21</v>
      </c>
      <c r="B25" s="13" t="s">
        <v>1028</v>
      </c>
      <c r="C25" s="15">
        <v>6343.0</v>
      </c>
      <c r="D25" s="16" t="s">
        <v>213</v>
      </c>
      <c r="E25" s="16" t="s">
        <v>214</v>
      </c>
      <c r="F25" s="124">
        <v>11295.0</v>
      </c>
      <c r="G25" s="40" t="s">
        <v>777</v>
      </c>
      <c r="H25" s="40" t="s">
        <v>778</v>
      </c>
      <c r="I25" s="15" t="s">
        <v>420</v>
      </c>
      <c r="J25" s="21" t="s">
        <v>443</v>
      </c>
      <c r="K25" s="21" t="s">
        <v>338</v>
      </c>
      <c r="L25" s="21"/>
      <c r="M25" s="109">
        <v>45343.0</v>
      </c>
      <c r="N25" s="109">
        <v>45343.0</v>
      </c>
      <c r="O25" s="110" t="s">
        <v>422</v>
      </c>
      <c r="P25" s="111"/>
      <c r="Q25" s="112"/>
      <c r="R25" s="137">
        <f>COUNTIF($D$5:$D$91,D25)</f>
        <v>10</v>
      </c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>
        <v>8333.0</v>
      </c>
      <c r="AH25" s="113">
        <v>8333.0</v>
      </c>
      <c r="AI25" s="113">
        <v>8333.0</v>
      </c>
      <c r="AJ25" s="113">
        <v>8333.0</v>
      </c>
      <c r="AK25" s="113">
        <v>8333.0</v>
      </c>
      <c r="AL25" s="114" t="s">
        <v>440</v>
      </c>
      <c r="AM25" s="114" t="s">
        <v>440</v>
      </c>
      <c r="AN25" s="114" t="s">
        <v>440</v>
      </c>
      <c r="AO25" s="114" t="s">
        <v>440</v>
      </c>
      <c r="AP25" s="114" t="s">
        <v>440</v>
      </c>
      <c r="AQ25" s="114" t="s">
        <v>440</v>
      </c>
      <c r="AR25" s="114" t="s">
        <v>440</v>
      </c>
      <c r="AS25" s="114" t="s">
        <v>632</v>
      </c>
      <c r="AT25" s="114"/>
      <c r="AU25" s="114"/>
      <c r="AV25" s="114"/>
      <c r="AW25" s="114"/>
      <c r="AX25" s="114"/>
      <c r="AY25" s="114"/>
      <c r="AZ25" s="116">
        <f t="shared" si="2"/>
        <v>33342</v>
      </c>
      <c r="BA25" s="117">
        <v>0.0</v>
      </c>
      <c r="BB25" s="117">
        <v>0.0</v>
      </c>
      <c r="BC25" s="118">
        <f t="shared" ref="BC25:BC26" si="6">AG25</f>
        <v>8333</v>
      </c>
      <c r="BD25" s="119">
        <f t="shared" si="3"/>
        <v>41675</v>
      </c>
    </row>
    <row r="26" ht="27.0" hidden="1" customHeight="1">
      <c r="A26" s="12">
        <f t="shared" si="1"/>
        <v>22</v>
      </c>
      <c r="B26" s="13" t="s">
        <v>1028</v>
      </c>
      <c r="C26" s="15">
        <v>6343.0</v>
      </c>
      <c r="D26" s="16" t="s">
        <v>213</v>
      </c>
      <c r="E26" s="16" t="s">
        <v>214</v>
      </c>
      <c r="F26" s="124">
        <v>11295.0</v>
      </c>
      <c r="G26" s="40" t="s">
        <v>777</v>
      </c>
      <c r="H26" s="40" t="s">
        <v>779</v>
      </c>
      <c r="I26" s="15" t="s">
        <v>420</v>
      </c>
      <c r="J26" s="21" t="s">
        <v>443</v>
      </c>
      <c r="K26" s="21" t="s">
        <v>338</v>
      </c>
      <c r="L26" s="21"/>
      <c r="M26" s="109">
        <v>45343.0</v>
      </c>
      <c r="N26" s="109">
        <v>45343.0</v>
      </c>
      <c r="O26" s="110" t="s">
        <v>422</v>
      </c>
      <c r="P26" s="111"/>
      <c r="Q26" s="112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>
        <v>8333.0</v>
      </c>
      <c r="AH26" s="113">
        <v>8333.0</v>
      </c>
      <c r="AI26" s="113">
        <v>8333.0</v>
      </c>
      <c r="AJ26" s="113">
        <v>8333.0</v>
      </c>
      <c r="AK26" s="113">
        <v>8333.0</v>
      </c>
      <c r="AL26" s="113">
        <v>8333.0</v>
      </c>
      <c r="AM26" s="113">
        <v>8333.0</v>
      </c>
      <c r="AN26" s="113">
        <v>8333.0</v>
      </c>
      <c r="AO26" s="113">
        <v>8333.0</v>
      </c>
      <c r="AP26" s="113">
        <v>8333.0</v>
      </c>
      <c r="AQ26" s="113">
        <v>8333.0</v>
      </c>
      <c r="AR26" s="113">
        <v>8333.0</v>
      </c>
      <c r="AS26" s="114" t="s">
        <v>632</v>
      </c>
      <c r="AT26" s="113"/>
      <c r="AU26" s="113"/>
      <c r="AV26" s="113"/>
      <c r="AW26" s="113"/>
      <c r="AX26" s="113"/>
      <c r="AY26" s="113"/>
      <c r="AZ26" s="116">
        <f t="shared" si="2"/>
        <v>91663</v>
      </c>
      <c r="BA26" s="117">
        <v>0.0</v>
      </c>
      <c r="BB26" s="117">
        <v>0.0</v>
      </c>
      <c r="BC26" s="118">
        <f t="shared" si="6"/>
        <v>8333</v>
      </c>
      <c r="BD26" s="119">
        <f t="shared" si="3"/>
        <v>99996</v>
      </c>
    </row>
    <row r="27" ht="27.0" hidden="1" customHeight="1">
      <c r="A27" s="12">
        <f t="shared" si="1"/>
        <v>23</v>
      </c>
      <c r="B27" s="13" t="s">
        <v>1028</v>
      </c>
      <c r="C27" s="15">
        <v>6343.0</v>
      </c>
      <c r="D27" s="16" t="s">
        <v>213</v>
      </c>
      <c r="E27" s="16" t="s">
        <v>214</v>
      </c>
      <c r="F27" s="124">
        <v>11703.0</v>
      </c>
      <c r="G27" s="40" t="s">
        <v>780</v>
      </c>
      <c r="H27" s="40" t="s">
        <v>780</v>
      </c>
      <c r="I27" s="15" t="s">
        <v>420</v>
      </c>
      <c r="J27" s="21" t="s">
        <v>448</v>
      </c>
      <c r="K27" s="21" t="s">
        <v>338</v>
      </c>
      <c r="L27" s="21"/>
      <c r="M27" s="109">
        <v>45379.0</v>
      </c>
      <c r="N27" s="109">
        <v>45380.0</v>
      </c>
      <c r="O27" s="110" t="s">
        <v>422</v>
      </c>
      <c r="P27" s="111"/>
      <c r="Q27" s="112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3"/>
      <c r="AH27" s="113">
        <v>12500.0</v>
      </c>
      <c r="AI27" s="114" t="s">
        <v>128</v>
      </c>
      <c r="AJ27" s="113">
        <v>12500.0</v>
      </c>
      <c r="AK27" s="113">
        <v>12500.0</v>
      </c>
      <c r="AL27" s="113">
        <v>12500.0</v>
      </c>
      <c r="AM27" s="113">
        <v>12500.0</v>
      </c>
      <c r="AN27" s="113">
        <v>12500.0</v>
      </c>
      <c r="AO27" s="113">
        <v>12500.0</v>
      </c>
      <c r="AP27" s="113">
        <v>12500.0</v>
      </c>
      <c r="AQ27" s="113">
        <v>12500.0</v>
      </c>
      <c r="AR27" s="113">
        <v>12500.0</v>
      </c>
      <c r="AS27" s="113">
        <v>12500.0</v>
      </c>
      <c r="AT27" s="114" t="s">
        <v>632</v>
      </c>
      <c r="AU27" s="114"/>
      <c r="AV27" s="114"/>
      <c r="AW27" s="114"/>
      <c r="AX27" s="114"/>
      <c r="AY27" s="114"/>
      <c r="AZ27" s="116">
        <f t="shared" si="2"/>
        <v>137500</v>
      </c>
      <c r="BA27" s="117">
        <v>0.0</v>
      </c>
      <c r="BB27" s="117">
        <v>0.0</v>
      </c>
      <c r="BC27" s="118">
        <v>0.0</v>
      </c>
      <c r="BD27" s="119">
        <f t="shared" si="3"/>
        <v>137500</v>
      </c>
    </row>
    <row r="28" ht="27.0" hidden="1" customHeight="1">
      <c r="A28" s="12">
        <f t="shared" si="1"/>
        <v>24</v>
      </c>
      <c r="B28" s="13" t="s">
        <v>1028</v>
      </c>
      <c r="C28" s="15">
        <v>6343.0</v>
      </c>
      <c r="D28" s="16" t="s">
        <v>213</v>
      </c>
      <c r="E28" s="16" t="s">
        <v>214</v>
      </c>
      <c r="F28" s="124">
        <v>12109.0</v>
      </c>
      <c r="G28" s="40" t="s">
        <v>781</v>
      </c>
      <c r="H28" s="40" t="s">
        <v>782</v>
      </c>
      <c r="I28" s="15" t="s">
        <v>420</v>
      </c>
      <c r="J28" s="21" t="s">
        <v>448</v>
      </c>
      <c r="K28" s="21" t="s">
        <v>338</v>
      </c>
      <c r="L28" s="21"/>
      <c r="M28" s="109">
        <v>45422.0</v>
      </c>
      <c r="N28" s="109">
        <v>45422.0</v>
      </c>
      <c r="O28" s="110" t="s">
        <v>512</v>
      </c>
      <c r="P28" s="111"/>
      <c r="Q28" s="112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3"/>
      <c r="AH28" s="113"/>
      <c r="AI28" s="113"/>
      <c r="AJ28" s="113">
        <v>12500.0</v>
      </c>
      <c r="AK28" s="114" t="s">
        <v>440</v>
      </c>
      <c r="AL28" s="114" t="s">
        <v>440</v>
      </c>
      <c r="AM28" s="114" t="s">
        <v>440</v>
      </c>
      <c r="AN28" s="114" t="s">
        <v>440</v>
      </c>
      <c r="AO28" s="114" t="s">
        <v>440</v>
      </c>
      <c r="AP28" s="114" t="s">
        <v>440</v>
      </c>
      <c r="AQ28" s="114" t="s">
        <v>440</v>
      </c>
      <c r="AR28" s="114" t="s">
        <v>440</v>
      </c>
      <c r="AS28" s="114" t="s">
        <v>440</v>
      </c>
      <c r="AT28" s="114" t="s">
        <v>440</v>
      </c>
      <c r="AU28" s="137">
        <f>8333*6</f>
        <v>49998</v>
      </c>
      <c r="AV28" s="113" t="s">
        <v>128</v>
      </c>
      <c r="AW28" s="113"/>
      <c r="AX28" s="113"/>
      <c r="AY28" s="113"/>
      <c r="AZ28" s="116">
        <f t="shared" si="2"/>
        <v>62498</v>
      </c>
      <c r="BA28" s="117">
        <v>0.0</v>
      </c>
      <c r="BB28" s="117">
        <v>0.0</v>
      </c>
      <c r="BC28" s="118">
        <v>0.0</v>
      </c>
      <c r="BD28" s="119">
        <f t="shared" si="3"/>
        <v>62498</v>
      </c>
    </row>
    <row r="29" ht="27.0" hidden="1" customHeight="1">
      <c r="A29" s="12">
        <f t="shared" si="1"/>
        <v>25</v>
      </c>
      <c r="B29" s="13" t="s">
        <v>1028</v>
      </c>
      <c r="C29" s="15">
        <v>6343.0</v>
      </c>
      <c r="D29" s="16" t="s">
        <v>213</v>
      </c>
      <c r="E29" s="16" t="s">
        <v>214</v>
      </c>
      <c r="F29" s="122" t="s">
        <v>783</v>
      </c>
      <c r="G29" s="69" t="s">
        <v>784</v>
      </c>
      <c r="H29" s="40" t="s">
        <v>785</v>
      </c>
      <c r="I29" s="15" t="s">
        <v>420</v>
      </c>
      <c r="J29" s="21" t="s">
        <v>421</v>
      </c>
      <c r="K29" s="21" t="s">
        <v>338</v>
      </c>
      <c r="L29" s="21"/>
      <c r="M29" s="109">
        <v>45665.0</v>
      </c>
      <c r="N29" s="109">
        <v>45671.0</v>
      </c>
      <c r="O29" s="110" t="s">
        <v>422</v>
      </c>
      <c r="P29" s="111"/>
      <c r="Q29" s="112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3"/>
      <c r="AH29" s="113"/>
      <c r="AI29" s="113"/>
      <c r="AJ29" s="113"/>
      <c r="AK29" s="114"/>
      <c r="AL29" s="114"/>
      <c r="AM29" s="114"/>
      <c r="AN29" s="114"/>
      <c r="AO29" s="114"/>
      <c r="AP29" s="114"/>
      <c r="AQ29" s="114"/>
      <c r="AR29" s="137">
        <v>150000.0</v>
      </c>
      <c r="AS29" s="114" t="s">
        <v>632</v>
      </c>
      <c r="AT29" s="114"/>
      <c r="AU29" s="114"/>
      <c r="AV29" s="114"/>
      <c r="AW29" s="114"/>
      <c r="AX29" s="114"/>
      <c r="AY29" s="114"/>
      <c r="AZ29" s="116">
        <f t="shared" si="2"/>
        <v>150000</v>
      </c>
      <c r="BA29" s="117">
        <v>0.0</v>
      </c>
      <c r="BB29" s="117">
        <v>0.0</v>
      </c>
      <c r="BC29" s="118">
        <v>0.0</v>
      </c>
      <c r="BD29" s="119">
        <f t="shared" si="3"/>
        <v>150000</v>
      </c>
    </row>
    <row r="30" ht="27.0" hidden="1" customHeight="1">
      <c r="A30" s="12">
        <f t="shared" si="1"/>
        <v>26</v>
      </c>
      <c r="B30" s="13" t="s">
        <v>1028</v>
      </c>
      <c r="C30" s="15">
        <v>6343.0</v>
      </c>
      <c r="D30" s="16" t="s">
        <v>213</v>
      </c>
      <c r="E30" s="16" t="s">
        <v>214</v>
      </c>
      <c r="F30" s="122" t="s">
        <v>786</v>
      </c>
      <c r="G30" s="172" t="s">
        <v>787</v>
      </c>
      <c r="H30" s="40" t="s">
        <v>788</v>
      </c>
      <c r="I30" s="15" t="s">
        <v>420</v>
      </c>
      <c r="J30" s="21" t="s">
        <v>421</v>
      </c>
      <c r="K30" s="21" t="s">
        <v>338</v>
      </c>
      <c r="L30" s="21"/>
      <c r="M30" s="109">
        <v>45692.0</v>
      </c>
      <c r="N30" s="109">
        <v>45693.0</v>
      </c>
      <c r="O30" s="110" t="s">
        <v>422</v>
      </c>
      <c r="P30" s="111"/>
      <c r="Q30" s="112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3"/>
      <c r="AH30" s="113"/>
      <c r="AI30" s="113"/>
      <c r="AJ30" s="113"/>
      <c r="AK30" s="114"/>
      <c r="AL30" s="114"/>
      <c r="AM30" s="114"/>
      <c r="AN30" s="114"/>
      <c r="AO30" s="114"/>
      <c r="AP30" s="114"/>
      <c r="AQ30" s="114"/>
      <c r="AR30" s="114"/>
      <c r="AS30" s="137">
        <v>150000.0</v>
      </c>
      <c r="AT30" s="114" t="s">
        <v>632</v>
      </c>
      <c r="AU30" s="114"/>
      <c r="AV30" s="114"/>
      <c r="AW30" s="114"/>
      <c r="AX30" s="114"/>
      <c r="AY30" s="114"/>
      <c r="AZ30" s="116">
        <f t="shared" si="2"/>
        <v>150000</v>
      </c>
      <c r="BA30" s="117">
        <v>0.0</v>
      </c>
      <c r="BB30" s="117">
        <v>0.0</v>
      </c>
      <c r="BC30" s="118">
        <v>0.0</v>
      </c>
      <c r="BD30" s="119">
        <f t="shared" si="3"/>
        <v>150000</v>
      </c>
    </row>
    <row r="31" ht="27.0" hidden="1" customHeight="1">
      <c r="A31" s="12">
        <f t="shared" si="1"/>
        <v>27</v>
      </c>
      <c r="B31" s="13" t="s">
        <v>1028</v>
      </c>
      <c r="C31" s="15">
        <v>6343.0</v>
      </c>
      <c r="D31" s="16" t="s">
        <v>213</v>
      </c>
      <c r="E31" s="16" t="s">
        <v>214</v>
      </c>
      <c r="F31" s="122">
        <v>14660.0</v>
      </c>
      <c r="G31" s="40" t="s">
        <v>789</v>
      </c>
      <c r="H31" s="197" t="s">
        <v>790</v>
      </c>
      <c r="I31" s="15" t="s">
        <v>420</v>
      </c>
      <c r="J31" s="21" t="s">
        <v>421</v>
      </c>
      <c r="K31" s="21" t="s">
        <v>338</v>
      </c>
      <c r="L31" s="21"/>
      <c r="M31" s="109">
        <v>45712.0</v>
      </c>
      <c r="N31" s="109">
        <v>45712.0</v>
      </c>
      <c r="O31" s="110" t="s">
        <v>422</v>
      </c>
      <c r="P31" s="111"/>
      <c r="Q31" s="112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3"/>
      <c r="AH31" s="113"/>
      <c r="AI31" s="113"/>
      <c r="AJ31" s="113"/>
      <c r="AK31" s="114"/>
      <c r="AL31" s="114"/>
      <c r="AM31" s="114"/>
      <c r="AN31" s="114"/>
      <c r="AO31" s="114"/>
      <c r="AP31" s="114"/>
      <c r="AQ31" s="114"/>
      <c r="AR31" s="114"/>
      <c r="AS31" s="137">
        <v>150000.0</v>
      </c>
      <c r="AT31" s="114" t="s">
        <v>632</v>
      </c>
      <c r="AU31" s="114"/>
      <c r="AV31" s="114"/>
      <c r="AW31" s="114"/>
      <c r="AX31" s="114"/>
      <c r="AY31" s="114"/>
      <c r="AZ31" s="116">
        <f t="shared" si="2"/>
        <v>150000</v>
      </c>
      <c r="BA31" s="117">
        <v>0.0</v>
      </c>
      <c r="BB31" s="117">
        <v>0.0</v>
      </c>
      <c r="BC31" s="118">
        <v>0.0</v>
      </c>
      <c r="BD31" s="119">
        <f t="shared" si="3"/>
        <v>150000</v>
      </c>
    </row>
    <row r="32" ht="27.0" hidden="1" customHeight="1">
      <c r="A32" s="12">
        <f t="shared" si="1"/>
        <v>28</v>
      </c>
      <c r="B32" s="71" t="s">
        <v>1028</v>
      </c>
      <c r="C32" s="15">
        <v>6343.0</v>
      </c>
      <c r="D32" s="30" t="s">
        <v>213</v>
      </c>
      <c r="E32" s="30" t="s">
        <v>214</v>
      </c>
      <c r="F32" s="25" t="s">
        <v>791</v>
      </c>
      <c r="G32" s="150" t="s">
        <v>792</v>
      </c>
      <c r="H32" s="53" t="s">
        <v>793</v>
      </c>
      <c r="I32" s="15" t="s">
        <v>420</v>
      </c>
      <c r="J32" s="21" t="s">
        <v>439</v>
      </c>
      <c r="K32" s="21" t="s">
        <v>338</v>
      </c>
      <c r="L32" s="21"/>
      <c r="M32" s="109"/>
      <c r="N32" s="109"/>
      <c r="O32" s="110"/>
      <c r="P32" s="111"/>
      <c r="Q32" s="112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3"/>
      <c r="AH32" s="113"/>
      <c r="AI32" s="113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282"/>
      <c r="BA32" s="117"/>
      <c r="BB32" s="117"/>
      <c r="BC32" s="118"/>
      <c r="BD32" s="119"/>
    </row>
    <row r="33" ht="27.0" hidden="1" customHeight="1">
      <c r="A33" s="12">
        <f t="shared" si="1"/>
        <v>29</v>
      </c>
      <c r="B33" s="71" t="s">
        <v>1028</v>
      </c>
      <c r="C33" s="15">
        <v>6343.0</v>
      </c>
      <c r="D33" s="30" t="s">
        <v>213</v>
      </c>
      <c r="E33" s="30" t="s">
        <v>214</v>
      </c>
      <c r="F33" s="25" t="s">
        <v>794</v>
      </c>
      <c r="G33" s="150" t="s">
        <v>795</v>
      </c>
      <c r="H33" s="53" t="s">
        <v>796</v>
      </c>
      <c r="I33" s="15" t="s">
        <v>420</v>
      </c>
      <c r="J33" s="21" t="s">
        <v>421</v>
      </c>
      <c r="K33" s="21" t="s">
        <v>338</v>
      </c>
      <c r="L33" s="21"/>
      <c r="M33" s="109"/>
      <c r="N33" s="109"/>
      <c r="O33" s="110"/>
      <c r="P33" s="111"/>
      <c r="Q33" s="112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3"/>
      <c r="AH33" s="113"/>
      <c r="AI33" s="113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282"/>
      <c r="BA33" s="117"/>
      <c r="BB33" s="117"/>
      <c r="BC33" s="118"/>
      <c r="BD33" s="119"/>
    </row>
    <row r="34" ht="27.0" hidden="1" customHeight="1">
      <c r="A34" s="12">
        <f t="shared" si="1"/>
        <v>30</v>
      </c>
      <c r="B34" s="71" t="s">
        <v>1028</v>
      </c>
      <c r="C34" s="15">
        <v>6343.0</v>
      </c>
      <c r="D34" s="30" t="s">
        <v>213</v>
      </c>
      <c r="E34" s="30" t="s">
        <v>214</v>
      </c>
      <c r="F34" s="25" t="s">
        <v>797</v>
      </c>
      <c r="G34" s="150" t="s">
        <v>798</v>
      </c>
      <c r="H34" s="150" t="s">
        <v>799</v>
      </c>
      <c r="I34" s="15" t="s">
        <v>420</v>
      </c>
      <c r="J34" s="21" t="s">
        <v>439</v>
      </c>
      <c r="K34" s="21" t="s">
        <v>338</v>
      </c>
      <c r="L34" s="21"/>
      <c r="M34" s="109"/>
      <c r="N34" s="109"/>
      <c r="O34" s="110"/>
      <c r="P34" s="111"/>
      <c r="Q34" s="112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3"/>
      <c r="AH34" s="113"/>
      <c r="AI34" s="113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282"/>
      <c r="BA34" s="117"/>
      <c r="BB34" s="117"/>
      <c r="BC34" s="118"/>
      <c r="BD34" s="119"/>
    </row>
    <row r="35" ht="27.0" customHeight="1">
      <c r="A35" s="12">
        <f t="shared" si="1"/>
        <v>31</v>
      </c>
      <c r="B35" s="71" t="s">
        <v>1028</v>
      </c>
      <c r="C35" s="15">
        <v>989.0</v>
      </c>
      <c r="D35" s="16" t="s">
        <v>219</v>
      </c>
      <c r="E35" s="16" t="s">
        <v>220</v>
      </c>
      <c r="F35" s="124">
        <v>11954.0</v>
      </c>
      <c r="G35" s="40" t="s">
        <v>807</v>
      </c>
      <c r="H35" s="40" t="s">
        <v>808</v>
      </c>
      <c r="I35" s="15" t="s">
        <v>432</v>
      </c>
      <c r="J35" s="21" t="s">
        <v>421</v>
      </c>
      <c r="K35" s="21" t="s">
        <v>338</v>
      </c>
      <c r="L35" s="21"/>
      <c r="M35" s="109">
        <v>45422.0</v>
      </c>
      <c r="N35" s="109">
        <v>45422.0</v>
      </c>
      <c r="O35" s="110" t="s">
        <v>422</v>
      </c>
      <c r="P35" s="111">
        <v>45768.0</v>
      </c>
      <c r="Q35" s="112"/>
      <c r="R35" s="137">
        <f>COUNTIF($D$5:$D$91,D35)</f>
        <v>5</v>
      </c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3"/>
      <c r="AH35" s="113"/>
      <c r="AI35" s="113"/>
      <c r="AJ35" s="114">
        <v>181720.0</v>
      </c>
      <c r="AK35" s="114" t="s">
        <v>424</v>
      </c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6">
        <f t="shared" ref="AZ35:AZ57" si="7">BD35-BC35</f>
        <v>5</v>
      </c>
      <c r="BA35" s="117">
        <v>181720.0</v>
      </c>
      <c r="BB35" s="117">
        <v>0.0</v>
      </c>
      <c r="BC35" s="118">
        <f t="shared" ref="BC35:BC39" si="8">sum(AJ35:AU35)</f>
        <v>181720</v>
      </c>
      <c r="BD35" s="119">
        <f t="shared" ref="BD35:BD57" si="9">SUM(R35:AX35)</f>
        <v>181725</v>
      </c>
    </row>
    <row r="36" ht="27.0" hidden="1" customHeight="1">
      <c r="A36" s="12">
        <f t="shared" si="1"/>
        <v>32</v>
      </c>
      <c r="B36" s="71" t="s">
        <v>1028</v>
      </c>
      <c r="C36" s="15">
        <v>989.0</v>
      </c>
      <c r="D36" s="16" t="s">
        <v>219</v>
      </c>
      <c r="E36" s="16" t="s">
        <v>220</v>
      </c>
      <c r="F36" s="122" t="s">
        <v>809</v>
      </c>
      <c r="G36" s="40" t="s">
        <v>810</v>
      </c>
      <c r="H36" s="40" t="s">
        <v>811</v>
      </c>
      <c r="I36" s="15" t="s">
        <v>420</v>
      </c>
      <c r="J36" s="21" t="s">
        <v>421</v>
      </c>
      <c r="K36" s="21" t="s">
        <v>338</v>
      </c>
      <c r="L36" s="21"/>
      <c r="M36" s="109">
        <v>45534.0</v>
      </c>
      <c r="N36" s="109">
        <v>45540.0</v>
      </c>
      <c r="O36" s="110" t="s">
        <v>422</v>
      </c>
      <c r="P36" s="111">
        <v>45768.0</v>
      </c>
      <c r="Q36" s="112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3"/>
      <c r="AH36" s="113"/>
      <c r="AI36" s="113"/>
      <c r="AJ36" s="114"/>
      <c r="AK36" s="114"/>
      <c r="AL36" s="114"/>
      <c r="AM36" s="114">
        <v>150000.0</v>
      </c>
      <c r="AN36" s="114" t="s">
        <v>424</v>
      </c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6">
        <f t="shared" si="7"/>
        <v>0</v>
      </c>
      <c r="BA36" s="117">
        <v>150000.0</v>
      </c>
      <c r="BB36" s="117">
        <v>0.0</v>
      </c>
      <c r="BC36" s="118">
        <f t="shared" si="8"/>
        <v>150000</v>
      </c>
      <c r="BD36" s="119">
        <f t="shared" si="9"/>
        <v>150000</v>
      </c>
    </row>
    <row r="37" ht="27.0" hidden="1" customHeight="1">
      <c r="A37" s="12">
        <f t="shared" si="1"/>
        <v>33</v>
      </c>
      <c r="B37" s="71" t="s">
        <v>1028</v>
      </c>
      <c r="C37" s="15">
        <v>989.0</v>
      </c>
      <c r="D37" s="16" t="s">
        <v>219</v>
      </c>
      <c r="E37" s="16" t="s">
        <v>220</v>
      </c>
      <c r="F37" s="122">
        <v>13503.0</v>
      </c>
      <c r="G37" s="40" t="s">
        <v>812</v>
      </c>
      <c r="H37" s="40" t="s">
        <v>813</v>
      </c>
      <c r="I37" s="15" t="s">
        <v>420</v>
      </c>
      <c r="J37" s="21" t="s">
        <v>439</v>
      </c>
      <c r="K37" s="21" t="s">
        <v>338</v>
      </c>
      <c r="L37" s="21"/>
      <c r="M37" s="109">
        <v>45574.0</v>
      </c>
      <c r="N37" s="109">
        <v>45574.0</v>
      </c>
      <c r="O37" s="110" t="s">
        <v>422</v>
      </c>
      <c r="P37" s="111">
        <v>45768.0</v>
      </c>
      <c r="Q37" s="112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3"/>
      <c r="AH37" s="113"/>
      <c r="AI37" s="113"/>
      <c r="AJ37" s="114"/>
      <c r="AK37" s="114"/>
      <c r="AL37" s="114"/>
      <c r="AM37" s="114"/>
      <c r="AN37" s="114"/>
      <c r="AO37" s="114">
        <f>12500*6</f>
        <v>75000</v>
      </c>
      <c r="AP37" s="114" t="s">
        <v>128</v>
      </c>
      <c r="AQ37" s="114" t="s">
        <v>128</v>
      </c>
      <c r="AR37" s="114" t="s">
        <v>128</v>
      </c>
      <c r="AS37" s="114" t="s">
        <v>128</v>
      </c>
      <c r="AT37" s="114">
        <f>12500*6</f>
        <v>75000</v>
      </c>
      <c r="AU37" s="114" t="s">
        <v>632</v>
      </c>
      <c r="AV37" s="114"/>
      <c r="AW37" s="114"/>
      <c r="AX37" s="114"/>
      <c r="AY37" s="114"/>
      <c r="AZ37" s="116">
        <f t="shared" si="7"/>
        <v>0</v>
      </c>
      <c r="BA37" s="117">
        <v>150000.0</v>
      </c>
      <c r="BB37" s="117">
        <v>0.0</v>
      </c>
      <c r="BC37" s="118">
        <f t="shared" si="8"/>
        <v>150000</v>
      </c>
      <c r="BD37" s="119">
        <f t="shared" si="9"/>
        <v>150000</v>
      </c>
    </row>
    <row r="38" ht="27.0" customHeight="1">
      <c r="A38" s="12">
        <f t="shared" si="1"/>
        <v>34</v>
      </c>
      <c r="B38" s="71" t="s">
        <v>1028</v>
      </c>
      <c r="C38" s="15">
        <v>989.0</v>
      </c>
      <c r="D38" s="16" t="s">
        <v>219</v>
      </c>
      <c r="E38" s="16" t="s">
        <v>220</v>
      </c>
      <c r="F38" s="122">
        <v>13940.0</v>
      </c>
      <c r="G38" s="40" t="s">
        <v>814</v>
      </c>
      <c r="H38" s="40" t="s">
        <v>815</v>
      </c>
      <c r="I38" s="15" t="s">
        <v>432</v>
      </c>
      <c r="J38" s="21" t="s">
        <v>421</v>
      </c>
      <c r="K38" s="21" t="s">
        <v>338</v>
      </c>
      <c r="L38" s="21"/>
      <c r="M38" s="109">
        <v>45636.0</v>
      </c>
      <c r="N38" s="109">
        <v>45636.0</v>
      </c>
      <c r="O38" s="110" t="s">
        <v>422</v>
      </c>
      <c r="P38" s="111">
        <v>45768.0</v>
      </c>
      <c r="Q38" s="112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3"/>
      <c r="AG38" s="113"/>
      <c r="AH38" s="113"/>
      <c r="AI38" s="113"/>
      <c r="AJ38" s="114"/>
      <c r="AK38" s="114"/>
      <c r="AL38" s="114"/>
      <c r="AM38" s="114"/>
      <c r="AN38" s="114"/>
      <c r="AO38" s="114"/>
      <c r="AP38" s="114"/>
      <c r="AQ38" s="114">
        <v>181720.0</v>
      </c>
      <c r="AR38" s="114" t="s">
        <v>424</v>
      </c>
      <c r="AS38" s="114"/>
      <c r="AT38" s="114"/>
      <c r="AU38" s="114"/>
      <c r="AV38" s="114"/>
      <c r="AW38" s="114"/>
      <c r="AX38" s="114"/>
      <c r="AY38" s="114"/>
      <c r="AZ38" s="116">
        <f t="shared" si="7"/>
        <v>0</v>
      </c>
      <c r="BA38" s="117">
        <v>181720.0</v>
      </c>
      <c r="BB38" s="117">
        <v>0.0</v>
      </c>
      <c r="BC38" s="118">
        <f t="shared" si="8"/>
        <v>181720</v>
      </c>
      <c r="BD38" s="119">
        <f t="shared" si="9"/>
        <v>181720</v>
      </c>
    </row>
    <row r="39" ht="27.0" hidden="1" customHeight="1">
      <c r="A39" s="12">
        <f t="shared" si="1"/>
        <v>35</v>
      </c>
      <c r="B39" s="71" t="s">
        <v>1028</v>
      </c>
      <c r="C39" s="15">
        <v>989.0</v>
      </c>
      <c r="D39" s="16" t="s">
        <v>219</v>
      </c>
      <c r="E39" s="16" t="s">
        <v>220</v>
      </c>
      <c r="F39" s="122">
        <v>14570.0</v>
      </c>
      <c r="G39" s="69" t="s">
        <v>816</v>
      </c>
      <c r="H39" s="155" t="s">
        <v>817</v>
      </c>
      <c r="I39" s="15" t="s">
        <v>420</v>
      </c>
      <c r="J39" s="21" t="s">
        <v>421</v>
      </c>
      <c r="K39" s="21" t="s">
        <v>338</v>
      </c>
      <c r="L39" s="21"/>
      <c r="M39" s="109">
        <v>45692.0</v>
      </c>
      <c r="N39" s="109">
        <v>45694.0</v>
      </c>
      <c r="O39" s="110" t="s">
        <v>422</v>
      </c>
      <c r="P39" s="111">
        <v>45768.0</v>
      </c>
      <c r="Q39" s="112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3"/>
      <c r="AG39" s="113"/>
      <c r="AH39" s="113"/>
      <c r="AI39" s="113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>
        <v>150000.0</v>
      </c>
      <c r="AT39" s="114" t="s">
        <v>632</v>
      </c>
      <c r="AU39" s="114"/>
      <c r="AV39" s="114"/>
      <c r="AW39" s="114"/>
      <c r="AX39" s="114"/>
      <c r="AY39" s="114"/>
      <c r="AZ39" s="116">
        <f t="shared" si="7"/>
        <v>0</v>
      </c>
      <c r="BA39" s="117">
        <v>150000.0</v>
      </c>
      <c r="BB39" s="117">
        <v>0.0</v>
      </c>
      <c r="BC39" s="118">
        <f t="shared" si="8"/>
        <v>150000</v>
      </c>
      <c r="BD39" s="119">
        <f t="shared" si="9"/>
        <v>150000</v>
      </c>
    </row>
    <row r="40" ht="27.0" hidden="1" customHeight="1">
      <c r="A40" s="12">
        <f t="shared" si="1"/>
        <v>36</v>
      </c>
      <c r="B40" s="13" t="s">
        <v>1028</v>
      </c>
      <c r="C40" s="15"/>
      <c r="D40" s="16" t="s">
        <v>227</v>
      </c>
      <c r="E40" s="16" t="s">
        <v>1032</v>
      </c>
      <c r="F40" s="124">
        <v>9080.0</v>
      </c>
      <c r="G40" s="30" t="s">
        <v>830</v>
      </c>
      <c r="H40" s="30" t="s">
        <v>831</v>
      </c>
      <c r="I40" s="15" t="s">
        <v>420</v>
      </c>
      <c r="J40" s="21" t="s">
        <v>443</v>
      </c>
      <c r="K40" s="21" t="s">
        <v>338</v>
      </c>
      <c r="L40" s="21"/>
      <c r="M40" s="109">
        <v>45082.0</v>
      </c>
      <c r="N40" s="109">
        <v>45417.0</v>
      </c>
      <c r="O40" s="110" t="s">
        <v>422</v>
      </c>
      <c r="P40" s="111"/>
      <c r="Q40" s="112"/>
      <c r="R40" s="283">
        <f t="shared" ref="R40:R41" si="10">COUNTIF($D$5:$D$91,D40)</f>
        <v>1</v>
      </c>
      <c r="S40" s="206"/>
      <c r="T40" s="206"/>
      <c r="U40" s="206"/>
      <c r="V40" s="206"/>
      <c r="W40" s="206"/>
      <c r="X40" s="206"/>
      <c r="Y40" s="113">
        <v>8333.0</v>
      </c>
      <c r="Z40" s="113">
        <v>8333.0</v>
      </c>
      <c r="AA40" s="113">
        <v>8333.0</v>
      </c>
      <c r="AB40" s="113">
        <v>8333.0</v>
      </c>
      <c r="AC40" s="113">
        <v>8333.0</v>
      </c>
      <c r="AD40" s="113">
        <v>8333.0</v>
      </c>
      <c r="AE40" s="113">
        <v>8333.0</v>
      </c>
      <c r="AF40" s="113">
        <v>8333.0</v>
      </c>
      <c r="AG40" s="113">
        <v>8333.0</v>
      </c>
      <c r="AH40" s="113">
        <v>8333.0</v>
      </c>
      <c r="AI40" s="113">
        <v>8333.0</v>
      </c>
      <c r="AJ40" s="113">
        <v>8333.0</v>
      </c>
      <c r="AK40" s="114" t="s">
        <v>424</v>
      </c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16">
        <f t="shared" si="7"/>
        <v>99997</v>
      </c>
      <c r="BA40" s="117">
        <v>0.0</v>
      </c>
      <c r="BB40" s="117">
        <v>0.0</v>
      </c>
      <c r="BC40" s="118">
        <v>0.0</v>
      </c>
      <c r="BD40" s="119">
        <f t="shared" si="9"/>
        <v>99997</v>
      </c>
    </row>
    <row r="41" ht="27.0" hidden="1" customHeight="1">
      <c r="A41" s="12">
        <f t="shared" si="1"/>
        <v>37</v>
      </c>
      <c r="B41" s="13" t="s">
        <v>1028</v>
      </c>
      <c r="C41" s="15">
        <v>6509.0</v>
      </c>
      <c r="D41" s="51" t="s">
        <v>836</v>
      </c>
      <c r="E41" s="284" t="s">
        <v>837</v>
      </c>
      <c r="F41" s="124">
        <v>9074.0</v>
      </c>
      <c r="G41" s="30" t="s">
        <v>838</v>
      </c>
      <c r="H41" s="30" t="s">
        <v>839</v>
      </c>
      <c r="I41" s="15" t="s">
        <v>420</v>
      </c>
      <c r="J41" s="21" t="s">
        <v>421</v>
      </c>
      <c r="K41" s="21" t="s">
        <v>338</v>
      </c>
      <c r="L41" s="21"/>
      <c r="M41" s="109">
        <v>45072.0</v>
      </c>
      <c r="N41" s="109">
        <v>45429.0</v>
      </c>
      <c r="O41" s="110" t="s">
        <v>422</v>
      </c>
      <c r="P41" s="111"/>
      <c r="Q41" s="112"/>
      <c r="R41" s="137">
        <f t="shared" si="10"/>
        <v>6</v>
      </c>
      <c r="S41" s="114"/>
      <c r="T41" s="114"/>
      <c r="U41" s="114"/>
      <c r="V41" s="114"/>
      <c r="W41" s="114"/>
      <c r="X41" s="137">
        <v>150000.0</v>
      </c>
      <c r="Y41" s="114" t="s">
        <v>424</v>
      </c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6">
        <f t="shared" si="7"/>
        <v>150006</v>
      </c>
      <c r="BA41" s="117">
        <v>0.0</v>
      </c>
      <c r="BB41" s="117">
        <v>0.0</v>
      </c>
      <c r="BC41" s="118">
        <v>0.0</v>
      </c>
      <c r="BD41" s="119">
        <f t="shared" si="9"/>
        <v>150006</v>
      </c>
    </row>
    <row r="42" ht="27.0" hidden="1" customHeight="1">
      <c r="A42" s="12">
        <f t="shared" si="1"/>
        <v>38</v>
      </c>
      <c r="B42" s="13" t="s">
        <v>1028</v>
      </c>
      <c r="C42" s="15">
        <v>6509.0</v>
      </c>
      <c r="D42" s="51" t="s">
        <v>836</v>
      </c>
      <c r="E42" s="284" t="s">
        <v>837</v>
      </c>
      <c r="F42" s="124">
        <v>9815.0</v>
      </c>
      <c r="G42" s="30" t="s">
        <v>840</v>
      </c>
      <c r="H42" s="30" t="s">
        <v>841</v>
      </c>
      <c r="I42" s="15" t="s">
        <v>420</v>
      </c>
      <c r="J42" s="21" t="s">
        <v>448</v>
      </c>
      <c r="K42" s="21" t="s">
        <v>338</v>
      </c>
      <c r="L42" s="21"/>
      <c r="M42" s="109">
        <v>45161.0</v>
      </c>
      <c r="N42" s="109">
        <v>45463.0</v>
      </c>
      <c r="O42" s="110" t="s">
        <v>422</v>
      </c>
      <c r="P42" s="111"/>
      <c r="Q42" s="112"/>
      <c r="S42" s="114"/>
      <c r="T42" s="114"/>
      <c r="U42" s="114"/>
      <c r="V42" s="114"/>
      <c r="W42" s="114"/>
      <c r="X42" s="114"/>
      <c r="Y42" s="114"/>
      <c r="Z42" s="114"/>
      <c r="AA42" s="113">
        <v>12500.0</v>
      </c>
      <c r="AB42" s="113">
        <v>12500.0</v>
      </c>
      <c r="AC42" s="113">
        <v>12500.0</v>
      </c>
      <c r="AD42" s="113">
        <v>12500.0</v>
      </c>
      <c r="AE42" s="113">
        <v>12500.0</v>
      </c>
      <c r="AF42" s="113">
        <v>12500.0</v>
      </c>
      <c r="AG42" s="113">
        <v>12500.0</v>
      </c>
      <c r="AH42" s="113">
        <v>12500.0</v>
      </c>
      <c r="AI42" s="113">
        <v>12500.0</v>
      </c>
      <c r="AJ42" s="113">
        <v>12500.0</v>
      </c>
      <c r="AK42" s="113">
        <v>12500.0</v>
      </c>
      <c r="AL42" s="113">
        <v>12500.0</v>
      </c>
      <c r="AM42" s="114" t="s">
        <v>424</v>
      </c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  <c r="AX42" s="113"/>
      <c r="AY42" s="113"/>
      <c r="AZ42" s="116">
        <f t="shared" si="7"/>
        <v>150000</v>
      </c>
      <c r="BA42" s="117">
        <v>0.0</v>
      </c>
      <c r="BB42" s="117">
        <v>0.0</v>
      </c>
      <c r="BC42" s="118">
        <v>0.0</v>
      </c>
      <c r="BD42" s="119">
        <f t="shared" si="9"/>
        <v>150000</v>
      </c>
    </row>
    <row r="43" ht="27.0" hidden="1" customHeight="1">
      <c r="A43" s="12">
        <f t="shared" si="1"/>
        <v>39</v>
      </c>
      <c r="B43" s="13" t="s">
        <v>1028</v>
      </c>
      <c r="C43" s="15">
        <v>6509.0</v>
      </c>
      <c r="D43" s="51" t="s">
        <v>836</v>
      </c>
      <c r="E43" s="284" t="s">
        <v>837</v>
      </c>
      <c r="F43" s="124">
        <v>9815.0</v>
      </c>
      <c r="G43" s="30" t="s">
        <v>840</v>
      </c>
      <c r="H43" s="30" t="s">
        <v>842</v>
      </c>
      <c r="I43" s="15" t="s">
        <v>420</v>
      </c>
      <c r="J43" s="21" t="s">
        <v>448</v>
      </c>
      <c r="K43" s="21" t="s">
        <v>338</v>
      </c>
      <c r="L43" s="21"/>
      <c r="M43" s="109">
        <v>45161.0</v>
      </c>
      <c r="N43" s="109">
        <v>45463.0</v>
      </c>
      <c r="O43" s="110" t="s">
        <v>422</v>
      </c>
      <c r="P43" s="111"/>
      <c r="Q43" s="112"/>
      <c r="S43" s="114"/>
      <c r="T43" s="114"/>
      <c r="U43" s="114"/>
      <c r="V43" s="114"/>
      <c r="W43" s="114"/>
      <c r="X43" s="114"/>
      <c r="Y43" s="114"/>
      <c r="Z43" s="114"/>
      <c r="AA43" s="113">
        <v>12500.0</v>
      </c>
      <c r="AB43" s="113">
        <v>12500.0</v>
      </c>
      <c r="AC43" s="113">
        <v>12500.0</v>
      </c>
      <c r="AD43" s="113">
        <v>12500.0</v>
      </c>
      <c r="AE43" s="113">
        <v>12500.0</v>
      </c>
      <c r="AF43" s="113">
        <v>12500.0</v>
      </c>
      <c r="AG43" s="113">
        <v>12500.0</v>
      </c>
      <c r="AH43" s="113">
        <v>12500.0</v>
      </c>
      <c r="AI43" s="113">
        <v>12500.0</v>
      </c>
      <c r="AJ43" s="113">
        <v>12500.0</v>
      </c>
      <c r="AK43" s="113">
        <v>12500.0</v>
      </c>
      <c r="AL43" s="113">
        <v>12500.0</v>
      </c>
      <c r="AM43" s="114" t="s">
        <v>424</v>
      </c>
      <c r="AN43" s="113"/>
      <c r="AO43" s="113"/>
      <c r="AP43" s="113"/>
      <c r="AQ43" s="113"/>
      <c r="AR43" s="113"/>
      <c r="AS43" s="113"/>
      <c r="AT43" s="113"/>
      <c r="AU43" s="113"/>
      <c r="AV43" s="113"/>
      <c r="AW43" s="113"/>
      <c r="AX43" s="113"/>
      <c r="AY43" s="113"/>
      <c r="AZ43" s="116">
        <f t="shared" si="7"/>
        <v>150000</v>
      </c>
      <c r="BA43" s="117">
        <v>0.0</v>
      </c>
      <c r="BB43" s="117">
        <v>0.0</v>
      </c>
      <c r="BC43" s="118">
        <v>0.0</v>
      </c>
      <c r="BD43" s="119">
        <f t="shared" si="9"/>
        <v>150000</v>
      </c>
    </row>
    <row r="44" ht="27.0" hidden="1" customHeight="1">
      <c r="A44" s="12">
        <f t="shared" si="1"/>
        <v>40</v>
      </c>
      <c r="B44" s="13" t="s">
        <v>1028</v>
      </c>
      <c r="C44" s="15">
        <v>6509.0</v>
      </c>
      <c r="D44" s="51" t="s">
        <v>836</v>
      </c>
      <c r="E44" s="284" t="s">
        <v>837</v>
      </c>
      <c r="F44" s="124">
        <v>9902.0</v>
      </c>
      <c r="G44" s="30" t="s">
        <v>843</v>
      </c>
      <c r="H44" s="30" t="s">
        <v>843</v>
      </c>
      <c r="I44" s="15" t="s">
        <v>420</v>
      </c>
      <c r="J44" s="21" t="s">
        <v>443</v>
      </c>
      <c r="K44" s="21" t="s">
        <v>338</v>
      </c>
      <c r="L44" s="21"/>
      <c r="M44" s="109">
        <v>45171.0</v>
      </c>
      <c r="N44" s="109">
        <v>45466.0</v>
      </c>
      <c r="O44" s="110" t="s">
        <v>422</v>
      </c>
      <c r="P44" s="111"/>
      <c r="Q44" s="112"/>
      <c r="S44" s="114"/>
      <c r="T44" s="114"/>
      <c r="U44" s="114"/>
      <c r="V44" s="114"/>
      <c r="W44" s="114"/>
      <c r="X44" s="114"/>
      <c r="Y44" s="114"/>
      <c r="Z44" s="114"/>
      <c r="AA44" s="114"/>
      <c r="AB44" s="113">
        <v>8333.0</v>
      </c>
      <c r="AC44" s="137" t="s">
        <v>128</v>
      </c>
      <c r="AD44" s="113">
        <v>8333.0</v>
      </c>
      <c r="AE44" s="113">
        <v>8333.0</v>
      </c>
      <c r="AF44" s="113">
        <v>8333.0</v>
      </c>
      <c r="AG44" s="113">
        <v>8333.0</v>
      </c>
      <c r="AH44" s="113">
        <v>8333.0</v>
      </c>
      <c r="AI44" s="113">
        <v>8333.0</v>
      </c>
      <c r="AJ44" s="113">
        <v>8333.0</v>
      </c>
      <c r="AK44" s="113">
        <v>8333.0</v>
      </c>
      <c r="AL44" s="113">
        <v>8333.0</v>
      </c>
      <c r="AM44" s="113">
        <v>8333.0</v>
      </c>
      <c r="AN44" s="114" t="s">
        <v>424</v>
      </c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6">
        <f t="shared" si="7"/>
        <v>91663</v>
      </c>
      <c r="BA44" s="117">
        <v>0.0</v>
      </c>
      <c r="BB44" s="117">
        <v>0.0</v>
      </c>
      <c r="BC44" s="118">
        <v>0.0</v>
      </c>
      <c r="BD44" s="119">
        <f t="shared" si="9"/>
        <v>91663</v>
      </c>
    </row>
    <row r="45" ht="27.0" hidden="1" customHeight="1">
      <c r="A45" s="12">
        <f t="shared" si="1"/>
        <v>41</v>
      </c>
      <c r="B45" s="13" t="s">
        <v>1028</v>
      </c>
      <c r="C45" s="15">
        <v>6509.0</v>
      </c>
      <c r="D45" s="51" t="s">
        <v>836</v>
      </c>
      <c r="E45" s="284" t="s">
        <v>837</v>
      </c>
      <c r="F45" s="124">
        <v>10043.0</v>
      </c>
      <c r="G45" s="30" t="s">
        <v>844</v>
      </c>
      <c r="H45" s="30" t="s">
        <v>844</v>
      </c>
      <c r="I45" s="15" t="s">
        <v>420</v>
      </c>
      <c r="J45" s="21" t="s">
        <v>421</v>
      </c>
      <c r="K45" s="21" t="s">
        <v>338</v>
      </c>
      <c r="L45" s="21"/>
      <c r="M45" s="109">
        <v>45188.0</v>
      </c>
      <c r="N45" s="109">
        <v>45188.0</v>
      </c>
      <c r="O45" s="110" t="s">
        <v>422</v>
      </c>
      <c r="P45" s="111"/>
      <c r="Q45" s="112"/>
      <c r="S45" s="114"/>
      <c r="T45" s="114"/>
      <c r="U45" s="114"/>
      <c r="V45" s="114"/>
      <c r="W45" s="114"/>
      <c r="X45" s="114"/>
      <c r="Y45" s="114"/>
      <c r="Z45" s="114"/>
      <c r="AA45" s="114"/>
      <c r="AB45" s="137">
        <v>150000.0</v>
      </c>
      <c r="AC45" s="114" t="s">
        <v>424</v>
      </c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14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16">
        <f t="shared" si="7"/>
        <v>150000</v>
      </c>
      <c r="BA45" s="117">
        <v>0.0</v>
      </c>
      <c r="BB45" s="117">
        <v>0.0</v>
      </c>
      <c r="BC45" s="118">
        <v>0.0</v>
      </c>
      <c r="BD45" s="119">
        <f t="shared" si="9"/>
        <v>150000</v>
      </c>
    </row>
    <row r="46" ht="27.0" hidden="1" customHeight="1">
      <c r="A46" s="12">
        <f t="shared" si="1"/>
        <v>42</v>
      </c>
      <c r="B46" s="13" t="s">
        <v>1028</v>
      </c>
      <c r="C46" s="15">
        <v>6509.0</v>
      </c>
      <c r="D46" s="51" t="s">
        <v>836</v>
      </c>
      <c r="E46" s="284" t="s">
        <v>837</v>
      </c>
      <c r="F46" s="124">
        <v>10856.0</v>
      </c>
      <c r="G46" s="30" t="s">
        <v>845</v>
      </c>
      <c r="H46" s="30" t="s">
        <v>846</v>
      </c>
      <c r="I46" s="15" t="s">
        <v>420</v>
      </c>
      <c r="J46" s="21" t="s">
        <v>443</v>
      </c>
      <c r="K46" s="21" t="s">
        <v>338</v>
      </c>
      <c r="L46" s="21"/>
      <c r="M46" s="109">
        <v>45293.0</v>
      </c>
      <c r="N46" s="109">
        <v>45293.0</v>
      </c>
      <c r="O46" s="110" t="s">
        <v>422</v>
      </c>
      <c r="P46" s="111"/>
      <c r="Q46" s="112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3">
        <v>8333.0</v>
      </c>
      <c r="AG46" s="113">
        <v>8333.0</v>
      </c>
      <c r="AH46" s="113">
        <v>8333.0</v>
      </c>
      <c r="AI46" s="113">
        <v>8333.0</v>
      </c>
      <c r="AJ46" s="113">
        <v>8333.0</v>
      </c>
      <c r="AK46" s="113">
        <v>8333.0</v>
      </c>
      <c r="AL46" s="113">
        <v>8333.0</v>
      </c>
      <c r="AM46" s="114" t="s">
        <v>440</v>
      </c>
      <c r="AN46" s="114" t="s">
        <v>440</v>
      </c>
      <c r="AO46" s="114" t="s">
        <v>440</v>
      </c>
      <c r="AP46" s="114" t="s">
        <v>440</v>
      </c>
      <c r="AQ46" s="114" t="s">
        <v>440</v>
      </c>
      <c r="AR46" s="114" t="s">
        <v>632</v>
      </c>
      <c r="AS46" s="113"/>
      <c r="AT46" s="113"/>
      <c r="AU46" s="113"/>
      <c r="AV46" s="113"/>
      <c r="AW46" s="113"/>
      <c r="AX46" s="113"/>
      <c r="AY46" s="113"/>
      <c r="AZ46" s="116">
        <f t="shared" si="7"/>
        <v>58331</v>
      </c>
      <c r="BA46" s="117">
        <v>0.0</v>
      </c>
      <c r="BB46" s="117">
        <v>0.0</v>
      </c>
      <c r="BC46" s="118">
        <v>0.0</v>
      </c>
      <c r="BD46" s="119">
        <f t="shared" si="9"/>
        <v>58331</v>
      </c>
    </row>
    <row r="47" ht="27.0" hidden="1" customHeight="1">
      <c r="A47" s="12">
        <f t="shared" si="1"/>
        <v>43</v>
      </c>
      <c r="B47" s="13" t="s">
        <v>1028</v>
      </c>
      <c r="C47" s="12">
        <v>8645.0</v>
      </c>
      <c r="D47" s="40" t="s">
        <v>236</v>
      </c>
      <c r="E47" s="40" t="s">
        <v>237</v>
      </c>
      <c r="F47" s="124">
        <v>12254.0</v>
      </c>
      <c r="G47" s="40" t="s">
        <v>848</v>
      </c>
      <c r="H47" s="40" t="s">
        <v>849</v>
      </c>
      <c r="I47" s="15" t="s">
        <v>420</v>
      </c>
      <c r="J47" s="21" t="s">
        <v>421</v>
      </c>
      <c r="K47" s="21" t="s">
        <v>338</v>
      </c>
      <c r="L47" s="21"/>
      <c r="M47" s="109">
        <v>45440.0</v>
      </c>
      <c r="N47" s="109">
        <v>45440.0</v>
      </c>
      <c r="O47" s="110" t="s">
        <v>422</v>
      </c>
      <c r="P47" s="111">
        <v>45649.0</v>
      </c>
      <c r="Q47" s="112"/>
      <c r="R47" s="137">
        <f>COUNTIF($D$5:$D$91,D47)</f>
        <v>4</v>
      </c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3"/>
      <c r="AG47" s="113"/>
      <c r="AH47" s="113"/>
      <c r="AI47" s="113"/>
      <c r="AJ47" s="114">
        <v>150000.0</v>
      </c>
      <c r="AK47" s="114" t="s">
        <v>424</v>
      </c>
      <c r="AL47" s="113"/>
      <c r="AM47" s="114"/>
      <c r="AN47" s="114"/>
      <c r="AO47" s="114"/>
      <c r="AP47" s="114"/>
      <c r="AQ47" s="113"/>
      <c r="AR47" s="113"/>
      <c r="AS47" s="113"/>
      <c r="AT47" s="113"/>
      <c r="AU47" s="113"/>
      <c r="AV47" s="113"/>
      <c r="AW47" s="113"/>
      <c r="AX47" s="113"/>
      <c r="AY47" s="113"/>
      <c r="AZ47" s="116">
        <f t="shared" si="7"/>
        <v>4</v>
      </c>
      <c r="BA47" s="117">
        <f>SUM(AJ47)</f>
        <v>150000</v>
      </c>
      <c r="BB47" s="117">
        <v>0.0</v>
      </c>
      <c r="BC47" s="118">
        <f>sum(AJ47)</f>
        <v>150000</v>
      </c>
      <c r="BD47" s="119">
        <f t="shared" si="9"/>
        <v>150004</v>
      </c>
    </row>
    <row r="48" ht="27.0" hidden="1" customHeight="1">
      <c r="A48" s="12">
        <f t="shared" si="1"/>
        <v>44</v>
      </c>
      <c r="B48" s="20" t="s">
        <v>1028</v>
      </c>
      <c r="C48" s="12">
        <v>8645.0</v>
      </c>
      <c r="D48" s="40" t="s">
        <v>236</v>
      </c>
      <c r="E48" s="40" t="s">
        <v>237</v>
      </c>
      <c r="F48" s="122" t="s">
        <v>850</v>
      </c>
      <c r="G48" s="69" t="s">
        <v>851</v>
      </c>
      <c r="H48" s="69" t="s">
        <v>852</v>
      </c>
      <c r="I48" s="15" t="s">
        <v>420</v>
      </c>
      <c r="J48" s="21" t="s">
        <v>439</v>
      </c>
      <c r="K48" s="21" t="s">
        <v>338</v>
      </c>
      <c r="L48" s="21"/>
      <c r="M48" s="109">
        <v>45645.0</v>
      </c>
      <c r="N48" s="109">
        <v>45645.0</v>
      </c>
      <c r="O48" s="110" t="s">
        <v>422</v>
      </c>
      <c r="P48" s="111">
        <v>45649.0</v>
      </c>
      <c r="Q48" s="112"/>
      <c r="S48" s="208"/>
      <c r="T48" s="208"/>
      <c r="U48" s="208"/>
      <c r="V48" s="208"/>
      <c r="W48" s="208"/>
      <c r="X48" s="208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4"/>
      <c r="AL48" s="208"/>
      <c r="AM48" s="208"/>
      <c r="AN48" s="208"/>
      <c r="AO48" s="208"/>
      <c r="AP48" s="208"/>
      <c r="AQ48" s="114">
        <f>12500*6</f>
        <v>75000</v>
      </c>
      <c r="AR48" s="114"/>
      <c r="AS48" s="114"/>
      <c r="AT48" s="114"/>
      <c r="AU48" s="114"/>
      <c r="AV48" s="114"/>
      <c r="AW48" s="114"/>
      <c r="AX48" s="114"/>
      <c r="AY48" s="114"/>
      <c r="AZ48" s="116">
        <f t="shared" si="7"/>
        <v>0</v>
      </c>
      <c r="BA48" s="117">
        <f>SUM(AQ48)</f>
        <v>75000</v>
      </c>
      <c r="BB48" s="117">
        <v>0.0</v>
      </c>
      <c r="BC48" s="118">
        <f>sum(AQ48)</f>
        <v>75000</v>
      </c>
      <c r="BD48" s="119">
        <f t="shared" si="9"/>
        <v>75000</v>
      </c>
    </row>
    <row r="49" ht="27.0" hidden="1" customHeight="1">
      <c r="A49" s="12">
        <f t="shared" si="1"/>
        <v>45</v>
      </c>
      <c r="B49" s="13" t="s">
        <v>1028</v>
      </c>
      <c r="C49" s="12">
        <v>8645.0</v>
      </c>
      <c r="D49" s="40" t="s">
        <v>236</v>
      </c>
      <c r="E49" s="40" t="s">
        <v>237</v>
      </c>
      <c r="F49" s="124">
        <v>13849.0</v>
      </c>
      <c r="G49" s="69" t="s">
        <v>853</v>
      </c>
      <c r="H49" s="69" t="s">
        <v>854</v>
      </c>
      <c r="I49" s="15" t="s">
        <v>420</v>
      </c>
      <c r="J49" s="21" t="s">
        <v>421</v>
      </c>
      <c r="K49" s="21" t="s">
        <v>338</v>
      </c>
      <c r="L49" s="21"/>
      <c r="M49" s="109">
        <v>45611.0</v>
      </c>
      <c r="N49" s="109">
        <v>45611.0</v>
      </c>
      <c r="O49" s="110" t="s">
        <v>422</v>
      </c>
      <c r="P49" s="111">
        <v>45649.0</v>
      </c>
      <c r="Q49" s="112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3"/>
      <c r="AG49" s="113"/>
      <c r="AH49" s="113"/>
      <c r="AI49" s="113"/>
      <c r="AJ49" s="113"/>
      <c r="AK49" s="113"/>
      <c r="AL49" s="113"/>
      <c r="AM49" s="114"/>
      <c r="AN49" s="114"/>
      <c r="AO49" s="114"/>
      <c r="AP49" s="114">
        <v>150000.0</v>
      </c>
      <c r="AQ49" s="114" t="s">
        <v>424</v>
      </c>
      <c r="AR49" s="114"/>
      <c r="AS49" s="114"/>
      <c r="AT49" s="114"/>
      <c r="AU49" s="114"/>
      <c r="AV49" s="114"/>
      <c r="AW49" s="114"/>
      <c r="AX49" s="114"/>
      <c r="AY49" s="114"/>
      <c r="AZ49" s="116">
        <f t="shared" si="7"/>
        <v>0</v>
      </c>
      <c r="BA49" s="117">
        <f t="shared" ref="BA49:BA50" si="11">SUM(AP49)</f>
        <v>150000</v>
      </c>
      <c r="BB49" s="117">
        <v>0.0</v>
      </c>
      <c r="BC49" s="118">
        <f>sum(AP49)</f>
        <v>150000</v>
      </c>
      <c r="BD49" s="119">
        <f t="shared" si="9"/>
        <v>150000</v>
      </c>
    </row>
    <row r="50" ht="27.0" hidden="1" customHeight="1">
      <c r="A50" s="12">
        <f t="shared" si="1"/>
        <v>46</v>
      </c>
      <c r="B50" s="13" t="s">
        <v>1028</v>
      </c>
      <c r="C50" s="12">
        <v>8645.0</v>
      </c>
      <c r="D50" s="40" t="s">
        <v>236</v>
      </c>
      <c r="E50" s="40" t="s">
        <v>237</v>
      </c>
      <c r="F50" s="124">
        <v>15457.0</v>
      </c>
      <c r="G50" s="69" t="s">
        <v>855</v>
      </c>
      <c r="H50" s="69" t="s">
        <v>856</v>
      </c>
      <c r="I50" s="15" t="s">
        <v>420</v>
      </c>
      <c r="J50" s="21" t="s">
        <v>421</v>
      </c>
      <c r="K50" s="21" t="s">
        <v>338</v>
      </c>
      <c r="L50" s="120" t="s">
        <v>857</v>
      </c>
      <c r="M50" s="109">
        <v>45788.0</v>
      </c>
      <c r="N50" s="109">
        <v>45832.0</v>
      </c>
      <c r="O50" s="110" t="s">
        <v>422</v>
      </c>
      <c r="P50" s="111">
        <v>45875.0</v>
      </c>
      <c r="Q50" s="112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3"/>
      <c r="AG50" s="113"/>
      <c r="AH50" s="113"/>
      <c r="AI50" s="113"/>
      <c r="AJ50" s="113"/>
      <c r="AK50" s="113"/>
      <c r="AL50" s="113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>
        <v>150000.0</v>
      </c>
      <c r="AX50" s="114" t="s">
        <v>424</v>
      </c>
      <c r="AY50" s="114"/>
      <c r="AZ50" s="116">
        <f t="shared" si="7"/>
        <v>0</v>
      </c>
      <c r="BA50" s="117">
        <f t="shared" si="11"/>
        <v>0</v>
      </c>
      <c r="BB50" s="117">
        <v>0.0</v>
      </c>
      <c r="BC50" s="118">
        <f>AW50</f>
        <v>150000</v>
      </c>
      <c r="BD50" s="119">
        <f t="shared" si="9"/>
        <v>150000</v>
      </c>
    </row>
    <row r="51" ht="27.0" hidden="1" customHeight="1">
      <c r="A51" s="12">
        <f t="shared" si="1"/>
        <v>47</v>
      </c>
      <c r="B51" s="13" t="s">
        <v>1028</v>
      </c>
      <c r="C51" s="12">
        <v>14152.0</v>
      </c>
      <c r="D51" s="40" t="s">
        <v>242</v>
      </c>
      <c r="E51" s="41" t="s">
        <v>243</v>
      </c>
      <c r="F51" s="122" t="s">
        <v>859</v>
      </c>
      <c r="G51" s="40" t="s">
        <v>860</v>
      </c>
      <c r="H51" s="40" t="s">
        <v>861</v>
      </c>
      <c r="I51" s="15" t="s">
        <v>420</v>
      </c>
      <c r="J51" s="21" t="s">
        <v>446</v>
      </c>
      <c r="K51" s="21" t="s">
        <v>338</v>
      </c>
      <c r="L51" s="21"/>
      <c r="M51" s="109">
        <v>45657.0</v>
      </c>
      <c r="N51" s="109">
        <v>45666.0</v>
      </c>
      <c r="O51" s="110" t="s">
        <v>422</v>
      </c>
      <c r="P51" s="111">
        <v>45708.0</v>
      </c>
      <c r="Q51" s="112"/>
      <c r="R51" s="137">
        <f t="array" ref="R51">COUNTIF($D$5:$D$91,D51:D52)</f>
        <v>2</v>
      </c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3"/>
      <c r="AG51" s="113"/>
      <c r="AH51" s="113"/>
      <c r="AI51" s="113"/>
      <c r="AJ51" s="113"/>
      <c r="AK51" s="113"/>
      <c r="AL51" s="113"/>
      <c r="AM51" s="114"/>
      <c r="AN51" s="114"/>
      <c r="AO51" s="114"/>
      <c r="AP51" s="114"/>
      <c r="AQ51" s="114">
        <v>100000.0</v>
      </c>
      <c r="AR51" s="114" t="s">
        <v>424</v>
      </c>
      <c r="AS51" s="114"/>
      <c r="AT51" s="114"/>
      <c r="AU51" s="114"/>
      <c r="AV51" s="114"/>
      <c r="AW51" s="114"/>
      <c r="AX51" s="114"/>
      <c r="AY51" s="114"/>
      <c r="AZ51" s="116">
        <f t="shared" si="7"/>
        <v>2</v>
      </c>
      <c r="BA51" s="117">
        <f>SUM(AQ51)</f>
        <v>100000</v>
      </c>
      <c r="BB51" s="117">
        <v>0.0</v>
      </c>
      <c r="BC51" s="118">
        <f>AQ51</f>
        <v>100000</v>
      </c>
      <c r="BD51" s="119">
        <f t="shared" si="9"/>
        <v>100002</v>
      </c>
    </row>
    <row r="52" ht="27.0" hidden="1" customHeight="1">
      <c r="A52" s="12">
        <f t="shared" si="1"/>
        <v>48</v>
      </c>
      <c r="B52" s="13" t="s">
        <v>1028</v>
      </c>
      <c r="C52" s="12">
        <v>14152.0</v>
      </c>
      <c r="D52" s="40" t="s">
        <v>242</v>
      </c>
      <c r="E52" s="41" t="s">
        <v>243</v>
      </c>
      <c r="F52" s="122" t="s">
        <v>862</v>
      </c>
      <c r="G52" s="69" t="s">
        <v>863</v>
      </c>
      <c r="H52" s="40" t="s">
        <v>864</v>
      </c>
      <c r="I52" s="15" t="s">
        <v>420</v>
      </c>
      <c r="J52" s="21" t="s">
        <v>421</v>
      </c>
      <c r="K52" s="21" t="s">
        <v>338</v>
      </c>
      <c r="L52" s="21"/>
      <c r="M52" s="109">
        <v>45697.0</v>
      </c>
      <c r="N52" s="109">
        <v>45698.0</v>
      </c>
      <c r="O52" s="110" t="s">
        <v>422</v>
      </c>
      <c r="P52" s="111">
        <v>45708.0</v>
      </c>
      <c r="Q52" s="112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3"/>
      <c r="AG52" s="113"/>
      <c r="AH52" s="113"/>
      <c r="AI52" s="113"/>
      <c r="AJ52" s="113"/>
      <c r="AK52" s="113"/>
      <c r="AL52" s="113"/>
      <c r="AM52" s="114"/>
      <c r="AN52" s="114"/>
      <c r="AO52" s="114"/>
      <c r="AP52" s="114"/>
      <c r="AQ52" s="137"/>
      <c r="AR52" s="137"/>
      <c r="AS52" s="114">
        <v>150000.0</v>
      </c>
      <c r="AT52" s="114" t="s">
        <v>424</v>
      </c>
      <c r="AU52" s="114"/>
      <c r="AV52" s="114"/>
      <c r="AW52" s="114"/>
      <c r="AX52" s="114"/>
      <c r="AY52" s="114"/>
      <c r="AZ52" s="116">
        <f t="shared" si="7"/>
        <v>0</v>
      </c>
      <c r="BA52" s="117">
        <f>SUM(AS52)</f>
        <v>150000</v>
      </c>
      <c r="BB52" s="117">
        <v>0.0</v>
      </c>
      <c r="BC52" s="118">
        <f>AS52</f>
        <v>150000</v>
      </c>
      <c r="BD52" s="119">
        <f t="shared" si="9"/>
        <v>150000</v>
      </c>
    </row>
    <row r="53" ht="27.0" hidden="1" customHeight="1">
      <c r="A53" s="12">
        <f t="shared" si="1"/>
        <v>49</v>
      </c>
      <c r="B53" s="13" t="s">
        <v>1028</v>
      </c>
      <c r="C53" s="12"/>
      <c r="D53" s="40" t="s">
        <v>249</v>
      </c>
      <c r="E53" s="41" t="s">
        <v>250</v>
      </c>
      <c r="F53" s="122">
        <v>14009.0</v>
      </c>
      <c r="G53" s="69" t="s">
        <v>865</v>
      </c>
      <c r="H53" s="69" t="s">
        <v>866</v>
      </c>
      <c r="I53" s="15" t="s">
        <v>420</v>
      </c>
      <c r="J53" s="21" t="s">
        <v>421</v>
      </c>
      <c r="K53" s="21" t="s">
        <v>338</v>
      </c>
      <c r="L53" s="21"/>
      <c r="M53" s="109">
        <v>45643.0</v>
      </c>
      <c r="N53" s="109">
        <v>45643.0</v>
      </c>
      <c r="O53" s="110" t="s">
        <v>422</v>
      </c>
      <c r="P53" s="111"/>
      <c r="Q53" s="112"/>
      <c r="R53" s="137">
        <f t="shared" ref="R53:R54" si="12">COUNTIF($D$5:$D$91,D53)</f>
        <v>1</v>
      </c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37">
        <v>150000.0</v>
      </c>
      <c r="AR53" s="114" t="s">
        <v>632</v>
      </c>
      <c r="AS53" s="114"/>
      <c r="AT53" s="114"/>
      <c r="AU53" s="114"/>
      <c r="AV53" s="114"/>
      <c r="AW53" s="114"/>
      <c r="AX53" s="114"/>
      <c r="AY53" s="114"/>
      <c r="AZ53" s="116">
        <f t="shared" si="7"/>
        <v>150001</v>
      </c>
      <c r="BA53" s="117">
        <v>0.0</v>
      </c>
      <c r="BB53" s="117">
        <v>0.0</v>
      </c>
      <c r="BC53" s="118">
        <v>0.0</v>
      </c>
      <c r="BD53" s="119">
        <f t="shared" si="9"/>
        <v>150001</v>
      </c>
    </row>
    <row r="54" ht="27.0" hidden="1" customHeight="1">
      <c r="A54" s="12">
        <f t="shared" si="1"/>
        <v>50</v>
      </c>
      <c r="B54" s="71" t="s">
        <v>22</v>
      </c>
      <c r="C54" s="250"/>
      <c r="D54" s="16" t="s">
        <v>867</v>
      </c>
      <c r="E54" s="16" t="s">
        <v>253</v>
      </c>
      <c r="F54" s="124">
        <v>9701.0</v>
      </c>
      <c r="G54" s="30" t="s">
        <v>868</v>
      </c>
      <c r="H54" s="30" t="s">
        <v>869</v>
      </c>
      <c r="I54" s="15" t="s">
        <v>420</v>
      </c>
      <c r="J54" s="21" t="s">
        <v>421</v>
      </c>
      <c r="K54" s="21" t="s">
        <v>338</v>
      </c>
      <c r="L54" s="21"/>
      <c r="M54" s="109">
        <v>45140.0</v>
      </c>
      <c r="N54" s="109">
        <v>45140.0</v>
      </c>
      <c r="O54" s="110" t="s">
        <v>422</v>
      </c>
      <c r="P54" s="111">
        <v>45800.0</v>
      </c>
      <c r="Q54" s="112"/>
      <c r="R54" s="137">
        <f t="shared" si="12"/>
        <v>5</v>
      </c>
      <c r="S54" s="137"/>
      <c r="T54" s="137"/>
      <c r="U54" s="137"/>
      <c r="V54" s="137"/>
      <c r="W54" s="137"/>
      <c r="X54" s="137"/>
      <c r="Y54" s="137"/>
      <c r="Z54" s="114">
        <v>150000.0</v>
      </c>
      <c r="AA54" s="114" t="s">
        <v>424</v>
      </c>
      <c r="AB54" s="177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37"/>
      <c r="AV54" s="137"/>
      <c r="AW54" s="137"/>
      <c r="AX54" s="137"/>
      <c r="AY54" s="137"/>
      <c r="AZ54" s="116">
        <f t="shared" si="7"/>
        <v>5</v>
      </c>
      <c r="BA54" s="117">
        <v>150000.0</v>
      </c>
      <c r="BB54" s="117">
        <v>0.0</v>
      </c>
      <c r="BC54" s="118">
        <v>150000.0</v>
      </c>
      <c r="BD54" s="119">
        <f t="shared" si="9"/>
        <v>150005</v>
      </c>
    </row>
    <row r="55" ht="27.0" hidden="1" customHeight="1">
      <c r="A55" s="12">
        <f t="shared" si="1"/>
        <v>51</v>
      </c>
      <c r="B55" s="71" t="s">
        <v>22</v>
      </c>
      <c r="C55" s="250"/>
      <c r="D55" s="16" t="s">
        <v>867</v>
      </c>
      <c r="E55" s="16" t="s">
        <v>253</v>
      </c>
      <c r="F55" s="124">
        <v>10487.0</v>
      </c>
      <c r="G55" s="30" t="s">
        <v>870</v>
      </c>
      <c r="H55" s="30" t="s">
        <v>871</v>
      </c>
      <c r="I55" s="15" t="s">
        <v>420</v>
      </c>
      <c r="J55" s="21" t="s">
        <v>448</v>
      </c>
      <c r="K55" s="21" t="s">
        <v>338</v>
      </c>
      <c r="L55" s="21"/>
      <c r="M55" s="109">
        <v>45225.0</v>
      </c>
      <c r="N55" s="109">
        <v>45604.0</v>
      </c>
      <c r="O55" s="110" t="s">
        <v>422</v>
      </c>
      <c r="P55" s="111">
        <v>45800.0</v>
      </c>
      <c r="Q55" s="112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>
        <v>12500.0</v>
      </c>
      <c r="AD55" s="114" t="s">
        <v>128</v>
      </c>
      <c r="AE55" s="114">
        <v>12500.0</v>
      </c>
      <c r="AF55" s="114">
        <v>12500.0</v>
      </c>
      <c r="AG55" s="114">
        <v>12500.0</v>
      </c>
      <c r="AH55" s="114">
        <v>12500.0</v>
      </c>
      <c r="AI55" s="114">
        <v>12500.0</v>
      </c>
      <c r="AJ55" s="114">
        <v>12500.0</v>
      </c>
      <c r="AK55" s="114">
        <v>12500.0</v>
      </c>
      <c r="AL55" s="114">
        <v>12500.0</v>
      </c>
      <c r="AM55" s="114">
        <v>12500.0</v>
      </c>
      <c r="AN55" s="114">
        <v>12500.0</v>
      </c>
      <c r="AO55" s="114">
        <v>12500.0</v>
      </c>
      <c r="AP55" s="114" t="s">
        <v>424</v>
      </c>
      <c r="AQ55" s="210"/>
      <c r="AR55" s="210"/>
      <c r="AS55" s="210"/>
      <c r="AT55" s="210"/>
      <c r="AU55" s="134"/>
      <c r="AV55" s="134"/>
      <c r="AW55" s="134"/>
      <c r="AX55" s="134"/>
      <c r="AY55" s="134"/>
      <c r="AZ55" s="116">
        <f t="shared" si="7"/>
        <v>0</v>
      </c>
      <c r="BA55" s="117">
        <v>150000.0</v>
      </c>
      <c r="BB55" s="117">
        <v>0.0</v>
      </c>
      <c r="BC55" s="118">
        <v>150000.0</v>
      </c>
      <c r="BD55" s="119">
        <f t="shared" si="9"/>
        <v>150000</v>
      </c>
    </row>
    <row r="56" ht="27.0" hidden="1" customHeight="1">
      <c r="A56" s="12">
        <f t="shared" si="1"/>
        <v>52</v>
      </c>
      <c r="B56" s="71" t="s">
        <v>22</v>
      </c>
      <c r="C56" s="250"/>
      <c r="D56" s="16" t="s">
        <v>867</v>
      </c>
      <c r="E56" s="16" t="s">
        <v>253</v>
      </c>
      <c r="F56" s="122" t="s">
        <v>872</v>
      </c>
      <c r="G56" s="40" t="s">
        <v>873</v>
      </c>
      <c r="H56" s="40" t="s">
        <v>874</v>
      </c>
      <c r="I56" s="15" t="s">
        <v>420</v>
      </c>
      <c r="J56" s="21" t="s">
        <v>421</v>
      </c>
      <c r="K56" s="21" t="s">
        <v>338</v>
      </c>
      <c r="L56" s="21"/>
      <c r="M56" s="109">
        <v>45675.0</v>
      </c>
      <c r="N56" s="109">
        <v>45675.0</v>
      </c>
      <c r="O56" s="110" t="s">
        <v>422</v>
      </c>
      <c r="P56" s="111">
        <v>45800.0</v>
      </c>
      <c r="Q56" s="112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210"/>
      <c r="AQ56" s="210"/>
      <c r="AR56" s="114">
        <v>150000.0</v>
      </c>
      <c r="AS56" s="114" t="s">
        <v>632</v>
      </c>
      <c r="AT56" s="114"/>
      <c r="AU56" s="114"/>
      <c r="AV56" s="114"/>
      <c r="AW56" s="114"/>
      <c r="AX56" s="114"/>
      <c r="AY56" s="114"/>
      <c r="AZ56" s="116">
        <f t="shared" si="7"/>
        <v>0</v>
      </c>
      <c r="BA56" s="117">
        <v>150000.0</v>
      </c>
      <c r="BB56" s="117">
        <v>0.0</v>
      </c>
      <c r="BC56" s="118">
        <v>150000.0</v>
      </c>
      <c r="BD56" s="119">
        <f t="shared" si="9"/>
        <v>150000</v>
      </c>
    </row>
    <row r="57" ht="27.0" hidden="1" customHeight="1">
      <c r="A57" s="12">
        <f t="shared" si="1"/>
        <v>53</v>
      </c>
      <c r="B57" s="71" t="s">
        <v>22</v>
      </c>
      <c r="C57" s="250"/>
      <c r="D57" s="16" t="s">
        <v>867</v>
      </c>
      <c r="E57" s="16" t="s">
        <v>253</v>
      </c>
      <c r="F57" s="122" t="s">
        <v>875</v>
      </c>
      <c r="G57" s="40" t="s">
        <v>876</v>
      </c>
      <c r="H57" s="40" t="s">
        <v>877</v>
      </c>
      <c r="I57" s="15" t="s">
        <v>420</v>
      </c>
      <c r="J57" s="21" t="s">
        <v>421</v>
      </c>
      <c r="K57" s="21" t="s">
        <v>338</v>
      </c>
      <c r="L57" s="21"/>
      <c r="M57" s="109">
        <v>45706.0</v>
      </c>
      <c r="N57" s="109">
        <v>45706.0</v>
      </c>
      <c r="O57" s="110" t="s">
        <v>422</v>
      </c>
      <c r="P57" s="111">
        <v>45800.0</v>
      </c>
      <c r="Q57" s="112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210"/>
      <c r="AQ57" s="210"/>
      <c r="AR57" s="114"/>
      <c r="AS57" s="114">
        <v>150000.0</v>
      </c>
      <c r="AT57" s="114" t="s">
        <v>632</v>
      </c>
      <c r="AU57" s="114"/>
      <c r="AV57" s="114"/>
      <c r="AW57" s="114"/>
      <c r="AX57" s="114"/>
      <c r="AY57" s="114"/>
      <c r="AZ57" s="116">
        <f t="shared" si="7"/>
        <v>0</v>
      </c>
      <c r="BA57" s="117">
        <v>150000.0</v>
      </c>
      <c r="BB57" s="117">
        <v>0.0</v>
      </c>
      <c r="BC57" s="118">
        <v>150000.0</v>
      </c>
      <c r="BD57" s="119">
        <f t="shared" si="9"/>
        <v>150000</v>
      </c>
    </row>
    <row r="58" ht="27.0" hidden="1" customHeight="1">
      <c r="A58" s="12">
        <f t="shared" si="1"/>
        <v>54</v>
      </c>
      <c r="B58" s="71" t="s">
        <v>22</v>
      </c>
      <c r="C58" s="250"/>
      <c r="D58" s="30" t="s">
        <v>867</v>
      </c>
      <c r="E58" s="30" t="s">
        <v>253</v>
      </c>
      <c r="F58" s="25" t="s">
        <v>878</v>
      </c>
      <c r="G58" s="212" t="s">
        <v>879</v>
      </c>
      <c r="H58" s="212" t="s">
        <v>879</v>
      </c>
      <c r="I58" s="15" t="s">
        <v>420</v>
      </c>
      <c r="J58" s="21" t="s">
        <v>421</v>
      </c>
      <c r="K58" s="21" t="s">
        <v>338</v>
      </c>
      <c r="L58" s="21"/>
      <c r="M58" s="109"/>
      <c r="N58" s="109"/>
      <c r="O58" s="110"/>
      <c r="P58" s="111"/>
      <c r="Q58" s="112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210"/>
      <c r="AQ58" s="210"/>
      <c r="AR58" s="114"/>
      <c r="AS58" s="114"/>
      <c r="AT58" s="114"/>
      <c r="AU58" s="114"/>
      <c r="AV58" s="114"/>
      <c r="AW58" s="114"/>
      <c r="AX58" s="114"/>
      <c r="AY58" s="114"/>
      <c r="AZ58" s="282"/>
      <c r="BA58" s="117"/>
      <c r="BB58" s="117"/>
      <c r="BC58" s="118"/>
      <c r="BD58" s="119"/>
    </row>
    <row r="59" ht="27.0" hidden="1" customHeight="1">
      <c r="A59" s="12">
        <f t="shared" si="1"/>
        <v>55</v>
      </c>
      <c r="B59" s="13" t="s">
        <v>22</v>
      </c>
      <c r="C59" s="15">
        <v>10717.0</v>
      </c>
      <c r="D59" s="16" t="s">
        <v>260</v>
      </c>
      <c r="E59" s="213" t="s">
        <v>884</v>
      </c>
      <c r="F59" s="124">
        <v>10762.0</v>
      </c>
      <c r="G59" s="30" t="s">
        <v>885</v>
      </c>
      <c r="H59" s="30" t="s">
        <v>885</v>
      </c>
      <c r="I59" s="15" t="s">
        <v>420</v>
      </c>
      <c r="J59" s="21" t="s">
        <v>446</v>
      </c>
      <c r="K59" s="21" t="s">
        <v>338</v>
      </c>
      <c r="L59" s="21"/>
      <c r="M59" s="109">
        <v>45308.0</v>
      </c>
      <c r="N59" s="109">
        <v>45308.0</v>
      </c>
      <c r="O59" s="110" t="s">
        <v>422</v>
      </c>
      <c r="P59" s="111"/>
      <c r="Q59" s="112"/>
      <c r="R59" s="137">
        <f>COUNTIF($D$5:$D$91,D59)</f>
        <v>2</v>
      </c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>
        <v>100000.0</v>
      </c>
      <c r="AG59" s="114" t="s">
        <v>424</v>
      </c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  <c r="AZ59" s="116">
        <f t="shared" ref="AZ59:AZ86" si="13">BD59-BC59</f>
        <v>2</v>
      </c>
      <c r="BA59" s="117">
        <v>0.0</v>
      </c>
      <c r="BB59" s="117">
        <v>0.0</v>
      </c>
      <c r="BC59" s="118">
        <f>sum(AF59:AK59)</f>
        <v>100000</v>
      </c>
      <c r="BD59" s="119">
        <f t="shared" ref="BD59:BD78" si="14">SUM(R59:AX59)</f>
        <v>100002</v>
      </c>
    </row>
    <row r="60" ht="27.0" hidden="1" customHeight="1">
      <c r="A60" s="12">
        <f t="shared" si="1"/>
        <v>56</v>
      </c>
      <c r="B60" s="13" t="s">
        <v>22</v>
      </c>
      <c r="C60" s="15">
        <v>10717.0</v>
      </c>
      <c r="D60" s="16" t="s">
        <v>260</v>
      </c>
      <c r="E60" s="16" t="s">
        <v>884</v>
      </c>
      <c r="F60" s="124">
        <v>12254.0</v>
      </c>
      <c r="G60" s="40" t="s">
        <v>848</v>
      </c>
      <c r="H60" s="40" t="s">
        <v>849</v>
      </c>
      <c r="I60" s="15" t="s">
        <v>420</v>
      </c>
      <c r="J60" s="21" t="s">
        <v>421</v>
      </c>
      <c r="K60" s="21" t="s">
        <v>338</v>
      </c>
      <c r="L60" s="21"/>
      <c r="M60" s="109">
        <v>45440.0</v>
      </c>
      <c r="N60" s="109">
        <v>45440.0</v>
      </c>
      <c r="O60" s="110" t="s">
        <v>422</v>
      </c>
      <c r="P60" s="111">
        <v>45470.0</v>
      </c>
      <c r="Q60" s="112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>
        <v>150000.0</v>
      </c>
      <c r="AK60" s="114" t="s">
        <v>424</v>
      </c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4"/>
      <c r="AZ60" s="116">
        <f t="shared" si="13"/>
        <v>0</v>
      </c>
      <c r="BA60" s="117">
        <f>SUM(AJ60)</f>
        <v>150000</v>
      </c>
      <c r="BB60" s="117">
        <v>0.0</v>
      </c>
      <c r="BC60" s="118">
        <v>150000.0</v>
      </c>
      <c r="BD60" s="119">
        <f t="shared" si="14"/>
        <v>150000</v>
      </c>
    </row>
    <row r="61" ht="27.0" hidden="1" customHeight="1">
      <c r="A61" s="12">
        <f t="shared" si="1"/>
        <v>57</v>
      </c>
      <c r="B61" s="13" t="s">
        <v>43</v>
      </c>
      <c r="C61" s="15">
        <v>5836.0</v>
      </c>
      <c r="D61" s="16" t="s">
        <v>268</v>
      </c>
      <c r="E61" s="16" t="s">
        <v>269</v>
      </c>
      <c r="F61" s="124">
        <v>10227.0</v>
      </c>
      <c r="G61" s="30" t="s">
        <v>886</v>
      </c>
      <c r="H61" s="214" t="s">
        <v>887</v>
      </c>
      <c r="I61" s="15" t="s">
        <v>420</v>
      </c>
      <c r="J61" s="21" t="s">
        <v>421</v>
      </c>
      <c r="K61" s="21" t="s">
        <v>338</v>
      </c>
      <c r="L61" s="21"/>
      <c r="M61" s="109">
        <v>45200.0</v>
      </c>
      <c r="N61" s="109">
        <v>45207.0</v>
      </c>
      <c r="O61" s="110" t="s">
        <v>422</v>
      </c>
      <c r="P61" s="111"/>
      <c r="Q61" s="112"/>
      <c r="R61" s="137">
        <v>1.0</v>
      </c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37">
        <v>150000.0</v>
      </c>
      <c r="AD61" s="114" t="s">
        <v>424</v>
      </c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4"/>
      <c r="AZ61" s="116">
        <f t="shared" si="13"/>
        <v>150001</v>
      </c>
      <c r="BA61" s="117">
        <v>0.0</v>
      </c>
      <c r="BB61" s="117">
        <v>0.0</v>
      </c>
      <c r="BC61" s="118">
        <f>sum(AF61:AK61)</f>
        <v>0</v>
      </c>
      <c r="BD61" s="119">
        <f t="shared" si="14"/>
        <v>150001</v>
      </c>
    </row>
    <row r="62" ht="27.0" hidden="1" customHeight="1">
      <c r="A62" s="12">
        <f t="shared" si="1"/>
        <v>58</v>
      </c>
      <c r="B62" s="13" t="s">
        <v>43</v>
      </c>
      <c r="C62" s="15">
        <v>4896.0</v>
      </c>
      <c r="D62" s="16" t="s">
        <v>274</v>
      </c>
      <c r="E62" s="16" t="s">
        <v>275</v>
      </c>
      <c r="F62" s="124">
        <v>10725.0</v>
      </c>
      <c r="G62" s="30" t="s">
        <v>888</v>
      </c>
      <c r="H62" s="214" t="s">
        <v>889</v>
      </c>
      <c r="I62" s="15" t="s">
        <v>420</v>
      </c>
      <c r="J62" s="21" t="s">
        <v>443</v>
      </c>
      <c r="K62" s="21" t="s">
        <v>338</v>
      </c>
      <c r="L62" s="21"/>
      <c r="M62" s="109">
        <v>45258.0</v>
      </c>
      <c r="N62" s="109">
        <v>45461.0</v>
      </c>
      <c r="O62" s="110" t="s">
        <v>422</v>
      </c>
      <c r="P62" s="111"/>
      <c r="Q62" s="112"/>
      <c r="R62" s="283">
        <v>1.0</v>
      </c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113">
        <v>8333.0</v>
      </c>
      <c r="AE62" s="114" t="s">
        <v>128</v>
      </c>
      <c r="AF62" s="113">
        <v>8333.0</v>
      </c>
      <c r="AG62" s="113">
        <v>8333.0</v>
      </c>
      <c r="AH62" s="113">
        <v>8333.0</v>
      </c>
      <c r="AI62" s="113">
        <v>8333.0</v>
      </c>
      <c r="AJ62" s="113">
        <v>8333.0</v>
      </c>
      <c r="AK62" s="113">
        <v>8333.0</v>
      </c>
      <c r="AL62" s="113">
        <v>8333.0</v>
      </c>
      <c r="AM62" s="113">
        <v>8333.0</v>
      </c>
      <c r="AN62" s="113">
        <v>8333.0</v>
      </c>
      <c r="AO62" s="113">
        <v>8333.0</v>
      </c>
      <c r="AP62" s="113">
        <v>8333.0</v>
      </c>
      <c r="AQ62" s="114" t="s">
        <v>424</v>
      </c>
      <c r="AR62" s="114"/>
      <c r="AS62" s="114"/>
      <c r="AT62" s="114"/>
      <c r="AU62" s="114"/>
      <c r="AV62" s="114"/>
      <c r="AW62" s="114"/>
      <c r="AX62" s="114"/>
      <c r="AY62" s="114"/>
      <c r="AZ62" s="116">
        <f t="shared" si="13"/>
        <v>99997</v>
      </c>
      <c r="BA62" s="117">
        <v>0.0</v>
      </c>
      <c r="BB62" s="117">
        <v>0.0</v>
      </c>
      <c r="BC62" s="118">
        <v>0.0</v>
      </c>
      <c r="BD62" s="119">
        <f t="shared" si="14"/>
        <v>99997</v>
      </c>
    </row>
    <row r="63" ht="27.0" hidden="1" customHeight="1">
      <c r="A63" s="12">
        <f t="shared" si="1"/>
        <v>59</v>
      </c>
      <c r="B63" s="13" t="s">
        <v>43</v>
      </c>
      <c r="C63" s="15">
        <v>7233.0</v>
      </c>
      <c r="D63" s="16" t="s">
        <v>280</v>
      </c>
      <c r="E63" s="16" t="s">
        <v>281</v>
      </c>
      <c r="F63" s="124">
        <v>11930.0</v>
      </c>
      <c r="G63" s="30" t="s">
        <v>890</v>
      </c>
      <c r="H63" s="213" t="s">
        <v>891</v>
      </c>
      <c r="I63" s="15" t="s">
        <v>420</v>
      </c>
      <c r="J63" s="21" t="s">
        <v>421</v>
      </c>
      <c r="K63" s="21" t="s">
        <v>338</v>
      </c>
      <c r="L63" s="21"/>
      <c r="M63" s="109">
        <v>45405.0</v>
      </c>
      <c r="N63" s="109">
        <v>45415.0</v>
      </c>
      <c r="O63" s="110" t="s">
        <v>422</v>
      </c>
      <c r="P63" s="111">
        <v>45429.0</v>
      </c>
      <c r="Q63" s="112"/>
      <c r="R63" s="283">
        <v>1.0</v>
      </c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6"/>
      <c r="AD63" s="114"/>
      <c r="AE63" s="114"/>
      <c r="AF63" s="114"/>
      <c r="AG63" s="114"/>
      <c r="AH63" s="114"/>
      <c r="AI63" s="114">
        <v>150000.0</v>
      </c>
      <c r="AJ63" s="114" t="s">
        <v>424</v>
      </c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4"/>
      <c r="AY63" s="114"/>
      <c r="AZ63" s="116">
        <f t="shared" si="13"/>
        <v>1</v>
      </c>
      <c r="BA63" s="117">
        <f>SUM(AI63)</f>
        <v>150000</v>
      </c>
      <c r="BB63" s="117">
        <v>0.0</v>
      </c>
      <c r="BC63" s="118">
        <f>sum(AF63:AK63)</f>
        <v>150000</v>
      </c>
      <c r="BD63" s="119">
        <f t="shared" si="14"/>
        <v>150001</v>
      </c>
    </row>
    <row r="64" ht="27.0" hidden="1" customHeight="1">
      <c r="A64" s="12">
        <f t="shared" si="1"/>
        <v>60</v>
      </c>
      <c r="B64" s="13" t="s">
        <v>43</v>
      </c>
      <c r="C64" s="15">
        <v>2700.0</v>
      </c>
      <c r="D64" s="16" t="s">
        <v>286</v>
      </c>
      <c r="E64" s="16" t="s">
        <v>287</v>
      </c>
      <c r="F64" s="124">
        <v>8412.0</v>
      </c>
      <c r="G64" s="30" t="s">
        <v>892</v>
      </c>
      <c r="H64" s="214" t="s">
        <v>893</v>
      </c>
      <c r="I64" s="15" t="s">
        <v>420</v>
      </c>
      <c r="J64" s="21" t="s">
        <v>443</v>
      </c>
      <c r="K64" s="21" t="s">
        <v>338</v>
      </c>
      <c r="L64" s="21"/>
      <c r="M64" s="109">
        <v>44997.0</v>
      </c>
      <c r="N64" s="109">
        <v>45168.0</v>
      </c>
      <c r="O64" s="110" t="s">
        <v>422</v>
      </c>
      <c r="P64" s="111"/>
      <c r="Q64" s="112"/>
      <c r="R64" s="110">
        <f>COUNTIF($D$5:$D$91,D64)</f>
        <v>4</v>
      </c>
      <c r="S64" s="159"/>
      <c r="T64" s="159"/>
      <c r="U64" s="159"/>
      <c r="V64" s="126">
        <v>8333.0</v>
      </c>
      <c r="W64" s="126">
        <v>8333.0</v>
      </c>
      <c r="X64" s="126">
        <v>8333.0</v>
      </c>
      <c r="Y64" s="114">
        <v>8333.0</v>
      </c>
      <c r="Z64" s="113" t="s">
        <v>440</v>
      </c>
      <c r="AA64" s="114">
        <v>8333.0</v>
      </c>
      <c r="AB64" s="114">
        <v>8333.0</v>
      </c>
      <c r="AC64" s="113" t="s">
        <v>440</v>
      </c>
      <c r="AD64" s="113" t="s">
        <v>440</v>
      </c>
      <c r="AE64" s="113" t="s">
        <v>440</v>
      </c>
      <c r="AF64" s="113">
        <v>8333.0</v>
      </c>
      <c r="AG64" s="113">
        <v>8333.0</v>
      </c>
      <c r="AH64" s="114" t="s">
        <v>424</v>
      </c>
      <c r="AI64" s="113"/>
      <c r="AJ64" s="113"/>
      <c r="AK64" s="113"/>
      <c r="AL64" s="113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4"/>
      <c r="AZ64" s="116">
        <f t="shared" si="13"/>
        <v>25003</v>
      </c>
      <c r="BA64" s="117">
        <v>0.0</v>
      </c>
      <c r="BB64" s="117">
        <v>0.0</v>
      </c>
      <c r="BC64" s="118">
        <f>sum(V64:AA64)</f>
        <v>41665</v>
      </c>
      <c r="BD64" s="119">
        <f t="shared" si="14"/>
        <v>66668</v>
      </c>
    </row>
    <row r="65" ht="27.0" hidden="1" customHeight="1">
      <c r="A65" s="12">
        <f t="shared" si="1"/>
        <v>61</v>
      </c>
      <c r="B65" s="13" t="s">
        <v>43</v>
      </c>
      <c r="C65" s="15">
        <v>2700.0</v>
      </c>
      <c r="D65" s="16" t="s">
        <v>286</v>
      </c>
      <c r="E65" s="16" t="s">
        <v>287</v>
      </c>
      <c r="F65" s="124">
        <v>7537.0</v>
      </c>
      <c r="G65" s="30" t="s">
        <v>894</v>
      </c>
      <c r="H65" s="30" t="s">
        <v>286</v>
      </c>
      <c r="I65" s="15" t="s">
        <v>420</v>
      </c>
      <c r="J65" s="21" t="s">
        <v>443</v>
      </c>
      <c r="K65" s="21" t="s">
        <v>338</v>
      </c>
      <c r="L65" s="21"/>
      <c r="M65" s="109">
        <v>44893.0</v>
      </c>
      <c r="N65" s="109">
        <v>45224.0</v>
      </c>
      <c r="O65" s="110" t="s">
        <v>422</v>
      </c>
      <c r="P65" s="111"/>
      <c r="Q65" s="112"/>
      <c r="S65" s="126">
        <v>8333.0</v>
      </c>
      <c r="T65" s="126">
        <v>8333.0</v>
      </c>
      <c r="U65" s="126">
        <v>8333.0</v>
      </c>
      <c r="V65" s="126">
        <v>8333.0</v>
      </c>
      <c r="W65" s="126">
        <v>8333.0</v>
      </c>
      <c r="X65" s="159">
        <v>8333.0</v>
      </c>
      <c r="Y65" s="114">
        <v>8333.0</v>
      </c>
      <c r="Z65" s="114">
        <v>8333.0</v>
      </c>
      <c r="AA65" s="114">
        <v>8333.0</v>
      </c>
      <c r="AB65" s="114">
        <v>8333.0</v>
      </c>
      <c r="AC65" s="114">
        <v>8333.0</v>
      </c>
      <c r="AD65" s="114" t="s">
        <v>424</v>
      </c>
      <c r="AE65" s="137"/>
      <c r="AF65" s="137"/>
      <c r="AG65" s="137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4"/>
      <c r="AZ65" s="116">
        <f t="shared" si="13"/>
        <v>0</v>
      </c>
      <c r="BA65" s="117">
        <v>0.0</v>
      </c>
      <c r="BB65" s="117">
        <v>0.0</v>
      </c>
      <c r="BC65" s="118">
        <f t="shared" ref="BC65:BC66" si="15">sum(R65:AC65)</f>
        <v>91663</v>
      </c>
      <c r="BD65" s="119">
        <f t="shared" si="14"/>
        <v>91663</v>
      </c>
    </row>
    <row r="66" ht="27.0" hidden="1" customHeight="1">
      <c r="A66" s="12">
        <f t="shared" si="1"/>
        <v>62</v>
      </c>
      <c r="B66" s="13" t="s">
        <v>43</v>
      </c>
      <c r="C66" s="15">
        <v>2700.0</v>
      </c>
      <c r="D66" s="16" t="s">
        <v>286</v>
      </c>
      <c r="E66" s="16" t="s">
        <v>287</v>
      </c>
      <c r="F66" s="124">
        <v>7425.0</v>
      </c>
      <c r="G66" s="30" t="s">
        <v>895</v>
      </c>
      <c r="H66" s="30" t="s">
        <v>896</v>
      </c>
      <c r="I66" s="15" t="s">
        <v>420</v>
      </c>
      <c r="J66" s="21" t="s">
        <v>443</v>
      </c>
      <c r="K66" s="21" t="s">
        <v>338</v>
      </c>
      <c r="L66" s="21"/>
      <c r="M66" s="109">
        <v>44881.0</v>
      </c>
      <c r="N66" s="109">
        <v>45211.0</v>
      </c>
      <c r="O66" s="110" t="s">
        <v>422</v>
      </c>
      <c r="P66" s="111"/>
      <c r="Q66" s="112"/>
      <c r="S66" s="126">
        <v>8333.0</v>
      </c>
      <c r="T66" s="126">
        <v>8333.0</v>
      </c>
      <c r="U66" s="126">
        <v>8333.0</v>
      </c>
      <c r="V66" s="126">
        <v>8333.0</v>
      </c>
      <c r="W66" s="126">
        <v>8333.0</v>
      </c>
      <c r="X66" s="126">
        <v>8333.0</v>
      </c>
      <c r="Y66" s="114">
        <v>8333.0</v>
      </c>
      <c r="Z66" s="114">
        <v>8333.0</v>
      </c>
      <c r="AA66" s="114">
        <v>8333.0</v>
      </c>
      <c r="AB66" s="114">
        <v>8333.0</v>
      </c>
      <c r="AC66" s="114">
        <v>8333.0</v>
      </c>
      <c r="AD66" s="114" t="s">
        <v>424</v>
      </c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  <c r="AZ66" s="116">
        <f t="shared" si="13"/>
        <v>0</v>
      </c>
      <c r="BA66" s="117">
        <v>0.0</v>
      </c>
      <c r="BB66" s="117">
        <v>0.0</v>
      </c>
      <c r="BC66" s="118">
        <f t="shared" si="15"/>
        <v>91663</v>
      </c>
      <c r="BD66" s="119">
        <f t="shared" si="14"/>
        <v>91663</v>
      </c>
    </row>
    <row r="67" ht="27.0" hidden="1" customHeight="1">
      <c r="A67" s="12">
        <f t="shared" si="1"/>
        <v>63</v>
      </c>
      <c r="B67" s="13" t="s">
        <v>43</v>
      </c>
      <c r="C67" s="15">
        <v>2700.0</v>
      </c>
      <c r="D67" s="16" t="s">
        <v>286</v>
      </c>
      <c r="E67" s="16" t="s">
        <v>287</v>
      </c>
      <c r="F67" s="124">
        <v>8412.0</v>
      </c>
      <c r="G67" s="30" t="s">
        <v>892</v>
      </c>
      <c r="H67" s="30" t="s">
        <v>897</v>
      </c>
      <c r="I67" s="15" t="s">
        <v>420</v>
      </c>
      <c r="J67" s="21" t="s">
        <v>443</v>
      </c>
      <c r="K67" s="21" t="s">
        <v>338</v>
      </c>
      <c r="L67" s="21"/>
      <c r="M67" s="109">
        <v>45109.0</v>
      </c>
      <c r="N67" s="109">
        <v>45589.0</v>
      </c>
      <c r="O67" s="110" t="s">
        <v>422</v>
      </c>
      <c r="P67" s="111"/>
      <c r="Q67" s="112"/>
      <c r="S67" s="159"/>
      <c r="T67" s="159"/>
      <c r="U67" s="159"/>
      <c r="V67" s="159"/>
      <c r="W67" s="159"/>
      <c r="X67" s="159"/>
      <c r="Y67" s="159"/>
      <c r="Z67" s="114">
        <v>8333.0</v>
      </c>
      <c r="AA67" s="114">
        <v>8333.0</v>
      </c>
      <c r="AB67" s="114">
        <v>8333.0</v>
      </c>
      <c r="AC67" s="114">
        <v>8333.0</v>
      </c>
      <c r="AD67" s="113">
        <v>8333.0</v>
      </c>
      <c r="AE67" s="113">
        <v>8333.0</v>
      </c>
      <c r="AF67" s="113">
        <v>8333.0</v>
      </c>
      <c r="AG67" s="113">
        <v>8333.0</v>
      </c>
      <c r="AH67" s="113">
        <v>8333.0</v>
      </c>
      <c r="AI67" s="113">
        <v>8333.0</v>
      </c>
      <c r="AJ67" s="113">
        <v>8333.0</v>
      </c>
      <c r="AK67" s="113">
        <v>8333.0</v>
      </c>
      <c r="AL67" s="114" t="s">
        <v>424</v>
      </c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6">
        <f t="shared" si="13"/>
        <v>66664</v>
      </c>
      <c r="BA67" s="117">
        <v>0.0</v>
      </c>
      <c r="BB67" s="117">
        <v>0.0</v>
      </c>
      <c r="BC67" s="118">
        <f>sum(Z67:AC67)</f>
        <v>33332</v>
      </c>
      <c r="BD67" s="119">
        <f t="shared" si="14"/>
        <v>99996</v>
      </c>
    </row>
    <row r="68" ht="27.0" hidden="1" customHeight="1">
      <c r="A68" s="12">
        <f t="shared" si="1"/>
        <v>64</v>
      </c>
      <c r="B68" s="13" t="s">
        <v>43</v>
      </c>
      <c r="C68" s="250"/>
      <c r="D68" s="215" t="s">
        <v>292</v>
      </c>
      <c r="E68" s="215" t="s">
        <v>293</v>
      </c>
      <c r="F68" s="122" t="s">
        <v>898</v>
      </c>
      <c r="G68" s="69" t="s">
        <v>899</v>
      </c>
      <c r="H68" s="69" t="s">
        <v>607</v>
      </c>
      <c r="I68" s="15" t="s">
        <v>420</v>
      </c>
      <c r="J68" s="21" t="s">
        <v>421</v>
      </c>
      <c r="K68" s="21" t="s">
        <v>338</v>
      </c>
      <c r="L68" s="21"/>
      <c r="M68" s="109">
        <v>45519.0</v>
      </c>
      <c r="N68" s="109">
        <v>45523.0</v>
      </c>
      <c r="O68" s="110" t="s">
        <v>422</v>
      </c>
      <c r="P68" s="111">
        <v>45524.0</v>
      </c>
      <c r="Q68" s="112"/>
      <c r="R68" s="110">
        <f>COUNTIF($D$5:$D$91,D68)</f>
        <v>3</v>
      </c>
      <c r="S68" s="206"/>
      <c r="T68" s="206"/>
      <c r="U68" s="206"/>
      <c r="V68" s="206"/>
      <c r="W68" s="206"/>
      <c r="X68" s="206"/>
      <c r="Y68" s="206"/>
      <c r="Z68" s="206"/>
      <c r="AA68" s="206"/>
      <c r="AB68" s="206"/>
      <c r="AC68" s="206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>
        <v>150000.0</v>
      </c>
      <c r="AN68" s="114" t="s">
        <v>424</v>
      </c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  <c r="AZ68" s="116">
        <f t="shared" si="13"/>
        <v>3</v>
      </c>
      <c r="BA68" s="117">
        <f>SUM(AM68)</f>
        <v>150000</v>
      </c>
      <c r="BB68" s="117">
        <v>0.0</v>
      </c>
      <c r="BC68" s="118">
        <f>AM68</f>
        <v>150000</v>
      </c>
      <c r="BD68" s="119">
        <f t="shared" si="14"/>
        <v>150003</v>
      </c>
    </row>
    <row r="69" ht="27.0" hidden="1" customHeight="1">
      <c r="A69" s="12">
        <f t="shared" si="1"/>
        <v>65</v>
      </c>
      <c r="B69" s="13" t="s">
        <v>43</v>
      </c>
      <c r="C69" s="250"/>
      <c r="D69" s="215" t="s">
        <v>292</v>
      </c>
      <c r="E69" s="215" t="s">
        <v>293</v>
      </c>
      <c r="F69" s="179">
        <v>15617.0</v>
      </c>
      <c r="G69" s="69" t="s">
        <v>900</v>
      </c>
      <c r="H69" s="31" t="s">
        <v>901</v>
      </c>
      <c r="I69" s="15" t="s">
        <v>420</v>
      </c>
      <c r="J69" s="21" t="s">
        <v>421</v>
      </c>
      <c r="K69" s="21" t="s">
        <v>338</v>
      </c>
      <c r="L69" s="216" t="s">
        <v>902</v>
      </c>
      <c r="M69" s="109">
        <v>45807.0</v>
      </c>
      <c r="N69" s="109">
        <v>45841.0</v>
      </c>
      <c r="O69" s="110" t="s">
        <v>422</v>
      </c>
      <c r="P69" s="111">
        <v>45855.0</v>
      </c>
      <c r="Q69" s="112"/>
      <c r="S69" s="206"/>
      <c r="T69" s="206"/>
      <c r="U69" s="206"/>
      <c r="V69" s="206"/>
      <c r="W69" s="206"/>
      <c r="X69" s="206"/>
      <c r="Y69" s="206"/>
      <c r="Z69" s="206"/>
      <c r="AA69" s="206"/>
      <c r="AB69" s="206"/>
      <c r="AC69" s="206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>
        <v>150000.0</v>
      </c>
      <c r="AY69" s="114"/>
      <c r="AZ69" s="116">
        <f t="shared" si="13"/>
        <v>0</v>
      </c>
      <c r="BA69" s="117">
        <v>150000.0</v>
      </c>
      <c r="BB69" s="117">
        <v>0.0</v>
      </c>
      <c r="BC69" s="118">
        <f t="shared" ref="BC69:BC70" si="16">BA69+BB69</f>
        <v>150000</v>
      </c>
      <c r="BD69" s="119">
        <f t="shared" si="14"/>
        <v>150000</v>
      </c>
    </row>
    <row r="70" ht="27.0" hidden="1" customHeight="1">
      <c r="A70" s="12">
        <f t="shared" si="1"/>
        <v>66</v>
      </c>
      <c r="B70" s="13" t="s">
        <v>43</v>
      </c>
      <c r="C70" s="250"/>
      <c r="D70" s="215" t="s">
        <v>292</v>
      </c>
      <c r="E70" s="215" t="s">
        <v>293</v>
      </c>
      <c r="F70" s="179">
        <v>15617.0</v>
      </c>
      <c r="G70" s="69" t="s">
        <v>900</v>
      </c>
      <c r="H70" s="31" t="s">
        <v>903</v>
      </c>
      <c r="I70" s="15" t="s">
        <v>420</v>
      </c>
      <c r="J70" s="21" t="s">
        <v>421</v>
      </c>
      <c r="K70" s="21" t="s">
        <v>338</v>
      </c>
      <c r="L70" s="216" t="s">
        <v>902</v>
      </c>
      <c r="M70" s="109">
        <v>45807.0</v>
      </c>
      <c r="N70" s="109">
        <v>45841.0</v>
      </c>
      <c r="O70" s="110" t="s">
        <v>422</v>
      </c>
      <c r="P70" s="111">
        <v>45855.0</v>
      </c>
      <c r="Q70" s="112"/>
      <c r="S70" s="206"/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>
        <v>150000.0</v>
      </c>
      <c r="AY70" s="114"/>
      <c r="AZ70" s="116">
        <f t="shared" si="13"/>
        <v>0</v>
      </c>
      <c r="BA70" s="117">
        <v>150000.0</v>
      </c>
      <c r="BB70" s="117">
        <v>0.0</v>
      </c>
      <c r="BC70" s="118">
        <f t="shared" si="16"/>
        <v>150000</v>
      </c>
      <c r="BD70" s="119">
        <f t="shared" si="14"/>
        <v>150000</v>
      </c>
    </row>
    <row r="71" ht="27.0" hidden="1" customHeight="1">
      <c r="A71" s="12">
        <f t="shared" si="1"/>
        <v>67</v>
      </c>
      <c r="B71" s="13" t="s">
        <v>43</v>
      </c>
      <c r="C71" s="33" t="s">
        <v>298</v>
      </c>
      <c r="D71" s="40" t="s">
        <v>299</v>
      </c>
      <c r="E71" s="69" t="s">
        <v>300</v>
      </c>
      <c r="F71" s="122" t="s">
        <v>904</v>
      </c>
      <c r="G71" s="40" t="s">
        <v>905</v>
      </c>
      <c r="H71" s="69" t="s">
        <v>906</v>
      </c>
      <c r="I71" s="15" t="s">
        <v>420</v>
      </c>
      <c r="J71" s="21" t="s">
        <v>421</v>
      </c>
      <c r="K71" s="21" t="s">
        <v>338</v>
      </c>
      <c r="L71" s="21"/>
      <c r="M71" s="109">
        <v>45704.0</v>
      </c>
      <c r="N71" s="109">
        <v>45705.0</v>
      </c>
      <c r="O71" s="110" t="s">
        <v>422</v>
      </c>
      <c r="P71" s="111"/>
      <c r="Q71" s="112"/>
      <c r="R71" s="110">
        <v>1.0</v>
      </c>
      <c r="S71" s="206"/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37">
        <v>150000.0</v>
      </c>
      <c r="AT71" s="114" t="s">
        <v>632</v>
      </c>
      <c r="AU71" s="114"/>
      <c r="AV71" s="114"/>
      <c r="AW71" s="114"/>
      <c r="AX71" s="114"/>
      <c r="AY71" s="114"/>
      <c r="AZ71" s="116">
        <f t="shared" si="13"/>
        <v>150001</v>
      </c>
      <c r="BA71" s="117">
        <v>0.0</v>
      </c>
      <c r="BB71" s="117">
        <v>0.0</v>
      </c>
      <c r="BC71" s="118">
        <v>0.0</v>
      </c>
      <c r="BD71" s="119">
        <f t="shared" si="14"/>
        <v>150001</v>
      </c>
    </row>
    <row r="72" ht="27.0" hidden="1" customHeight="1">
      <c r="A72" s="12">
        <f t="shared" si="1"/>
        <v>68</v>
      </c>
      <c r="B72" s="13" t="s">
        <v>43</v>
      </c>
      <c r="C72" s="15">
        <v>11117.0</v>
      </c>
      <c r="D72" s="30" t="s">
        <v>333</v>
      </c>
      <c r="E72" s="30" t="s">
        <v>334</v>
      </c>
      <c r="F72" s="124">
        <v>15696.0</v>
      </c>
      <c r="G72" s="16" t="s">
        <v>943</v>
      </c>
      <c r="H72" s="16" t="s">
        <v>944</v>
      </c>
      <c r="I72" s="15" t="s">
        <v>420</v>
      </c>
      <c r="J72" s="21" t="s">
        <v>421</v>
      </c>
      <c r="K72" s="21" t="s">
        <v>339</v>
      </c>
      <c r="L72" s="21"/>
      <c r="M72" s="109">
        <v>45812.0</v>
      </c>
      <c r="N72" s="109">
        <v>45812.0</v>
      </c>
      <c r="O72" s="110" t="s">
        <v>422</v>
      </c>
      <c r="P72" s="111">
        <v>45813.0</v>
      </c>
      <c r="Q72" s="112"/>
      <c r="R72" s="110">
        <v>1.0</v>
      </c>
      <c r="S72" s="206"/>
      <c r="T72" s="206"/>
      <c r="U72" s="206"/>
      <c r="V72" s="206"/>
      <c r="W72" s="206"/>
      <c r="X72" s="206"/>
      <c r="Y72" s="206"/>
      <c r="Z72" s="206"/>
      <c r="AA72" s="206"/>
      <c r="AB72" s="206"/>
      <c r="AC72" s="206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>
        <v>150000.0</v>
      </c>
      <c r="AY72" s="114"/>
      <c r="AZ72" s="116">
        <f t="shared" si="13"/>
        <v>1</v>
      </c>
      <c r="BA72" s="117">
        <f>AX72</f>
        <v>150000</v>
      </c>
      <c r="BB72" s="117">
        <v>0.0</v>
      </c>
      <c r="BC72" s="118">
        <f>sum(BA72:BB72)</f>
        <v>150000</v>
      </c>
      <c r="BD72" s="119">
        <f t="shared" si="14"/>
        <v>150001</v>
      </c>
    </row>
    <row r="73" ht="27.0" hidden="1" customHeight="1">
      <c r="A73" s="12">
        <f t="shared" si="1"/>
        <v>69</v>
      </c>
      <c r="B73" s="13" t="s">
        <v>43</v>
      </c>
      <c r="C73" s="15">
        <v>1694.0</v>
      </c>
      <c r="D73" s="30" t="s">
        <v>340</v>
      </c>
      <c r="E73" s="30" t="s">
        <v>341</v>
      </c>
      <c r="F73" s="124">
        <v>11117.0</v>
      </c>
      <c r="G73" s="16" t="s">
        <v>945</v>
      </c>
      <c r="H73" s="16" t="s">
        <v>946</v>
      </c>
      <c r="I73" s="15" t="s">
        <v>420</v>
      </c>
      <c r="J73" s="21" t="s">
        <v>421</v>
      </c>
      <c r="K73" s="21" t="s">
        <v>347</v>
      </c>
      <c r="L73" s="21"/>
      <c r="M73" s="109">
        <v>45322.0</v>
      </c>
      <c r="N73" s="109">
        <v>45322.0</v>
      </c>
      <c r="O73" s="110" t="s">
        <v>422</v>
      </c>
      <c r="P73" s="111"/>
      <c r="Q73" s="112"/>
      <c r="R73" s="110">
        <v>2.0</v>
      </c>
      <c r="S73" s="206"/>
      <c r="T73" s="206"/>
      <c r="U73" s="206"/>
      <c r="V73" s="206"/>
      <c r="W73" s="206"/>
      <c r="X73" s="206"/>
      <c r="Y73" s="206"/>
      <c r="Z73" s="206"/>
      <c r="AA73" s="206"/>
      <c r="AB73" s="206"/>
      <c r="AC73" s="206"/>
      <c r="AD73" s="114"/>
      <c r="AE73" s="114"/>
      <c r="AF73" s="114">
        <v>150000.0</v>
      </c>
      <c r="AG73" s="114" t="s">
        <v>424</v>
      </c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  <c r="AZ73" s="116">
        <f t="shared" si="13"/>
        <v>2</v>
      </c>
      <c r="BA73" s="117">
        <v>0.0</v>
      </c>
      <c r="BB73" s="117">
        <v>0.0</v>
      </c>
      <c r="BC73" s="118">
        <f>sum(AF73:AL73)</f>
        <v>150000</v>
      </c>
      <c r="BD73" s="119">
        <f t="shared" si="14"/>
        <v>150002</v>
      </c>
    </row>
    <row r="74" ht="27.0" hidden="1" customHeight="1">
      <c r="A74" s="12">
        <f t="shared" si="1"/>
        <v>70</v>
      </c>
      <c r="B74" s="13" t="s">
        <v>43</v>
      </c>
      <c r="C74" s="15">
        <v>1694.0</v>
      </c>
      <c r="D74" s="30" t="s">
        <v>340</v>
      </c>
      <c r="E74" s="30" t="s">
        <v>341</v>
      </c>
      <c r="F74" s="124">
        <v>11117.0</v>
      </c>
      <c r="G74" s="16" t="s">
        <v>945</v>
      </c>
      <c r="H74" s="16" t="s">
        <v>947</v>
      </c>
      <c r="I74" s="15" t="s">
        <v>420</v>
      </c>
      <c r="J74" s="21" t="s">
        <v>448</v>
      </c>
      <c r="K74" s="21" t="s">
        <v>347</v>
      </c>
      <c r="L74" s="21"/>
      <c r="M74" s="109">
        <v>45322.0</v>
      </c>
      <c r="N74" s="109">
        <v>45323.0</v>
      </c>
      <c r="O74" s="110" t="s">
        <v>422</v>
      </c>
      <c r="P74" s="111">
        <v>45588.0</v>
      </c>
      <c r="Q74" s="112"/>
      <c r="S74" s="206"/>
      <c r="T74" s="206"/>
      <c r="U74" s="206"/>
      <c r="V74" s="206"/>
      <c r="W74" s="206"/>
      <c r="X74" s="206"/>
      <c r="Y74" s="206"/>
      <c r="Z74" s="206"/>
      <c r="AA74" s="206"/>
      <c r="AB74" s="206"/>
      <c r="AC74" s="206"/>
      <c r="AD74" s="114"/>
      <c r="AE74" s="114"/>
      <c r="AF74" s="114">
        <v>12500.0</v>
      </c>
      <c r="AG74" s="114" t="s">
        <v>128</v>
      </c>
      <c r="AH74" s="114">
        <v>12500.0</v>
      </c>
      <c r="AI74" s="114">
        <v>12500.0</v>
      </c>
      <c r="AJ74" s="114">
        <v>12500.0</v>
      </c>
      <c r="AK74" s="114">
        <v>12500.0</v>
      </c>
      <c r="AL74" s="114">
        <v>12500.0</v>
      </c>
      <c r="AM74" s="114">
        <v>12500.0</v>
      </c>
      <c r="AN74" s="114">
        <v>12500.0</v>
      </c>
      <c r="AO74" s="114">
        <v>12500.0</v>
      </c>
      <c r="AP74" s="137">
        <f t="shared" ref="AP74:AR74" si="17">12500</f>
        <v>12500</v>
      </c>
      <c r="AQ74" s="137">
        <f t="shared" si="17"/>
        <v>12500</v>
      </c>
      <c r="AR74" s="137">
        <f t="shared" si="17"/>
        <v>12500</v>
      </c>
      <c r="AS74" s="137"/>
      <c r="AT74" s="137"/>
      <c r="AU74" s="137"/>
      <c r="AV74" s="137"/>
      <c r="AW74" s="137"/>
      <c r="AX74" s="137"/>
      <c r="AY74" s="137"/>
      <c r="AZ74" s="116">
        <f t="shared" si="13"/>
        <v>37500</v>
      </c>
      <c r="BA74" s="117">
        <f>SUM(AF74:AO74)</f>
        <v>112500</v>
      </c>
      <c r="BB74" s="117">
        <v>0.0</v>
      </c>
      <c r="BC74" s="118">
        <f>sum(AF74:AO74)</f>
        <v>112500</v>
      </c>
      <c r="BD74" s="119">
        <f t="shared" si="14"/>
        <v>150000</v>
      </c>
    </row>
    <row r="75" ht="27.0" hidden="1" customHeight="1">
      <c r="A75" s="12">
        <f t="shared" si="1"/>
        <v>71</v>
      </c>
      <c r="B75" s="13" t="s">
        <v>43</v>
      </c>
      <c r="C75" s="12">
        <v>6058.0</v>
      </c>
      <c r="D75" s="30" t="s">
        <v>53</v>
      </c>
      <c r="E75" s="30" t="s">
        <v>54</v>
      </c>
      <c r="F75" s="122">
        <v>13501.0</v>
      </c>
      <c r="G75" s="69" t="s">
        <v>948</v>
      </c>
      <c r="H75" s="174" t="s">
        <v>949</v>
      </c>
      <c r="I75" s="15" t="s">
        <v>420</v>
      </c>
      <c r="J75" s="21" t="s">
        <v>673</v>
      </c>
      <c r="K75" s="21" t="s">
        <v>347</v>
      </c>
      <c r="L75" s="21"/>
      <c r="M75" s="109">
        <v>45577.0</v>
      </c>
      <c r="N75" s="109">
        <v>45577.0</v>
      </c>
      <c r="O75" s="110" t="s">
        <v>422</v>
      </c>
      <c r="P75" s="111">
        <v>45813.0</v>
      </c>
      <c r="Q75" s="112"/>
      <c r="R75" s="110">
        <v>1.0</v>
      </c>
      <c r="S75" s="206"/>
      <c r="T75" s="206"/>
      <c r="U75" s="206"/>
      <c r="V75" s="206"/>
      <c r="W75" s="206"/>
      <c r="X75" s="206"/>
      <c r="Y75" s="206"/>
      <c r="Z75" s="206"/>
      <c r="AA75" s="206"/>
      <c r="AB75" s="206"/>
      <c r="AC75" s="206"/>
      <c r="AD75" s="114"/>
      <c r="AE75" s="114"/>
      <c r="AF75" s="137"/>
      <c r="AG75" s="114"/>
      <c r="AH75" s="137"/>
      <c r="AI75" s="137"/>
      <c r="AJ75" s="137"/>
      <c r="AK75" s="137"/>
      <c r="AL75" s="137"/>
      <c r="AM75" s="137"/>
      <c r="AN75" s="137"/>
      <c r="AO75" s="114">
        <f>12500*3</f>
        <v>37500</v>
      </c>
      <c r="AP75" s="114" t="s">
        <v>128</v>
      </c>
      <c r="AQ75" s="114" t="s">
        <v>128</v>
      </c>
      <c r="AR75" s="114">
        <v>12500.0</v>
      </c>
      <c r="AS75" s="114">
        <v>12500.0</v>
      </c>
      <c r="AT75" s="114">
        <v>12500.0</v>
      </c>
      <c r="AU75" s="114">
        <v>12500.0</v>
      </c>
      <c r="AV75" s="114">
        <v>12500.0</v>
      </c>
      <c r="AW75" s="137"/>
      <c r="AX75" s="137"/>
      <c r="AY75" s="137"/>
      <c r="AZ75" s="116">
        <f t="shared" si="13"/>
        <v>25001</v>
      </c>
      <c r="BA75" s="117">
        <f>sum(AO75:AT75)</f>
        <v>75000</v>
      </c>
      <c r="BB75" s="117">
        <v>0.0</v>
      </c>
      <c r="BC75" s="118">
        <f>sum(BA75:BB75)</f>
        <v>75000</v>
      </c>
      <c r="BD75" s="119">
        <f t="shared" si="14"/>
        <v>100001</v>
      </c>
    </row>
    <row r="76" ht="27.0" hidden="1" customHeight="1">
      <c r="A76" s="12">
        <f t="shared" si="1"/>
        <v>72</v>
      </c>
      <c r="B76" s="13" t="s">
        <v>43</v>
      </c>
      <c r="C76" s="75">
        <v>4134.0</v>
      </c>
      <c r="D76" s="38" t="s">
        <v>348</v>
      </c>
      <c r="E76" s="213" t="s">
        <v>349</v>
      </c>
      <c r="F76" s="223">
        <v>13058.0</v>
      </c>
      <c r="G76" s="224" t="s">
        <v>950</v>
      </c>
      <c r="H76" s="213" t="s">
        <v>951</v>
      </c>
      <c r="I76" s="15" t="s">
        <v>420</v>
      </c>
      <c r="J76" s="21" t="s">
        <v>439</v>
      </c>
      <c r="K76" s="21" t="s">
        <v>347</v>
      </c>
      <c r="L76" s="21"/>
      <c r="M76" s="109">
        <v>45521.0</v>
      </c>
      <c r="N76" s="109">
        <v>45521.0</v>
      </c>
      <c r="O76" s="110" t="s">
        <v>512</v>
      </c>
      <c r="P76" s="111"/>
      <c r="Q76" s="112"/>
      <c r="R76" s="110">
        <v>1.0</v>
      </c>
      <c r="S76" s="206"/>
      <c r="T76" s="206"/>
      <c r="U76" s="206"/>
      <c r="V76" s="206"/>
      <c r="W76" s="206"/>
      <c r="X76" s="206"/>
      <c r="Y76" s="206"/>
      <c r="Z76" s="206"/>
      <c r="AA76" s="206"/>
      <c r="AB76" s="206"/>
      <c r="AC76" s="206"/>
      <c r="AD76" s="114"/>
      <c r="AE76" s="114"/>
      <c r="AF76" s="137"/>
      <c r="AG76" s="114"/>
      <c r="AH76" s="137"/>
      <c r="AI76" s="137"/>
      <c r="AJ76" s="137"/>
      <c r="AK76" s="137"/>
      <c r="AL76" s="137"/>
      <c r="AM76" s="137">
        <f>12500*6</f>
        <v>75000</v>
      </c>
      <c r="AN76" s="137" t="s">
        <v>128</v>
      </c>
      <c r="AO76" s="137" t="s">
        <v>128</v>
      </c>
      <c r="AP76" s="137" t="s">
        <v>128</v>
      </c>
      <c r="AQ76" s="137" t="s">
        <v>128</v>
      </c>
      <c r="AR76" s="137" t="s">
        <v>128</v>
      </c>
      <c r="AS76" s="137">
        <v>12500.0</v>
      </c>
      <c r="AT76" s="137">
        <v>12500.0</v>
      </c>
      <c r="AU76" s="137">
        <v>12500.0</v>
      </c>
      <c r="AV76" s="137">
        <v>12500.0</v>
      </c>
      <c r="AW76" s="137"/>
      <c r="AX76" s="137"/>
      <c r="AY76" s="137"/>
      <c r="AZ76" s="116">
        <f t="shared" si="13"/>
        <v>125001</v>
      </c>
      <c r="BA76" s="117">
        <v>0.0</v>
      </c>
      <c r="BB76" s="117">
        <v>0.0</v>
      </c>
      <c r="BC76" s="118">
        <v>0.0</v>
      </c>
      <c r="BD76" s="119">
        <f t="shared" si="14"/>
        <v>125001</v>
      </c>
    </row>
    <row r="77" ht="27.0" customHeight="1">
      <c r="A77" s="12">
        <f t="shared" si="1"/>
        <v>73</v>
      </c>
      <c r="B77" s="13" t="s">
        <v>1028</v>
      </c>
      <c r="C77" s="12">
        <v>8881.0</v>
      </c>
      <c r="D77" s="30" t="s">
        <v>354</v>
      </c>
      <c r="E77" s="30" t="s">
        <v>355</v>
      </c>
      <c r="F77" s="124">
        <v>13526.0</v>
      </c>
      <c r="G77" s="30" t="s">
        <v>959</v>
      </c>
      <c r="H77" s="30" t="s">
        <v>960</v>
      </c>
      <c r="I77" s="15" t="s">
        <v>961</v>
      </c>
      <c r="J77" s="21" t="s">
        <v>511</v>
      </c>
      <c r="K77" s="21" t="s">
        <v>347</v>
      </c>
      <c r="L77" s="21"/>
      <c r="M77" s="109">
        <v>45572.0</v>
      </c>
      <c r="N77" s="109">
        <v>45572.0</v>
      </c>
      <c r="O77" s="110" t="s">
        <v>422</v>
      </c>
      <c r="P77" s="111">
        <v>45588.0</v>
      </c>
      <c r="Q77" s="112"/>
      <c r="R77" s="110">
        <v>2.0</v>
      </c>
      <c r="S77" s="206"/>
      <c r="T77" s="206"/>
      <c r="U77" s="206"/>
      <c r="V77" s="206"/>
      <c r="W77" s="206"/>
      <c r="X77" s="206"/>
      <c r="Y77" s="206"/>
      <c r="Z77" s="206"/>
      <c r="AA77" s="206"/>
      <c r="AB77" s="206"/>
      <c r="AC77" s="206"/>
      <c r="AD77" s="114"/>
      <c r="AE77" s="114"/>
      <c r="AF77" s="137"/>
      <c r="AG77" s="114"/>
      <c r="AH77" s="137"/>
      <c r="AI77" s="137"/>
      <c r="AJ77" s="137"/>
      <c r="AK77" s="137"/>
      <c r="AL77" s="137"/>
      <c r="AM77" s="137"/>
      <c r="AN77" s="137"/>
      <c r="AO77" s="114">
        <f>120120/2</f>
        <v>60060</v>
      </c>
      <c r="AP77" s="114" t="s">
        <v>128</v>
      </c>
      <c r="AQ77" s="114" t="s">
        <v>128</v>
      </c>
      <c r="AR77" s="114" t="s">
        <v>128</v>
      </c>
      <c r="AS77" s="114"/>
      <c r="AT77" s="114"/>
      <c r="AU77" s="114"/>
      <c r="AV77" s="114"/>
      <c r="AW77" s="114"/>
      <c r="AX77" s="114"/>
      <c r="AY77" s="114"/>
      <c r="AZ77" s="116">
        <f t="shared" si="13"/>
        <v>2</v>
      </c>
      <c r="BA77" s="117">
        <f t="shared" ref="BA77:BA78" si="18">SUM(AO77)</f>
        <v>60060</v>
      </c>
      <c r="BB77" s="117">
        <v>0.0</v>
      </c>
      <c r="BC77" s="118">
        <f t="shared" ref="BC77:BC78" si="19">sum(AF77:AO77)</f>
        <v>60060</v>
      </c>
      <c r="BD77" s="119">
        <f t="shared" si="14"/>
        <v>60062</v>
      </c>
    </row>
    <row r="78" ht="27.0" customHeight="1">
      <c r="A78" s="12">
        <f t="shared" si="1"/>
        <v>74</v>
      </c>
      <c r="B78" s="13" t="s">
        <v>1028</v>
      </c>
      <c r="C78" s="12">
        <v>8881.0</v>
      </c>
      <c r="D78" s="30" t="s">
        <v>354</v>
      </c>
      <c r="E78" s="30" t="s">
        <v>355</v>
      </c>
      <c r="F78" s="124">
        <v>13566.0</v>
      </c>
      <c r="G78" s="30" t="s">
        <v>959</v>
      </c>
      <c r="H78" s="30" t="s">
        <v>960</v>
      </c>
      <c r="I78" s="15" t="s">
        <v>432</v>
      </c>
      <c r="J78" s="21" t="s">
        <v>439</v>
      </c>
      <c r="K78" s="21" t="s">
        <v>347</v>
      </c>
      <c r="L78" s="21"/>
      <c r="M78" s="109">
        <v>45578.0</v>
      </c>
      <c r="N78" s="109">
        <v>45578.0</v>
      </c>
      <c r="O78" s="110" t="s">
        <v>422</v>
      </c>
      <c r="P78" s="111">
        <v>45588.0</v>
      </c>
      <c r="Q78" s="112"/>
      <c r="S78" s="206"/>
      <c r="T78" s="206"/>
      <c r="U78" s="206"/>
      <c r="V78" s="206"/>
      <c r="W78" s="206"/>
      <c r="X78" s="206"/>
      <c r="Y78" s="206"/>
      <c r="Z78" s="206"/>
      <c r="AA78" s="206"/>
      <c r="AB78" s="206"/>
      <c r="AC78" s="206"/>
      <c r="AD78" s="114"/>
      <c r="AE78" s="114"/>
      <c r="AF78" s="137"/>
      <c r="AG78" s="114"/>
      <c r="AH78" s="137"/>
      <c r="AI78" s="137"/>
      <c r="AJ78" s="137"/>
      <c r="AK78" s="137"/>
      <c r="AL78" s="137"/>
      <c r="AM78" s="137"/>
      <c r="AN78" s="137"/>
      <c r="AO78" s="114">
        <f>181720/2</f>
        <v>90860</v>
      </c>
      <c r="AP78" s="114" t="s">
        <v>128</v>
      </c>
      <c r="AQ78" s="114" t="s">
        <v>128</v>
      </c>
      <c r="AR78" s="114" t="s">
        <v>128</v>
      </c>
      <c r="AS78" s="114"/>
      <c r="AT78" s="114"/>
      <c r="AU78" s="114"/>
      <c r="AV78" s="114"/>
      <c r="AW78" s="114"/>
      <c r="AX78" s="114"/>
      <c r="AY78" s="114"/>
      <c r="AZ78" s="116">
        <f t="shared" si="13"/>
        <v>0</v>
      </c>
      <c r="BA78" s="117">
        <f t="shared" si="18"/>
        <v>90860</v>
      </c>
      <c r="BB78" s="117">
        <v>0.0</v>
      </c>
      <c r="BC78" s="118">
        <f t="shared" si="19"/>
        <v>90860</v>
      </c>
      <c r="BD78" s="119">
        <f t="shared" si="14"/>
        <v>90860</v>
      </c>
    </row>
    <row r="79" ht="27.0" hidden="1" customHeight="1">
      <c r="A79" s="12"/>
      <c r="B79" s="13" t="s">
        <v>1028</v>
      </c>
      <c r="C79" s="15">
        <v>6125.0</v>
      </c>
      <c r="D79" s="16" t="s">
        <v>165</v>
      </c>
      <c r="E79" s="16" t="s">
        <v>166</v>
      </c>
      <c r="F79" s="124">
        <v>15774.0</v>
      </c>
      <c r="G79" s="30" t="s">
        <v>962</v>
      </c>
      <c r="H79" s="285" t="s">
        <v>963</v>
      </c>
      <c r="I79" s="15" t="s">
        <v>420</v>
      </c>
      <c r="J79" s="21" t="s">
        <v>511</v>
      </c>
      <c r="K79" s="21" t="s">
        <v>339</v>
      </c>
      <c r="L79" s="21"/>
      <c r="M79" s="109">
        <v>45853.0</v>
      </c>
      <c r="N79" s="109">
        <v>45855.0</v>
      </c>
      <c r="O79" s="110" t="s">
        <v>512</v>
      </c>
      <c r="P79" s="111">
        <v>45880.0</v>
      </c>
      <c r="Q79" s="112"/>
      <c r="R79" s="110">
        <v>2.0</v>
      </c>
      <c r="S79" s="206"/>
      <c r="T79" s="206"/>
      <c r="U79" s="206"/>
      <c r="V79" s="206"/>
      <c r="W79" s="206"/>
      <c r="X79" s="206"/>
      <c r="Y79" s="206"/>
      <c r="Z79" s="206"/>
      <c r="AA79" s="206"/>
      <c r="AB79" s="206"/>
      <c r="AC79" s="206"/>
      <c r="AD79" s="114"/>
      <c r="AE79" s="114"/>
      <c r="AF79" s="137"/>
      <c r="AG79" s="114"/>
      <c r="AH79" s="137"/>
      <c r="AI79" s="137"/>
      <c r="AJ79" s="137"/>
      <c r="AK79" s="137"/>
      <c r="AL79" s="137"/>
      <c r="AM79" s="137"/>
      <c r="AN79" s="137"/>
      <c r="AO79" s="114"/>
      <c r="AP79" s="114"/>
      <c r="AQ79" s="114"/>
      <c r="AR79" s="114"/>
      <c r="AS79" s="114"/>
      <c r="AT79" s="114"/>
      <c r="AU79" s="114"/>
      <c r="AV79" s="114"/>
      <c r="AW79" s="114"/>
      <c r="AX79" s="137">
        <f>8333*6</f>
        <v>49998</v>
      </c>
      <c r="AY79" s="137" t="s">
        <v>128</v>
      </c>
      <c r="AZ79" s="116">
        <f t="shared" si="13"/>
        <v>50000</v>
      </c>
      <c r="BA79" s="117">
        <v>0.0</v>
      </c>
      <c r="BB79" s="117">
        <v>0.0</v>
      </c>
      <c r="BC79" s="118">
        <v>0.0</v>
      </c>
      <c r="BD79" s="119">
        <f t="shared" ref="BD79:BD86" si="20">SUM(R79:AY79)</f>
        <v>50000</v>
      </c>
    </row>
    <row r="80" ht="27.0" hidden="1" customHeight="1">
      <c r="A80" s="12"/>
      <c r="B80" s="13" t="s">
        <v>1028</v>
      </c>
      <c r="C80" s="15">
        <v>6125.0</v>
      </c>
      <c r="D80" s="16" t="s">
        <v>165</v>
      </c>
      <c r="E80" s="16" t="s">
        <v>166</v>
      </c>
      <c r="F80" s="124">
        <v>16070.0</v>
      </c>
      <c r="G80" s="30" t="s">
        <v>964</v>
      </c>
      <c r="H80" s="285" t="s">
        <v>965</v>
      </c>
      <c r="I80" s="15" t="s">
        <v>420</v>
      </c>
      <c r="J80" s="21" t="s">
        <v>421</v>
      </c>
      <c r="K80" s="21" t="s">
        <v>339</v>
      </c>
      <c r="L80" s="21"/>
      <c r="M80" s="109">
        <v>45873.0</v>
      </c>
      <c r="N80" s="109">
        <v>45873.0</v>
      </c>
      <c r="O80" s="110" t="s">
        <v>422</v>
      </c>
      <c r="P80" s="111">
        <v>45880.0</v>
      </c>
      <c r="Q80" s="112"/>
      <c r="S80" s="206"/>
      <c r="T80" s="206"/>
      <c r="U80" s="206"/>
      <c r="V80" s="206"/>
      <c r="W80" s="206"/>
      <c r="X80" s="206"/>
      <c r="Y80" s="206"/>
      <c r="Z80" s="206"/>
      <c r="AA80" s="206"/>
      <c r="AB80" s="206"/>
      <c r="AC80" s="206"/>
      <c r="AD80" s="114"/>
      <c r="AE80" s="114"/>
      <c r="AF80" s="137"/>
      <c r="AG80" s="114"/>
      <c r="AH80" s="137"/>
      <c r="AI80" s="137"/>
      <c r="AJ80" s="137"/>
      <c r="AK80" s="137"/>
      <c r="AL80" s="137"/>
      <c r="AM80" s="137"/>
      <c r="AN80" s="137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37">
        <v>150000.0</v>
      </c>
      <c r="AZ80" s="116">
        <f t="shared" si="13"/>
        <v>150000</v>
      </c>
      <c r="BA80" s="117">
        <v>0.0</v>
      </c>
      <c r="BB80" s="117">
        <v>0.0</v>
      </c>
      <c r="BC80" s="118">
        <v>0.0</v>
      </c>
      <c r="BD80" s="119">
        <f t="shared" si="20"/>
        <v>150000</v>
      </c>
    </row>
    <row r="81" ht="27.0" hidden="1" customHeight="1">
      <c r="A81" s="12"/>
      <c r="B81" s="13" t="s">
        <v>1028</v>
      </c>
      <c r="C81" s="15">
        <v>6125.0</v>
      </c>
      <c r="D81" s="16" t="s">
        <v>165</v>
      </c>
      <c r="E81" s="16" t="s">
        <v>166</v>
      </c>
      <c r="F81" s="124">
        <v>15902.0</v>
      </c>
      <c r="G81" s="30" t="s">
        <v>966</v>
      </c>
      <c r="H81" s="285" t="s">
        <v>967</v>
      </c>
      <c r="I81" s="15" t="s">
        <v>420</v>
      </c>
      <c r="J81" s="21" t="s">
        <v>511</v>
      </c>
      <c r="K81" s="21" t="s">
        <v>339</v>
      </c>
      <c r="L81" s="21"/>
      <c r="M81" s="109">
        <v>45869.0</v>
      </c>
      <c r="N81" s="109">
        <v>45876.0</v>
      </c>
      <c r="O81" s="110" t="s">
        <v>512</v>
      </c>
      <c r="P81" s="111">
        <v>45880.0</v>
      </c>
      <c r="Q81" s="112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114"/>
      <c r="AE81" s="114"/>
      <c r="AF81" s="137"/>
      <c r="AG81" s="114"/>
      <c r="AH81" s="137"/>
      <c r="AI81" s="137"/>
      <c r="AJ81" s="137"/>
      <c r="AK81" s="137"/>
      <c r="AL81" s="137"/>
      <c r="AM81" s="137"/>
      <c r="AN81" s="137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37">
        <f>8333*6</f>
        <v>49998</v>
      </c>
      <c r="AZ81" s="116">
        <f t="shared" si="13"/>
        <v>49998</v>
      </c>
      <c r="BA81" s="117">
        <v>0.0</v>
      </c>
      <c r="BB81" s="117">
        <v>0.0</v>
      </c>
      <c r="BC81" s="118">
        <v>0.0</v>
      </c>
      <c r="BD81" s="119">
        <f t="shared" si="20"/>
        <v>49998</v>
      </c>
    </row>
    <row r="82" ht="27.0" customHeight="1">
      <c r="A82" s="12"/>
      <c r="B82" s="13" t="s">
        <v>1028</v>
      </c>
      <c r="C82" s="15"/>
      <c r="D82" s="38" t="s">
        <v>361</v>
      </c>
      <c r="E82" s="38" t="s">
        <v>362</v>
      </c>
      <c r="F82" s="33" t="s">
        <v>971</v>
      </c>
      <c r="G82" s="69" t="s">
        <v>972</v>
      </c>
      <c r="H82" s="30" t="s">
        <v>973</v>
      </c>
      <c r="I82" s="15" t="s">
        <v>961</v>
      </c>
      <c r="J82" s="21" t="s">
        <v>446</v>
      </c>
      <c r="K82" s="21" t="s">
        <v>339</v>
      </c>
      <c r="L82" s="21"/>
      <c r="M82" s="109">
        <v>45882.0</v>
      </c>
      <c r="N82" s="109">
        <v>45882.0</v>
      </c>
      <c r="O82" s="110" t="s">
        <v>422</v>
      </c>
      <c r="P82" s="111"/>
      <c r="Q82" s="112"/>
      <c r="R82" s="110">
        <v>6.0</v>
      </c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  <c r="AD82" s="114"/>
      <c r="AE82" s="114"/>
      <c r="AF82" s="137"/>
      <c r="AG82" s="114"/>
      <c r="AH82" s="137"/>
      <c r="AI82" s="137"/>
      <c r="AJ82" s="137"/>
      <c r="AK82" s="137"/>
      <c r="AL82" s="137"/>
      <c r="AM82" s="137"/>
      <c r="AN82" s="137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37">
        <v>120120.0</v>
      </c>
      <c r="AZ82" s="116">
        <f t="shared" si="13"/>
        <v>120126</v>
      </c>
      <c r="BA82" s="117">
        <v>0.0</v>
      </c>
      <c r="BB82" s="117">
        <v>0.0</v>
      </c>
      <c r="BC82" s="118">
        <v>0.0</v>
      </c>
      <c r="BD82" s="119">
        <f t="shared" si="20"/>
        <v>120126</v>
      </c>
    </row>
    <row r="83" ht="27.0" customHeight="1">
      <c r="A83" s="12"/>
      <c r="B83" s="13" t="s">
        <v>1028</v>
      </c>
      <c r="C83" s="15"/>
      <c r="D83" s="38" t="s">
        <v>361</v>
      </c>
      <c r="E83" s="38" t="s">
        <v>362</v>
      </c>
      <c r="F83" s="33" t="s">
        <v>974</v>
      </c>
      <c r="G83" s="69" t="s">
        <v>975</v>
      </c>
      <c r="H83" s="30" t="s">
        <v>976</v>
      </c>
      <c r="I83" s="15" t="s">
        <v>961</v>
      </c>
      <c r="J83" s="21" t="s">
        <v>446</v>
      </c>
      <c r="K83" s="21" t="s">
        <v>339</v>
      </c>
      <c r="L83" s="21"/>
      <c r="M83" s="109">
        <v>45882.0</v>
      </c>
      <c r="N83" s="109">
        <v>45882.0</v>
      </c>
      <c r="O83" s="110" t="s">
        <v>422</v>
      </c>
      <c r="P83" s="111"/>
      <c r="Q83" s="112"/>
      <c r="S83" s="206"/>
      <c r="T83" s="206"/>
      <c r="U83" s="206"/>
      <c r="V83" s="206"/>
      <c r="W83" s="206"/>
      <c r="X83" s="206"/>
      <c r="Y83" s="206"/>
      <c r="Z83" s="206"/>
      <c r="AA83" s="206"/>
      <c r="AB83" s="206"/>
      <c r="AC83" s="206"/>
      <c r="AD83" s="114"/>
      <c r="AE83" s="114"/>
      <c r="AF83" s="137"/>
      <c r="AG83" s="114"/>
      <c r="AH83" s="137"/>
      <c r="AI83" s="137"/>
      <c r="AJ83" s="137"/>
      <c r="AK83" s="137"/>
      <c r="AL83" s="137"/>
      <c r="AM83" s="137"/>
      <c r="AN83" s="137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37">
        <v>120120.0</v>
      </c>
      <c r="AZ83" s="116">
        <f t="shared" si="13"/>
        <v>120120</v>
      </c>
      <c r="BA83" s="117">
        <v>0.0</v>
      </c>
      <c r="BB83" s="117">
        <v>0.0</v>
      </c>
      <c r="BC83" s="118">
        <v>0.0</v>
      </c>
      <c r="BD83" s="119">
        <f t="shared" si="20"/>
        <v>120120</v>
      </c>
    </row>
    <row r="84" ht="27.0" customHeight="1">
      <c r="A84" s="12"/>
      <c r="B84" s="71" t="s">
        <v>1028</v>
      </c>
      <c r="C84" s="15"/>
      <c r="D84" s="38" t="s">
        <v>361</v>
      </c>
      <c r="E84" s="38" t="s">
        <v>362</v>
      </c>
      <c r="F84" s="12">
        <v>15958.0</v>
      </c>
      <c r="G84" s="30" t="s">
        <v>977</v>
      </c>
      <c r="H84" s="30" t="s">
        <v>978</v>
      </c>
      <c r="I84" s="15" t="s">
        <v>961</v>
      </c>
      <c r="J84" s="21" t="s">
        <v>446</v>
      </c>
      <c r="K84" s="21" t="s">
        <v>339</v>
      </c>
      <c r="L84" s="21"/>
      <c r="M84" s="109">
        <v>45896.0</v>
      </c>
      <c r="N84" s="109">
        <v>45896.0</v>
      </c>
      <c r="O84" s="110" t="s">
        <v>422</v>
      </c>
      <c r="P84" s="166"/>
      <c r="Q84" s="166"/>
      <c r="S84" s="206"/>
      <c r="T84" s="206"/>
      <c r="U84" s="206"/>
      <c r="V84" s="206"/>
      <c r="W84" s="206"/>
      <c r="X84" s="206"/>
      <c r="Y84" s="206"/>
      <c r="Z84" s="206"/>
      <c r="AA84" s="206"/>
      <c r="AB84" s="206"/>
      <c r="AC84" s="206"/>
      <c r="AD84" s="114"/>
      <c r="AE84" s="114"/>
      <c r="AF84" s="137"/>
      <c r="AG84" s="114"/>
      <c r="AH84" s="137"/>
      <c r="AI84" s="137"/>
      <c r="AJ84" s="137"/>
      <c r="AK84" s="137"/>
      <c r="AL84" s="137"/>
      <c r="AM84" s="137"/>
      <c r="AN84" s="137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37">
        <v>120000.0</v>
      </c>
      <c r="AZ84" s="116">
        <f t="shared" si="13"/>
        <v>120000</v>
      </c>
      <c r="BA84" s="117">
        <v>0.0</v>
      </c>
      <c r="BB84" s="117">
        <v>0.0</v>
      </c>
      <c r="BC84" s="118">
        <v>0.0</v>
      </c>
      <c r="BD84" s="119">
        <f t="shared" si="20"/>
        <v>120000</v>
      </c>
    </row>
    <row r="85" ht="27.0" customHeight="1">
      <c r="A85" s="12"/>
      <c r="B85" s="13" t="s">
        <v>1028</v>
      </c>
      <c r="C85" s="15"/>
      <c r="D85" s="38" t="s">
        <v>361</v>
      </c>
      <c r="E85" s="38" t="s">
        <v>362</v>
      </c>
      <c r="F85" s="33" t="s">
        <v>979</v>
      </c>
      <c r="G85" s="69" t="s">
        <v>980</v>
      </c>
      <c r="H85" s="30" t="s">
        <v>981</v>
      </c>
      <c r="I85" s="15" t="s">
        <v>961</v>
      </c>
      <c r="J85" s="21" t="s">
        <v>446</v>
      </c>
      <c r="K85" s="21" t="s">
        <v>339</v>
      </c>
      <c r="L85" s="21"/>
      <c r="M85" s="109">
        <v>45834.0</v>
      </c>
      <c r="N85" s="109">
        <v>45834.0</v>
      </c>
      <c r="O85" s="110" t="s">
        <v>422</v>
      </c>
      <c r="P85" s="111"/>
      <c r="Q85" s="112"/>
      <c r="S85" s="206"/>
      <c r="T85" s="206"/>
      <c r="U85" s="206"/>
      <c r="V85" s="206"/>
      <c r="W85" s="206"/>
      <c r="X85" s="206"/>
      <c r="Y85" s="206"/>
      <c r="Z85" s="206"/>
      <c r="AA85" s="206"/>
      <c r="AB85" s="206"/>
      <c r="AC85" s="206"/>
      <c r="AD85" s="114"/>
      <c r="AE85" s="114"/>
      <c r="AF85" s="137"/>
      <c r="AG85" s="114"/>
      <c r="AH85" s="137"/>
      <c r="AI85" s="137"/>
      <c r="AJ85" s="137"/>
      <c r="AK85" s="137"/>
      <c r="AL85" s="137"/>
      <c r="AM85" s="137"/>
      <c r="AN85" s="137"/>
      <c r="AO85" s="114"/>
      <c r="AP85" s="114"/>
      <c r="AQ85" s="114"/>
      <c r="AR85" s="114"/>
      <c r="AS85" s="114"/>
      <c r="AT85" s="114"/>
      <c r="AU85" s="114"/>
      <c r="AV85" s="114"/>
      <c r="AW85" s="137">
        <v>120120.0</v>
      </c>
      <c r="AX85" s="114"/>
      <c r="AY85" s="137"/>
      <c r="AZ85" s="116">
        <f t="shared" si="13"/>
        <v>120120</v>
      </c>
      <c r="BA85" s="117">
        <v>0.0</v>
      </c>
      <c r="BB85" s="117">
        <v>0.0</v>
      </c>
      <c r="BC85" s="118">
        <v>0.0</v>
      </c>
      <c r="BD85" s="119">
        <f t="shared" si="20"/>
        <v>120120</v>
      </c>
    </row>
    <row r="86" ht="27.0" customHeight="1">
      <c r="A86" s="12"/>
      <c r="B86" s="13" t="s">
        <v>1028</v>
      </c>
      <c r="C86" s="15"/>
      <c r="D86" s="38" t="s">
        <v>361</v>
      </c>
      <c r="E86" s="38" t="s">
        <v>362</v>
      </c>
      <c r="F86" s="33" t="s">
        <v>982</v>
      </c>
      <c r="G86" s="69" t="s">
        <v>983</v>
      </c>
      <c r="H86" s="30" t="s">
        <v>983</v>
      </c>
      <c r="I86" s="15" t="s">
        <v>961</v>
      </c>
      <c r="J86" s="21" t="s">
        <v>446</v>
      </c>
      <c r="K86" s="21" t="s">
        <v>339</v>
      </c>
      <c r="L86" s="21"/>
      <c r="M86" s="109">
        <v>45842.0</v>
      </c>
      <c r="N86" s="109">
        <v>45842.0</v>
      </c>
      <c r="O86" s="110" t="s">
        <v>422</v>
      </c>
      <c r="P86" s="111"/>
      <c r="Q86" s="112"/>
      <c r="S86" s="206"/>
      <c r="T86" s="206"/>
      <c r="U86" s="206"/>
      <c r="V86" s="206"/>
      <c r="W86" s="206"/>
      <c r="X86" s="206"/>
      <c r="Y86" s="206"/>
      <c r="Z86" s="206"/>
      <c r="AA86" s="206"/>
      <c r="AB86" s="206"/>
      <c r="AC86" s="206"/>
      <c r="AD86" s="114"/>
      <c r="AE86" s="114"/>
      <c r="AF86" s="137"/>
      <c r="AG86" s="114"/>
      <c r="AH86" s="137"/>
      <c r="AI86" s="137"/>
      <c r="AJ86" s="137"/>
      <c r="AK86" s="137"/>
      <c r="AL86" s="137"/>
      <c r="AM86" s="137"/>
      <c r="AN86" s="137"/>
      <c r="AO86" s="114"/>
      <c r="AP86" s="114"/>
      <c r="AQ86" s="114"/>
      <c r="AR86" s="114"/>
      <c r="AS86" s="114"/>
      <c r="AT86" s="114"/>
      <c r="AU86" s="114"/>
      <c r="AV86" s="114"/>
      <c r="AW86" s="114"/>
      <c r="AX86" s="137">
        <v>120120.0</v>
      </c>
      <c r="AY86" s="137"/>
      <c r="AZ86" s="116">
        <f t="shared" si="13"/>
        <v>120120</v>
      </c>
      <c r="BA86" s="117">
        <v>0.0</v>
      </c>
      <c r="BB86" s="117">
        <v>0.0</v>
      </c>
      <c r="BC86" s="118">
        <v>0.0</v>
      </c>
      <c r="BD86" s="119">
        <f t="shared" si="20"/>
        <v>120120</v>
      </c>
    </row>
    <row r="87" ht="27.0" hidden="1" customHeight="1">
      <c r="A87" s="12">
        <f>A78+1</f>
        <v>75</v>
      </c>
      <c r="B87" s="13" t="s">
        <v>43</v>
      </c>
      <c r="C87" s="32">
        <v>4323.0</v>
      </c>
      <c r="D87" s="31" t="s">
        <v>147</v>
      </c>
      <c r="E87" s="131" t="s">
        <v>148</v>
      </c>
      <c r="F87" s="130" t="s">
        <v>990</v>
      </c>
      <c r="G87" s="31" t="s">
        <v>991</v>
      </c>
      <c r="H87" s="16" t="s">
        <v>992</v>
      </c>
      <c r="I87" s="15" t="s">
        <v>420</v>
      </c>
      <c r="J87" s="21" t="s">
        <v>421</v>
      </c>
      <c r="K87" s="21" t="s">
        <v>1033</v>
      </c>
      <c r="L87" s="21"/>
      <c r="M87" s="109">
        <v>45579.0</v>
      </c>
      <c r="N87" s="109">
        <v>45579.0</v>
      </c>
      <c r="O87" s="110" t="s">
        <v>422</v>
      </c>
      <c r="P87" s="111"/>
      <c r="Q87" s="112"/>
      <c r="R87" s="110">
        <v>2.0</v>
      </c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206"/>
      <c r="AD87" s="114"/>
      <c r="AE87" s="114"/>
      <c r="AF87" s="137"/>
      <c r="AG87" s="114"/>
      <c r="AH87" s="137"/>
      <c r="AI87" s="137"/>
      <c r="AJ87" s="137"/>
      <c r="AK87" s="137"/>
      <c r="AL87" s="137"/>
      <c r="AM87" s="137"/>
      <c r="AN87" s="137"/>
      <c r="AO87" s="137">
        <v>150000.0</v>
      </c>
      <c r="AP87" s="114" t="s">
        <v>424</v>
      </c>
      <c r="AQ87" s="21"/>
      <c r="AR87" s="21"/>
      <c r="AS87" s="21"/>
      <c r="AT87" s="21"/>
      <c r="AU87" s="21"/>
      <c r="AV87" s="21"/>
      <c r="AW87" s="21"/>
      <c r="AX87" s="21"/>
      <c r="AY87" s="21"/>
      <c r="AZ87" s="116">
        <f t="shared" ref="AZ87:AZ91" si="21">SUM(BD87-BC87)</f>
        <v>150002</v>
      </c>
      <c r="BA87" s="117">
        <v>0.0</v>
      </c>
      <c r="BB87" s="117">
        <v>0.0</v>
      </c>
      <c r="BC87" s="118">
        <v>0.0</v>
      </c>
      <c r="BD87" s="119">
        <f t="shared" ref="BD87:BD91" si="22">SUM(R87:AX87)</f>
        <v>150002</v>
      </c>
    </row>
    <row r="88" ht="27.0" hidden="1" customHeight="1">
      <c r="A88" s="12">
        <f t="shared" ref="A88:A91" si="23">A87+1</f>
        <v>76</v>
      </c>
      <c r="B88" s="13" t="s">
        <v>43</v>
      </c>
      <c r="C88" s="32">
        <v>4323.0</v>
      </c>
      <c r="D88" s="31" t="s">
        <v>147</v>
      </c>
      <c r="E88" s="131" t="s">
        <v>148</v>
      </c>
      <c r="F88" s="130" t="s">
        <v>990</v>
      </c>
      <c r="G88" s="31" t="s">
        <v>991</v>
      </c>
      <c r="H88" s="16" t="s">
        <v>993</v>
      </c>
      <c r="I88" s="15" t="s">
        <v>420</v>
      </c>
      <c r="J88" s="21" t="s">
        <v>421</v>
      </c>
      <c r="K88" s="21" t="s">
        <v>1033</v>
      </c>
      <c r="L88" s="21"/>
      <c r="M88" s="109">
        <v>45582.0</v>
      </c>
      <c r="N88" s="109">
        <v>45582.0</v>
      </c>
      <c r="O88" s="110" t="s">
        <v>422</v>
      </c>
      <c r="P88" s="111"/>
      <c r="Q88" s="112"/>
      <c r="S88" s="206"/>
      <c r="T88" s="206"/>
      <c r="U88" s="206"/>
      <c r="V88" s="206"/>
      <c r="W88" s="206"/>
      <c r="X88" s="206"/>
      <c r="Y88" s="206"/>
      <c r="Z88" s="206"/>
      <c r="AA88" s="206"/>
      <c r="AB88" s="206"/>
      <c r="AC88" s="206"/>
      <c r="AD88" s="114"/>
      <c r="AE88" s="114"/>
      <c r="AF88" s="137"/>
      <c r="AG88" s="114"/>
      <c r="AH88" s="137"/>
      <c r="AI88" s="137"/>
      <c r="AJ88" s="137"/>
      <c r="AK88" s="137"/>
      <c r="AL88" s="137"/>
      <c r="AM88" s="137"/>
      <c r="AN88" s="137"/>
      <c r="AO88" s="137">
        <v>150000.0</v>
      </c>
      <c r="AP88" s="114" t="s">
        <v>424</v>
      </c>
      <c r="AQ88" s="21"/>
      <c r="AR88" s="21"/>
      <c r="AS88" s="21"/>
      <c r="AT88" s="21"/>
      <c r="AU88" s="21"/>
      <c r="AV88" s="21"/>
      <c r="AW88" s="21"/>
      <c r="AX88" s="21"/>
      <c r="AY88" s="21"/>
      <c r="AZ88" s="116">
        <f t="shared" si="21"/>
        <v>150000</v>
      </c>
      <c r="BA88" s="117">
        <v>0.0</v>
      </c>
      <c r="BB88" s="117">
        <v>0.0</v>
      </c>
      <c r="BC88" s="118">
        <v>0.0</v>
      </c>
      <c r="BD88" s="119">
        <f t="shared" si="22"/>
        <v>150000</v>
      </c>
    </row>
    <row r="89" ht="27.0" customHeight="1">
      <c r="A89" s="12">
        <f t="shared" si="23"/>
        <v>77</v>
      </c>
      <c r="B89" s="13" t="s">
        <v>1034</v>
      </c>
      <c r="C89" s="15"/>
      <c r="D89" s="148" t="s">
        <v>362</v>
      </c>
      <c r="E89" s="148" t="s">
        <v>362</v>
      </c>
      <c r="F89" s="108">
        <v>13512.0</v>
      </c>
      <c r="G89" s="16" t="s">
        <v>994</v>
      </c>
      <c r="H89" s="213" t="s">
        <v>995</v>
      </c>
      <c r="I89" s="15" t="s">
        <v>996</v>
      </c>
      <c r="J89" s="21" t="s">
        <v>446</v>
      </c>
      <c r="K89" s="21" t="s">
        <v>1033</v>
      </c>
      <c r="L89" s="21"/>
      <c r="M89" s="109">
        <v>45572.0</v>
      </c>
      <c r="N89" s="109">
        <v>45590.0</v>
      </c>
      <c r="O89" s="110" t="s">
        <v>422</v>
      </c>
      <c r="P89" s="111">
        <v>45695.0</v>
      </c>
      <c r="Q89" s="112"/>
      <c r="R89" s="110">
        <v>3.0</v>
      </c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6"/>
      <c r="AD89" s="114"/>
      <c r="AE89" s="114"/>
      <c r="AF89" s="137"/>
      <c r="AG89" s="114"/>
      <c r="AH89" s="137"/>
      <c r="AI89" s="137"/>
      <c r="AJ89" s="137"/>
      <c r="AK89" s="137"/>
      <c r="AL89" s="137"/>
      <c r="AM89" s="137"/>
      <c r="AN89" s="137"/>
      <c r="AO89" s="114">
        <v>269910.0</v>
      </c>
      <c r="AP89" s="114" t="s">
        <v>424</v>
      </c>
      <c r="AQ89" s="113"/>
      <c r="AR89" s="134"/>
      <c r="AS89" s="134"/>
      <c r="AT89" s="134"/>
      <c r="AU89" s="134"/>
      <c r="AV89" s="134"/>
      <c r="AW89" s="134"/>
      <c r="AX89" s="134"/>
      <c r="AY89" s="134"/>
      <c r="AZ89" s="116">
        <f t="shared" si="21"/>
        <v>3</v>
      </c>
      <c r="BA89" s="117">
        <f>SUM(AO89)</f>
        <v>269910</v>
      </c>
      <c r="BB89" s="117">
        <v>0.0</v>
      </c>
      <c r="BC89" s="118">
        <f>AO89</f>
        <v>269910</v>
      </c>
      <c r="BD89" s="119">
        <f t="shared" si="22"/>
        <v>269913</v>
      </c>
    </row>
    <row r="90" ht="27.0" hidden="1" customHeight="1">
      <c r="A90" s="12">
        <f t="shared" si="23"/>
        <v>78</v>
      </c>
      <c r="B90" s="13" t="s">
        <v>1034</v>
      </c>
      <c r="C90" s="35"/>
      <c r="D90" s="148" t="s">
        <v>362</v>
      </c>
      <c r="E90" s="148" t="s">
        <v>362</v>
      </c>
      <c r="F90" s="108">
        <v>14327.0</v>
      </c>
      <c r="G90" s="30" t="s">
        <v>997</v>
      </c>
      <c r="H90" s="30" t="s">
        <v>998</v>
      </c>
      <c r="I90" s="15" t="s">
        <v>420</v>
      </c>
      <c r="J90" s="21" t="s">
        <v>421</v>
      </c>
      <c r="K90" s="21" t="s">
        <v>1033</v>
      </c>
      <c r="L90" s="21"/>
      <c r="M90" s="109">
        <v>45676.0</v>
      </c>
      <c r="N90" s="109">
        <v>45676.0</v>
      </c>
      <c r="O90" s="110" t="s">
        <v>422</v>
      </c>
      <c r="P90" s="111">
        <v>45695.0</v>
      </c>
      <c r="Q90" s="112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  <c r="AC90" s="206"/>
      <c r="AD90" s="114"/>
      <c r="AE90" s="114"/>
      <c r="AF90" s="137"/>
      <c r="AG90" s="114"/>
      <c r="AH90" s="137"/>
      <c r="AI90" s="137"/>
      <c r="AJ90" s="137"/>
      <c r="AK90" s="137"/>
      <c r="AL90" s="137"/>
      <c r="AM90" s="137"/>
      <c r="AN90" s="137"/>
      <c r="AO90" s="114"/>
      <c r="AP90" s="114"/>
      <c r="AQ90" s="114"/>
      <c r="AR90" s="114">
        <v>150000.0</v>
      </c>
      <c r="AS90" s="114" t="s">
        <v>424</v>
      </c>
      <c r="AT90" s="114"/>
      <c r="AU90" s="114"/>
      <c r="AV90" s="114"/>
      <c r="AW90" s="114"/>
      <c r="AX90" s="114"/>
      <c r="AY90" s="114"/>
      <c r="AZ90" s="116">
        <f t="shared" si="21"/>
        <v>0</v>
      </c>
      <c r="BA90" s="117">
        <f t="shared" ref="BA90:BA91" si="24">SUM(AR90)</f>
        <v>150000</v>
      </c>
      <c r="BB90" s="117">
        <v>0.0</v>
      </c>
      <c r="BC90" s="118">
        <f t="shared" ref="BC90:BC91" si="25">AR90</f>
        <v>150000</v>
      </c>
      <c r="BD90" s="119">
        <f t="shared" si="22"/>
        <v>150000</v>
      </c>
    </row>
    <row r="91" ht="27.0" customHeight="1">
      <c r="A91" s="12">
        <f t="shared" si="23"/>
        <v>79</v>
      </c>
      <c r="B91" s="13" t="s">
        <v>1034</v>
      </c>
      <c r="C91" s="35"/>
      <c r="D91" s="148" t="s">
        <v>362</v>
      </c>
      <c r="E91" s="148" t="s">
        <v>362</v>
      </c>
      <c r="F91" s="108">
        <v>14369.0</v>
      </c>
      <c r="G91" s="69" t="s">
        <v>999</v>
      </c>
      <c r="H91" s="30" t="s">
        <v>1000</v>
      </c>
      <c r="I91" s="15" t="s">
        <v>1001</v>
      </c>
      <c r="J91" s="21" t="s">
        <v>421</v>
      </c>
      <c r="K91" s="21" t="s">
        <v>1033</v>
      </c>
      <c r="L91" s="21"/>
      <c r="M91" s="109">
        <v>45677.0</v>
      </c>
      <c r="N91" s="109">
        <v>45684.0</v>
      </c>
      <c r="O91" s="110" t="s">
        <v>422</v>
      </c>
      <c r="P91" s="111">
        <v>45695.0</v>
      </c>
      <c r="Q91" s="112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114"/>
      <c r="AE91" s="114"/>
      <c r="AF91" s="137"/>
      <c r="AG91" s="114"/>
      <c r="AH91" s="137"/>
      <c r="AI91" s="137"/>
      <c r="AJ91" s="137"/>
      <c r="AK91" s="137"/>
      <c r="AL91" s="137"/>
      <c r="AM91" s="137"/>
      <c r="AN91" s="137"/>
      <c r="AO91" s="114"/>
      <c r="AP91" s="113"/>
      <c r="AQ91" s="113"/>
      <c r="AR91" s="114">
        <v>239850.0</v>
      </c>
      <c r="AS91" s="114" t="s">
        <v>424</v>
      </c>
      <c r="AT91" s="114"/>
      <c r="AU91" s="114"/>
      <c r="AV91" s="114"/>
      <c r="AW91" s="114"/>
      <c r="AX91" s="114"/>
      <c r="AY91" s="114"/>
      <c r="AZ91" s="116">
        <f t="shared" si="21"/>
        <v>0</v>
      </c>
      <c r="BA91" s="117">
        <f t="shared" si="24"/>
        <v>239850</v>
      </c>
      <c r="BB91" s="117">
        <v>0.0</v>
      </c>
      <c r="BC91" s="118">
        <f t="shared" si="25"/>
        <v>239850</v>
      </c>
      <c r="BD91" s="119">
        <f t="shared" si="22"/>
        <v>239850</v>
      </c>
    </row>
    <row r="92" ht="15.75" customHeight="1">
      <c r="R92" s="277"/>
    </row>
    <row r="93" ht="15.75" customHeight="1">
      <c r="R93" s="277"/>
    </row>
    <row r="94" ht="15.75" customHeight="1">
      <c r="R94" s="277"/>
    </row>
    <row r="95" ht="15.75" customHeight="1">
      <c r="R95" s="277"/>
    </row>
    <row r="96" ht="15.75" customHeight="1">
      <c r="R96" s="277"/>
    </row>
    <row r="97" ht="15.75" customHeight="1">
      <c r="R97" s="277"/>
    </row>
    <row r="98" ht="15.75" customHeight="1">
      <c r="R98" s="277"/>
    </row>
    <row r="99" ht="15.75" customHeight="1">
      <c r="R99" s="277"/>
    </row>
    <row r="100" ht="15.75" customHeight="1">
      <c r="R100" s="277"/>
    </row>
    <row r="101" ht="15.75" customHeight="1">
      <c r="R101" s="277"/>
    </row>
    <row r="102" ht="15.75" customHeight="1">
      <c r="R102" s="277"/>
    </row>
    <row r="103" ht="15.75" customHeight="1">
      <c r="R103" s="277"/>
    </row>
    <row r="104" ht="15.75" customHeight="1">
      <c r="R104" s="277"/>
    </row>
    <row r="105" ht="15.75" customHeight="1">
      <c r="R105" s="277"/>
    </row>
    <row r="106" ht="15.75" customHeight="1">
      <c r="R106" s="277"/>
    </row>
    <row r="107" ht="15.75" customHeight="1">
      <c r="R107" s="277"/>
    </row>
    <row r="108" ht="15.75" customHeight="1">
      <c r="R108" s="277"/>
    </row>
    <row r="109" ht="15.75" customHeight="1">
      <c r="R109" s="277"/>
    </row>
    <row r="110" ht="15.75" customHeight="1">
      <c r="R110" s="277"/>
    </row>
    <row r="111" ht="15.75" customHeight="1">
      <c r="R111" s="277"/>
    </row>
    <row r="112" ht="15.75" customHeight="1">
      <c r="R112" s="277"/>
    </row>
    <row r="113" ht="15.75" customHeight="1">
      <c r="R113" s="277"/>
    </row>
    <row r="114" ht="15.75" customHeight="1">
      <c r="R114" s="277"/>
    </row>
    <row r="115" ht="15.75" customHeight="1">
      <c r="R115" s="277"/>
    </row>
    <row r="116" ht="15.75" customHeight="1">
      <c r="R116" s="277"/>
    </row>
    <row r="117" ht="15.75" customHeight="1">
      <c r="R117" s="277"/>
    </row>
    <row r="118" ht="15.75" customHeight="1">
      <c r="R118" s="277"/>
    </row>
    <row r="119" ht="15.75" customHeight="1">
      <c r="R119" s="277"/>
    </row>
    <row r="120" ht="15.75" customHeight="1">
      <c r="R120" s="277"/>
    </row>
    <row r="121" ht="15.75" customHeight="1">
      <c r="R121" s="277"/>
    </row>
    <row r="122" ht="15.75" customHeight="1">
      <c r="R122" s="277"/>
    </row>
    <row r="123" ht="15.75" customHeight="1">
      <c r="R123" s="277"/>
    </row>
    <row r="124" ht="15.75" customHeight="1">
      <c r="R124" s="277"/>
    </row>
    <row r="125" ht="15.75" customHeight="1">
      <c r="R125" s="277"/>
    </row>
    <row r="126" ht="15.75" customHeight="1">
      <c r="R126" s="277"/>
    </row>
    <row r="127" ht="15.75" customHeight="1">
      <c r="R127" s="277"/>
    </row>
    <row r="128" ht="15.75" customHeight="1">
      <c r="R128" s="277"/>
    </row>
    <row r="129" ht="15.75" customHeight="1">
      <c r="R129" s="277"/>
    </row>
    <row r="130" ht="15.75" customHeight="1">
      <c r="R130" s="277"/>
    </row>
    <row r="131" ht="15.75" customHeight="1">
      <c r="R131" s="277"/>
    </row>
    <row r="132" ht="15.75" customHeight="1">
      <c r="R132" s="277"/>
    </row>
    <row r="133" ht="15.75" customHeight="1">
      <c r="R133" s="277"/>
    </row>
    <row r="134" ht="15.75" customHeight="1">
      <c r="R134" s="277"/>
    </row>
    <row r="135" ht="15.75" customHeight="1">
      <c r="R135" s="277"/>
    </row>
    <row r="136" ht="15.75" customHeight="1">
      <c r="R136" s="277"/>
    </row>
    <row r="137" ht="15.75" customHeight="1">
      <c r="R137" s="277"/>
    </row>
    <row r="138" ht="15.75" customHeight="1">
      <c r="R138" s="277"/>
    </row>
    <row r="139" ht="15.75" customHeight="1">
      <c r="R139" s="277"/>
    </row>
    <row r="140" ht="15.75" customHeight="1">
      <c r="R140" s="277"/>
    </row>
    <row r="141" ht="15.75" customHeight="1">
      <c r="R141" s="277"/>
    </row>
    <row r="142" ht="15.75" customHeight="1">
      <c r="R142" s="277"/>
    </row>
    <row r="143" ht="15.75" customHeight="1">
      <c r="R143" s="277"/>
    </row>
    <row r="144" ht="15.75" customHeight="1">
      <c r="R144" s="277"/>
    </row>
    <row r="145" ht="15.75" customHeight="1">
      <c r="R145" s="277"/>
    </row>
    <row r="146" ht="15.75" customHeight="1">
      <c r="R146" s="277"/>
    </row>
    <row r="147" ht="15.75" customHeight="1">
      <c r="R147" s="277"/>
    </row>
    <row r="148" ht="15.75" customHeight="1">
      <c r="R148" s="277"/>
    </row>
    <row r="149" ht="15.75" customHeight="1">
      <c r="R149" s="277"/>
    </row>
    <row r="150" ht="15.75" customHeight="1">
      <c r="R150" s="277"/>
    </row>
    <row r="151" ht="15.75" customHeight="1">
      <c r="R151" s="277"/>
    </row>
    <row r="152" ht="15.75" customHeight="1">
      <c r="R152" s="277"/>
    </row>
    <row r="153" ht="15.75" customHeight="1">
      <c r="R153" s="277"/>
    </row>
    <row r="154" ht="15.75" customHeight="1">
      <c r="R154" s="277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D$91">
    <filterColumn colId="8">
      <filters>
        <filter val="Corporate Paket UMKM"/>
        <filter val="Corporate Paket Bundling Bisnis"/>
        <filter val="Corporate Paket Basic"/>
        <filter val="Corporate Paket Bisnis"/>
      </filters>
    </filterColumn>
  </autoFilter>
  <mergeCells count="17">
    <mergeCell ref="R5:R16"/>
    <mergeCell ref="R17:R24"/>
    <mergeCell ref="R25:R34"/>
    <mergeCell ref="R35:R39"/>
    <mergeCell ref="R41:R46"/>
    <mergeCell ref="R47:R50"/>
    <mergeCell ref="R51:R52"/>
    <mergeCell ref="R82:R86"/>
    <mergeCell ref="R87:R88"/>
    <mergeCell ref="R89:R91"/>
    <mergeCell ref="R54:R58"/>
    <mergeCell ref="R59:R60"/>
    <mergeCell ref="R64:R67"/>
    <mergeCell ref="R68:R70"/>
    <mergeCell ref="R73:R74"/>
    <mergeCell ref="R77:R78"/>
    <mergeCell ref="R79:R81"/>
  </mergeCells>
  <dataValidations>
    <dataValidation type="list" allowBlank="1" showErrorMessage="1" sqref="J5:J91">
      <formula1>"Basic 1 Bulan,Bisnis 1 Bulan,Basic 3 Bulan,Bisnis 3 Bulan,Basic 6 Bulan,Bisnis 6 Bulan,Basic 12 Bulan,Bisnis 12 Bulan"</formula1>
    </dataValidation>
    <dataValidation type="list" allowBlank="1" showErrorMessage="1" sqref="K5:K91">
      <formula1>"Heriwati,Lidya,Novel,Lady,Selvi"</formula1>
    </dataValidation>
    <dataValidation type="list" allowBlank="1" showErrorMessage="1" sqref="O5:O91">
      <formula1>"Sudah 1 Tahun,Belum 1 Tahun"</formula1>
    </dataValidation>
    <dataValidation type="list" allowBlank="1" showErrorMessage="1" sqref="B87:B91">
      <formula1>"FRANCHISE (Jual Brand Usaha),REFERAL (Berlangganan),AFILIASI (Perlengkapan  Ex. Mesin,Rak,Dll)"""</formula1>
    </dataValidation>
    <dataValidation type="list" allowBlank="1" showErrorMessage="1" sqref="B5:B71 B79:B86">
      <formula1>"FRANCHISE (Jual Brand Usaha),REFERAL (Berlangganan),AFILIASI (Perlengkapan  Ex. Mesin,Parfum,Dll)"</formula1>
    </dataValidation>
    <dataValidation type="list" allowBlank="1" showErrorMessage="1" sqref="B72:B78">
      <formula1>"FRANCHISE (Jual Brand Usaha),REFERAL (Berlangganan),AFILIASI (Perlengkapan  Ex. Mesin,Parfum,Dll),CORPORATE (Rekomendasi &amp; Akuisisi)"</formula1>
    </dataValidation>
    <dataValidation type="list" allowBlank="1" sqref="I5:I91">
      <formula1>"Referral,Corporate Paket Basic,Corporate Paket Bisnis,Corporate Paket Bundling Bisnis,Corporate Paket UMKM,Corporate Paket Enterpreneur"</formula1>
    </dataValidation>
  </dataValidations>
  <hyperlinks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41"/>
    <hyperlink r:id="rId15" ref="E42"/>
    <hyperlink r:id="rId16" ref="E43"/>
    <hyperlink r:id="rId17" ref="E44"/>
    <hyperlink r:id="rId18" ref="E45"/>
    <hyperlink r:id="rId19" ref="E46"/>
    <hyperlink r:id="rId20" ref="L50"/>
    <hyperlink r:id="rId21" ref="L69"/>
    <hyperlink r:id="rId22" ref="L70"/>
  </hyperlinks>
  <drawing r:id="rId23"/>
  <legacy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3" width="8.38"/>
    <col customWidth="1" min="4" max="4" width="13.25"/>
    <col customWidth="1" min="5" max="6" width="12.5"/>
    <col customWidth="1" min="7" max="7" width="13.88"/>
    <col customWidth="1" min="8" max="8" width="14.88"/>
    <col customWidth="1" min="9" max="9" width="12.5"/>
    <col customWidth="1" hidden="1" min="10" max="10" width="13.88"/>
    <col customWidth="1" min="11" max="11" width="14.0"/>
    <col customWidth="1" min="12" max="13" width="14.13"/>
    <col customWidth="1" min="14" max="14" width="12.5"/>
    <col customWidth="1" min="15" max="15" width="14.88"/>
    <col customWidth="1" min="16" max="16" width="12.5"/>
    <col customWidth="1" min="17" max="17" width="14.0"/>
    <col customWidth="1" min="18" max="19" width="11.13"/>
    <col customWidth="1" min="20" max="20" width="12.5"/>
    <col customWidth="1" min="21" max="35" width="23.13"/>
  </cols>
  <sheetData>
    <row r="1" ht="38.25" customHeight="1">
      <c r="A1" s="286" t="s">
        <v>1035</v>
      </c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</row>
    <row r="2" ht="19.5" customHeight="1">
      <c r="A2" s="288" t="s">
        <v>1004</v>
      </c>
      <c r="B2" s="288" t="s">
        <v>1036</v>
      </c>
      <c r="C2" s="288" t="s">
        <v>1037</v>
      </c>
      <c r="D2" s="288" t="s">
        <v>1038</v>
      </c>
      <c r="E2" s="288" t="s">
        <v>1006</v>
      </c>
      <c r="F2" s="288" t="s">
        <v>405</v>
      </c>
      <c r="G2" s="288" t="s">
        <v>1039</v>
      </c>
      <c r="H2" s="289" t="s">
        <v>1040</v>
      </c>
      <c r="I2" s="288" t="s">
        <v>1006</v>
      </c>
      <c r="J2" s="288" t="s">
        <v>1041</v>
      </c>
      <c r="K2" s="288" t="s">
        <v>1042</v>
      </c>
      <c r="L2" s="288" t="s">
        <v>1043</v>
      </c>
      <c r="M2" s="288" t="s">
        <v>405</v>
      </c>
      <c r="N2" s="288" t="s">
        <v>1044</v>
      </c>
      <c r="O2" s="289" t="s">
        <v>1040</v>
      </c>
      <c r="P2" s="288" t="s">
        <v>1006</v>
      </c>
      <c r="Q2" s="288" t="s">
        <v>1045</v>
      </c>
      <c r="R2" s="288" t="s">
        <v>1043</v>
      </c>
      <c r="S2" s="288" t="s">
        <v>405</v>
      </c>
      <c r="T2" s="288" t="s">
        <v>1044</v>
      </c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0"/>
      <c r="AH2" s="290"/>
      <c r="AI2" s="290"/>
    </row>
    <row r="3" ht="19.5" customHeight="1">
      <c r="E3" s="291">
        <v>0.15</v>
      </c>
      <c r="F3" s="291">
        <v>0.16</v>
      </c>
      <c r="H3" s="289">
        <v>10.0</v>
      </c>
      <c r="I3" s="291">
        <f>E3</f>
        <v>0.15</v>
      </c>
      <c r="M3" s="291">
        <f>F3</f>
        <v>0.16</v>
      </c>
      <c r="O3" s="289">
        <v>30.0</v>
      </c>
      <c r="P3" s="291">
        <f>E3</f>
        <v>0.15</v>
      </c>
      <c r="S3" s="291">
        <f>F3</f>
        <v>0.16</v>
      </c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</row>
    <row r="4" ht="19.5" customHeight="1">
      <c r="A4" s="292" t="s">
        <v>1009</v>
      </c>
      <c r="B4" s="293">
        <v>858000.0</v>
      </c>
      <c r="C4" s="293">
        <v>0.0</v>
      </c>
      <c r="D4" s="293">
        <f t="shared" ref="D4:D8" si="1">E4/12</f>
        <v>10725</v>
      </c>
      <c r="E4" s="293">
        <f>B4*E3</f>
        <v>128700</v>
      </c>
      <c r="F4" s="294">
        <f>B4*F3</f>
        <v>137280</v>
      </c>
      <c r="G4" s="294">
        <f t="shared" ref="G4:G8" si="2">B4-C4-E4-F4</f>
        <v>592020</v>
      </c>
      <c r="H4" s="295">
        <f>B4*H3</f>
        <v>8580000</v>
      </c>
      <c r="I4" s="293">
        <f>H4*I3</f>
        <v>1287000</v>
      </c>
      <c r="J4" s="293">
        <f t="shared" ref="J4:J8" si="3">K4/10</f>
        <v>20000</v>
      </c>
      <c r="K4" s="293">
        <v>200000.0</v>
      </c>
      <c r="L4" s="293">
        <f t="shared" ref="L4:L8" si="4">I4+K4</f>
        <v>1487000</v>
      </c>
      <c r="M4" s="293">
        <f>H4*M3</f>
        <v>1372800</v>
      </c>
      <c r="N4" s="294">
        <f t="shared" ref="N4:N8" si="5">H4-L4-M4</f>
        <v>5720200</v>
      </c>
      <c r="O4" s="295">
        <f>G4*O3</f>
        <v>17760600</v>
      </c>
      <c r="P4" s="293">
        <f>O4*P3</f>
        <v>2664090</v>
      </c>
      <c r="Q4" s="293">
        <f t="shared" ref="Q4:Q8" si="6">(K4*3)+500000</f>
        <v>1100000</v>
      </c>
      <c r="R4" s="293">
        <f t="shared" ref="R4:R8" si="7">P4+Q4</f>
        <v>3764090</v>
      </c>
      <c r="S4" s="293">
        <f>O4*S3</f>
        <v>2841696</v>
      </c>
      <c r="T4" s="294">
        <f t="shared" ref="T4:T8" si="8">O4-R4</f>
        <v>13996510</v>
      </c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0"/>
      <c r="AH4" s="290"/>
      <c r="AI4" s="290"/>
    </row>
    <row r="5" ht="19.5" customHeight="1">
      <c r="A5" s="292" t="s">
        <v>1010</v>
      </c>
      <c r="B5" s="293">
        <v>1298000.0</v>
      </c>
      <c r="C5" s="293">
        <v>0.0</v>
      </c>
      <c r="D5" s="293">
        <f t="shared" si="1"/>
        <v>16225</v>
      </c>
      <c r="E5" s="293">
        <f>B5*E3</f>
        <v>194700</v>
      </c>
      <c r="F5" s="294">
        <f>B5*F3</f>
        <v>207680</v>
      </c>
      <c r="G5" s="294">
        <f t="shared" si="2"/>
        <v>895620</v>
      </c>
      <c r="H5" s="295">
        <f>B5*H3</f>
        <v>12980000</v>
      </c>
      <c r="I5" s="293">
        <f>H5*I3</f>
        <v>1947000</v>
      </c>
      <c r="J5" s="293">
        <f t="shared" si="3"/>
        <v>70000</v>
      </c>
      <c r="K5" s="293">
        <v>700000.0</v>
      </c>
      <c r="L5" s="293">
        <f t="shared" si="4"/>
        <v>2647000</v>
      </c>
      <c r="M5" s="293">
        <f>H5*M3</f>
        <v>2076800</v>
      </c>
      <c r="N5" s="294">
        <f t="shared" si="5"/>
        <v>8256200</v>
      </c>
      <c r="O5" s="295">
        <f>G5*O3</f>
        <v>26868600</v>
      </c>
      <c r="P5" s="293">
        <f>Q5*P3</f>
        <v>390000</v>
      </c>
      <c r="Q5" s="293">
        <f t="shared" si="6"/>
        <v>2600000</v>
      </c>
      <c r="R5" s="293">
        <f t="shared" si="7"/>
        <v>2990000</v>
      </c>
      <c r="S5" s="293">
        <f>O5*S3</f>
        <v>4298976</v>
      </c>
      <c r="T5" s="294">
        <f t="shared" si="8"/>
        <v>23878600</v>
      </c>
      <c r="U5" s="290"/>
      <c r="V5" s="290"/>
      <c r="W5" s="290"/>
      <c r="X5" s="290"/>
      <c r="Y5" s="290"/>
      <c r="Z5" s="290"/>
      <c r="AA5" s="290"/>
      <c r="AB5" s="290"/>
      <c r="AC5" s="290"/>
      <c r="AD5" s="290"/>
      <c r="AE5" s="290"/>
      <c r="AF5" s="290"/>
      <c r="AG5" s="290"/>
      <c r="AH5" s="290"/>
      <c r="AI5" s="290"/>
    </row>
    <row r="6" ht="19.5" customHeight="1">
      <c r="A6" s="292" t="s">
        <v>1011</v>
      </c>
      <c r="B6" s="293">
        <v>1599000.0</v>
      </c>
      <c r="C6" s="293">
        <v>229000.0</v>
      </c>
      <c r="D6" s="293">
        <f t="shared" si="1"/>
        <v>19987.5</v>
      </c>
      <c r="E6" s="293">
        <f>B6*E3</f>
        <v>239850</v>
      </c>
      <c r="F6" s="294">
        <f>B6*F3</f>
        <v>255840</v>
      </c>
      <c r="G6" s="294">
        <f t="shared" si="2"/>
        <v>874310</v>
      </c>
      <c r="H6" s="295">
        <f>B6*H3</f>
        <v>15990000</v>
      </c>
      <c r="I6" s="293">
        <f>H6*I3</f>
        <v>2398500</v>
      </c>
      <c r="J6" s="293">
        <f t="shared" si="3"/>
        <v>120000</v>
      </c>
      <c r="K6" s="293">
        <v>1200000.0</v>
      </c>
      <c r="L6" s="293">
        <f t="shared" si="4"/>
        <v>3598500</v>
      </c>
      <c r="M6" s="293">
        <f>H6*M3</f>
        <v>2558400</v>
      </c>
      <c r="N6" s="294">
        <f t="shared" si="5"/>
        <v>9833100</v>
      </c>
      <c r="O6" s="295">
        <f>G6*O3</f>
        <v>26229300</v>
      </c>
      <c r="P6" s="293">
        <f>Q6*P3</f>
        <v>615000</v>
      </c>
      <c r="Q6" s="293">
        <f t="shared" si="6"/>
        <v>4100000</v>
      </c>
      <c r="R6" s="293">
        <f t="shared" si="7"/>
        <v>4715000</v>
      </c>
      <c r="S6" s="293">
        <f>O6*S3</f>
        <v>4196688</v>
      </c>
      <c r="T6" s="294">
        <f t="shared" si="8"/>
        <v>21514300</v>
      </c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</row>
    <row r="7" ht="19.5" customHeight="1">
      <c r="A7" s="292" t="s">
        <v>1012</v>
      </c>
      <c r="B7" s="293">
        <v>2999000.0</v>
      </c>
      <c r="C7" s="293">
        <f>1526000-54000</f>
        <v>1472000</v>
      </c>
      <c r="D7" s="293">
        <f t="shared" si="1"/>
        <v>37487.5</v>
      </c>
      <c r="E7" s="293">
        <f>B7*E3</f>
        <v>449850</v>
      </c>
      <c r="F7" s="294">
        <f>B7*F3</f>
        <v>479840</v>
      </c>
      <c r="G7" s="294">
        <f t="shared" si="2"/>
        <v>597310</v>
      </c>
      <c r="H7" s="295">
        <f>B7*H3</f>
        <v>29990000</v>
      </c>
      <c r="I7" s="293">
        <f>H7*I3</f>
        <v>4498500</v>
      </c>
      <c r="J7" s="293">
        <f t="shared" si="3"/>
        <v>170000</v>
      </c>
      <c r="K7" s="293">
        <v>1700000.0</v>
      </c>
      <c r="L7" s="293">
        <f t="shared" si="4"/>
        <v>6198500</v>
      </c>
      <c r="M7" s="293">
        <f>H7*M3</f>
        <v>4798400</v>
      </c>
      <c r="N7" s="294">
        <f t="shared" si="5"/>
        <v>18993100</v>
      </c>
      <c r="O7" s="295">
        <f>G7*O3</f>
        <v>17919300</v>
      </c>
      <c r="P7" s="293">
        <f>Q7*P3</f>
        <v>840000</v>
      </c>
      <c r="Q7" s="293">
        <f t="shared" si="6"/>
        <v>5600000</v>
      </c>
      <c r="R7" s="293">
        <f t="shared" si="7"/>
        <v>6440000</v>
      </c>
      <c r="S7" s="293">
        <f>O7*S3</f>
        <v>2867088</v>
      </c>
      <c r="T7" s="294">
        <f t="shared" si="8"/>
        <v>11479300</v>
      </c>
      <c r="U7" s="290"/>
      <c r="V7" s="290"/>
      <c r="W7" s="290"/>
      <c r="X7" s="290"/>
      <c r="Y7" s="290"/>
      <c r="Z7" s="290"/>
      <c r="AA7" s="290"/>
      <c r="AB7" s="290"/>
      <c r="AC7" s="290"/>
      <c r="AD7" s="290"/>
      <c r="AE7" s="290"/>
      <c r="AF7" s="290"/>
      <c r="AG7" s="290"/>
      <c r="AH7" s="290"/>
      <c r="AI7" s="290"/>
    </row>
    <row r="8" ht="19.5" customHeight="1">
      <c r="A8" s="292" t="s">
        <v>1013</v>
      </c>
      <c r="B8" s="293">
        <v>3499000.0</v>
      </c>
      <c r="C8" s="293">
        <v>1526000.0</v>
      </c>
      <c r="D8" s="293">
        <f t="shared" si="1"/>
        <v>43737.5</v>
      </c>
      <c r="E8" s="293">
        <f>B8*E3</f>
        <v>524850</v>
      </c>
      <c r="F8" s="294">
        <f>B8*F3</f>
        <v>559840</v>
      </c>
      <c r="G8" s="294">
        <f t="shared" si="2"/>
        <v>888310</v>
      </c>
      <c r="H8" s="295">
        <f>B8*H3</f>
        <v>34990000</v>
      </c>
      <c r="I8" s="293">
        <f>H8*I3</f>
        <v>5248500</v>
      </c>
      <c r="J8" s="293">
        <f t="shared" si="3"/>
        <v>220000</v>
      </c>
      <c r="K8" s="293">
        <v>2200000.0</v>
      </c>
      <c r="L8" s="293">
        <f t="shared" si="4"/>
        <v>7448500</v>
      </c>
      <c r="M8" s="293">
        <f>H8*M3</f>
        <v>5598400</v>
      </c>
      <c r="N8" s="294">
        <f t="shared" si="5"/>
        <v>21943100</v>
      </c>
      <c r="O8" s="295">
        <f>G8*O3</f>
        <v>26649300</v>
      </c>
      <c r="P8" s="293">
        <f>Q8*P3</f>
        <v>1065000</v>
      </c>
      <c r="Q8" s="293">
        <f t="shared" si="6"/>
        <v>7100000</v>
      </c>
      <c r="R8" s="293">
        <f t="shared" si="7"/>
        <v>8165000</v>
      </c>
      <c r="S8" s="293">
        <f>O8*S3</f>
        <v>4263888</v>
      </c>
      <c r="T8" s="294">
        <f t="shared" si="8"/>
        <v>18484300</v>
      </c>
      <c r="U8" s="296"/>
      <c r="V8" s="290"/>
      <c r="W8" s="290"/>
      <c r="X8" s="290"/>
      <c r="Y8" s="290"/>
      <c r="Z8" s="290"/>
      <c r="AA8" s="290"/>
      <c r="AB8" s="290"/>
      <c r="AC8" s="290"/>
      <c r="AD8" s="290"/>
      <c r="AE8" s="290"/>
      <c r="AF8" s="290"/>
      <c r="AG8" s="290"/>
      <c r="AH8" s="290"/>
      <c r="AI8" s="290"/>
    </row>
    <row r="9" ht="19.5" customHeight="1">
      <c r="A9" s="292"/>
      <c r="U9" s="296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</row>
    <row r="10" ht="38.25" customHeight="1">
      <c r="A10" s="286" t="s">
        <v>1046</v>
      </c>
      <c r="U10" s="29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</row>
    <row r="11" ht="19.5" customHeight="1">
      <c r="A11" s="288" t="s">
        <v>1004</v>
      </c>
      <c r="B11" s="288" t="s">
        <v>1036</v>
      </c>
      <c r="C11" s="288" t="s">
        <v>1037</v>
      </c>
      <c r="D11" s="288" t="s">
        <v>1038</v>
      </c>
      <c r="E11" s="288" t="s">
        <v>1006</v>
      </c>
      <c r="F11" s="288" t="s">
        <v>405</v>
      </c>
      <c r="G11" s="288" t="s">
        <v>1044</v>
      </c>
      <c r="H11" s="289" t="s">
        <v>1040</v>
      </c>
      <c r="I11" s="288" t="s">
        <v>1006</v>
      </c>
      <c r="J11" s="288" t="s">
        <v>1041</v>
      </c>
      <c r="K11" s="288" t="s">
        <v>1042</v>
      </c>
      <c r="L11" s="288" t="s">
        <v>1043</v>
      </c>
      <c r="M11" s="288"/>
      <c r="N11" s="288" t="s">
        <v>1044</v>
      </c>
      <c r="O11" s="289" t="s">
        <v>1040</v>
      </c>
      <c r="P11" s="288" t="s">
        <v>1006</v>
      </c>
      <c r="Q11" s="288" t="s">
        <v>1045</v>
      </c>
      <c r="R11" s="288" t="s">
        <v>1043</v>
      </c>
      <c r="S11" s="288"/>
      <c r="T11" s="288" t="s">
        <v>1044</v>
      </c>
      <c r="U11" s="296"/>
      <c r="V11" s="290"/>
      <c r="W11" s="290"/>
      <c r="X11" s="290"/>
      <c r="Y11" s="290"/>
      <c r="Z11" s="290"/>
      <c r="AA11" s="290"/>
      <c r="AB11" s="290"/>
      <c r="AC11" s="290"/>
      <c r="AD11" s="290"/>
      <c r="AE11" s="290"/>
      <c r="AF11" s="290"/>
      <c r="AG11" s="290"/>
      <c r="AH11" s="290"/>
      <c r="AI11" s="290"/>
    </row>
    <row r="12" ht="19.5" customHeight="1">
      <c r="E12" s="291">
        <v>0.2</v>
      </c>
      <c r="F12" s="291">
        <v>0.09</v>
      </c>
      <c r="H12" s="289">
        <v>10.0</v>
      </c>
      <c r="I12" s="291">
        <f>E12</f>
        <v>0.2</v>
      </c>
      <c r="M12" s="288"/>
      <c r="O12" s="289">
        <v>30.0</v>
      </c>
      <c r="P12" s="291">
        <f>E12</f>
        <v>0.2</v>
      </c>
      <c r="S12" s="288"/>
      <c r="U12" s="296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</row>
    <row r="13" ht="19.5" customHeight="1">
      <c r="A13" s="292" t="s">
        <v>1009</v>
      </c>
      <c r="B13" s="293">
        <v>858000.0</v>
      </c>
      <c r="C13" s="293">
        <f t="shared" ref="C13:C17" si="9">C4</f>
        <v>0</v>
      </c>
      <c r="D13" s="293">
        <f t="shared" ref="D13:D17" si="10">E13/12</f>
        <v>14300</v>
      </c>
      <c r="E13" s="293">
        <f>B13*E12</f>
        <v>171600</v>
      </c>
      <c r="F13" s="294">
        <f>B13*F12</f>
        <v>77220</v>
      </c>
      <c r="G13" s="294">
        <f t="shared" ref="G13:G14" si="11">B13-E13</f>
        <v>686400</v>
      </c>
      <c r="H13" s="295">
        <f>B13*H12</f>
        <v>8580000</v>
      </c>
      <c r="I13" s="293">
        <f>H13*I12</f>
        <v>1716000</v>
      </c>
      <c r="J13" s="293">
        <f t="shared" ref="J13:J17" si="12">K13/10</f>
        <v>50000</v>
      </c>
      <c r="K13" s="293">
        <f t="shared" ref="K13:K17" si="13">K4+300000</f>
        <v>500000</v>
      </c>
      <c r="L13" s="293">
        <f t="shared" ref="L13:L17" si="14">I13+K13</f>
        <v>2216000</v>
      </c>
      <c r="M13" s="293"/>
      <c r="N13" s="294">
        <f t="shared" ref="N13:N17" si="15">H13-L13</f>
        <v>6364000</v>
      </c>
      <c r="O13" s="295">
        <f>G13*O12</f>
        <v>20592000</v>
      </c>
      <c r="P13" s="293">
        <f>O13*P12</f>
        <v>4118400</v>
      </c>
      <c r="Q13" s="293">
        <f t="shared" ref="Q13:Q17" si="16">(K13*3)+500000</f>
        <v>2000000</v>
      </c>
      <c r="R13" s="293">
        <f t="shared" ref="R13:R17" si="17">P13+Q13</f>
        <v>6118400</v>
      </c>
      <c r="S13" s="293"/>
      <c r="T13" s="294">
        <f t="shared" ref="T13:T17" si="18">O13-R13</f>
        <v>14473600</v>
      </c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</row>
    <row r="14" ht="19.5" customHeight="1">
      <c r="A14" s="292" t="s">
        <v>1010</v>
      </c>
      <c r="B14" s="293">
        <v>1298000.0</v>
      </c>
      <c r="C14" s="293">
        <f t="shared" si="9"/>
        <v>0</v>
      </c>
      <c r="D14" s="293">
        <f t="shared" si="10"/>
        <v>21633.33333</v>
      </c>
      <c r="E14" s="293">
        <f>B14*E12</f>
        <v>259600</v>
      </c>
      <c r="F14" s="294">
        <f>B14*F12</f>
        <v>116820</v>
      </c>
      <c r="G14" s="294">
        <f t="shared" si="11"/>
        <v>1038400</v>
      </c>
      <c r="H14" s="295">
        <f>B14*H12</f>
        <v>12980000</v>
      </c>
      <c r="I14" s="293">
        <f>H14*I12</f>
        <v>2596000</v>
      </c>
      <c r="J14" s="293">
        <f t="shared" si="12"/>
        <v>100000</v>
      </c>
      <c r="K14" s="293">
        <f t="shared" si="13"/>
        <v>1000000</v>
      </c>
      <c r="L14" s="293">
        <f t="shared" si="14"/>
        <v>3596000</v>
      </c>
      <c r="M14" s="293"/>
      <c r="N14" s="294">
        <f t="shared" si="15"/>
        <v>9384000</v>
      </c>
      <c r="O14" s="295">
        <f>G14*O12</f>
        <v>31152000</v>
      </c>
      <c r="P14" s="293">
        <f>Q14*P12</f>
        <v>700000</v>
      </c>
      <c r="Q14" s="293">
        <f t="shared" si="16"/>
        <v>3500000</v>
      </c>
      <c r="R14" s="293">
        <f t="shared" si="17"/>
        <v>4200000</v>
      </c>
      <c r="S14" s="293"/>
      <c r="T14" s="294">
        <f t="shared" si="18"/>
        <v>26952000</v>
      </c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290"/>
      <c r="AI14" s="290"/>
    </row>
    <row r="15" ht="19.5" customHeight="1">
      <c r="A15" s="292" t="s">
        <v>1011</v>
      </c>
      <c r="B15" s="293">
        <v>1599000.0</v>
      </c>
      <c r="C15" s="293">
        <f t="shared" si="9"/>
        <v>229000</v>
      </c>
      <c r="D15" s="293">
        <f t="shared" si="10"/>
        <v>26650</v>
      </c>
      <c r="E15" s="293">
        <f>B15*E12</f>
        <v>319800</v>
      </c>
      <c r="F15" s="294">
        <f>B15*F12</f>
        <v>143910</v>
      </c>
      <c r="G15" s="294">
        <f t="shared" ref="G15:G17" si="19">B15-C15-E15</f>
        <v>1050200</v>
      </c>
      <c r="H15" s="295">
        <f>B15*H12</f>
        <v>15990000</v>
      </c>
      <c r="I15" s="293">
        <f>H15*I12</f>
        <v>3198000</v>
      </c>
      <c r="J15" s="293">
        <f t="shared" si="12"/>
        <v>150000</v>
      </c>
      <c r="K15" s="293">
        <f t="shared" si="13"/>
        <v>1500000</v>
      </c>
      <c r="L15" s="293">
        <f t="shared" si="14"/>
        <v>4698000</v>
      </c>
      <c r="M15" s="293"/>
      <c r="N15" s="294">
        <f t="shared" si="15"/>
        <v>11292000</v>
      </c>
      <c r="O15" s="295">
        <f>G15*O12</f>
        <v>31506000</v>
      </c>
      <c r="P15" s="293">
        <f>Q15*P12</f>
        <v>1000000</v>
      </c>
      <c r="Q15" s="293">
        <f t="shared" si="16"/>
        <v>5000000</v>
      </c>
      <c r="R15" s="293">
        <f t="shared" si="17"/>
        <v>6000000</v>
      </c>
      <c r="S15" s="293"/>
      <c r="T15" s="294">
        <f t="shared" si="18"/>
        <v>25506000</v>
      </c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</row>
    <row r="16" ht="19.5" customHeight="1">
      <c r="A16" s="292" t="s">
        <v>1012</v>
      </c>
      <c r="B16" s="293">
        <v>2999000.0</v>
      </c>
      <c r="C16" s="293">
        <f t="shared" si="9"/>
        <v>1472000</v>
      </c>
      <c r="D16" s="293">
        <f t="shared" si="10"/>
        <v>49983.33333</v>
      </c>
      <c r="E16" s="293">
        <f>B16*E12</f>
        <v>599800</v>
      </c>
      <c r="F16" s="294">
        <f>B16*F12</f>
        <v>269910</v>
      </c>
      <c r="G16" s="294">
        <f t="shared" si="19"/>
        <v>927200</v>
      </c>
      <c r="H16" s="295">
        <f>B16*H12</f>
        <v>29990000</v>
      </c>
      <c r="I16" s="293">
        <f>H16*I12</f>
        <v>5998000</v>
      </c>
      <c r="J16" s="293">
        <f t="shared" si="12"/>
        <v>200000</v>
      </c>
      <c r="K16" s="293">
        <f t="shared" si="13"/>
        <v>2000000</v>
      </c>
      <c r="L16" s="293">
        <f t="shared" si="14"/>
        <v>7998000</v>
      </c>
      <c r="M16" s="293"/>
      <c r="N16" s="294">
        <f t="shared" si="15"/>
        <v>21992000</v>
      </c>
      <c r="O16" s="295">
        <f>G16*O12</f>
        <v>27816000</v>
      </c>
      <c r="P16" s="293">
        <f>Q16*P12</f>
        <v>1300000</v>
      </c>
      <c r="Q16" s="293">
        <f t="shared" si="16"/>
        <v>6500000</v>
      </c>
      <c r="R16" s="293">
        <f t="shared" si="17"/>
        <v>7800000</v>
      </c>
      <c r="S16" s="293"/>
      <c r="T16" s="294">
        <f t="shared" si="18"/>
        <v>20016000</v>
      </c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</row>
    <row r="17" ht="19.5" customHeight="1">
      <c r="A17" s="292" t="s">
        <v>1013</v>
      </c>
      <c r="B17" s="293">
        <v>3499000.0</v>
      </c>
      <c r="C17" s="293">
        <f t="shared" si="9"/>
        <v>1526000</v>
      </c>
      <c r="D17" s="293">
        <f t="shared" si="10"/>
        <v>58316.66667</v>
      </c>
      <c r="E17" s="293">
        <f>B17*E12</f>
        <v>699800</v>
      </c>
      <c r="F17" s="294">
        <f>B17*F12</f>
        <v>314910</v>
      </c>
      <c r="G17" s="294">
        <f t="shared" si="19"/>
        <v>1273200</v>
      </c>
      <c r="H17" s="295">
        <f>B17*H12</f>
        <v>34990000</v>
      </c>
      <c r="I17" s="293">
        <f>H17*I12</f>
        <v>6998000</v>
      </c>
      <c r="J17" s="293">
        <f t="shared" si="12"/>
        <v>250000</v>
      </c>
      <c r="K17" s="293">
        <f t="shared" si="13"/>
        <v>2500000</v>
      </c>
      <c r="L17" s="293">
        <f t="shared" si="14"/>
        <v>9498000</v>
      </c>
      <c r="M17" s="293"/>
      <c r="N17" s="294">
        <f t="shared" si="15"/>
        <v>25492000</v>
      </c>
      <c r="O17" s="295">
        <f>G17*O12</f>
        <v>38196000</v>
      </c>
      <c r="P17" s="293">
        <f>Q17*P12</f>
        <v>1600000</v>
      </c>
      <c r="Q17" s="293">
        <f t="shared" si="16"/>
        <v>8000000</v>
      </c>
      <c r="R17" s="293">
        <f t="shared" si="17"/>
        <v>9600000</v>
      </c>
      <c r="S17" s="293"/>
      <c r="T17" s="294">
        <f t="shared" si="18"/>
        <v>28596000</v>
      </c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/>
      <c r="AI17" s="290"/>
    </row>
    <row r="18" ht="19.5" customHeight="1">
      <c r="A18" s="298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</row>
    <row r="19" ht="38.25" customHeight="1">
      <c r="A19" s="286" t="s">
        <v>1047</v>
      </c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</row>
    <row r="20" ht="19.5" customHeight="1">
      <c r="A20" s="288" t="s">
        <v>1004</v>
      </c>
      <c r="B20" s="288" t="s">
        <v>1036</v>
      </c>
      <c r="C20" s="288" t="s">
        <v>1037</v>
      </c>
      <c r="D20" s="288" t="s">
        <v>1038</v>
      </c>
      <c r="E20" s="288" t="s">
        <v>1006</v>
      </c>
      <c r="F20" s="288" t="s">
        <v>405</v>
      </c>
      <c r="G20" s="288" t="s">
        <v>1044</v>
      </c>
      <c r="H20" s="289" t="s">
        <v>1040</v>
      </c>
      <c r="I20" s="288" t="s">
        <v>1006</v>
      </c>
      <c r="J20" s="288" t="s">
        <v>1041</v>
      </c>
      <c r="K20" s="288" t="s">
        <v>1042</v>
      </c>
      <c r="L20" s="288" t="s">
        <v>1043</v>
      </c>
      <c r="M20" s="288"/>
      <c r="N20" s="288" t="s">
        <v>1044</v>
      </c>
      <c r="O20" s="289" t="s">
        <v>1040</v>
      </c>
      <c r="P20" s="288" t="s">
        <v>1006</v>
      </c>
      <c r="Q20" s="288" t="s">
        <v>1045</v>
      </c>
      <c r="R20" s="288" t="s">
        <v>1043</v>
      </c>
      <c r="S20" s="288"/>
      <c r="T20" s="288" t="s">
        <v>1044</v>
      </c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</row>
    <row r="21" ht="19.5" customHeight="1">
      <c r="E21" s="291">
        <v>0.25</v>
      </c>
      <c r="F21" s="291">
        <v>0.02</v>
      </c>
      <c r="H21" s="289">
        <v>10.0</v>
      </c>
      <c r="I21" s="291">
        <f>E21</f>
        <v>0.25</v>
      </c>
      <c r="M21" s="288"/>
      <c r="O21" s="289">
        <v>30.0</v>
      </c>
      <c r="P21" s="291">
        <f>E21</f>
        <v>0.25</v>
      </c>
      <c r="S21" s="288"/>
      <c r="U21" s="290"/>
      <c r="V21" s="290"/>
      <c r="W21" s="290"/>
      <c r="X21" s="290"/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</row>
    <row r="22" ht="19.5" customHeight="1">
      <c r="A22" s="292" t="s">
        <v>1009</v>
      </c>
      <c r="B22" s="293">
        <v>858000.0</v>
      </c>
      <c r="C22" s="293">
        <f t="shared" ref="C22:C26" si="20">C4</f>
        <v>0</v>
      </c>
      <c r="D22" s="293">
        <f t="shared" ref="D22:D26" si="21">E22/12</f>
        <v>17875</v>
      </c>
      <c r="E22" s="293">
        <f>B22*E21</f>
        <v>214500</v>
      </c>
      <c r="F22" s="294">
        <f>B22*F21</f>
        <v>17160</v>
      </c>
      <c r="G22" s="294">
        <f t="shared" ref="G22:G23" si="22">B22-E22</f>
        <v>643500</v>
      </c>
      <c r="H22" s="295">
        <f>B22*H21</f>
        <v>8580000</v>
      </c>
      <c r="I22" s="293">
        <f>H22*I21</f>
        <v>2145000</v>
      </c>
      <c r="J22" s="293">
        <f t="shared" ref="J22:J26" si="23">K22/10</f>
        <v>70000</v>
      </c>
      <c r="K22" s="293">
        <f t="shared" ref="K22:K26" si="24">K13+200000</f>
        <v>700000</v>
      </c>
      <c r="L22" s="293">
        <f t="shared" ref="L22:L26" si="25">I22+K22</f>
        <v>2845000</v>
      </c>
      <c r="M22" s="293"/>
      <c r="N22" s="294">
        <f t="shared" ref="N22:N26" si="26">H22-L22</f>
        <v>5735000</v>
      </c>
      <c r="O22" s="295">
        <f>G22*O21</f>
        <v>19305000</v>
      </c>
      <c r="P22" s="293">
        <f>O22*P21</f>
        <v>4826250</v>
      </c>
      <c r="Q22" s="293">
        <f t="shared" ref="Q22:Q26" si="27">(K22*3)+500000</f>
        <v>2600000</v>
      </c>
      <c r="R22" s="293">
        <f t="shared" ref="R22:R26" si="28">P22+Q22</f>
        <v>7426250</v>
      </c>
      <c r="S22" s="293"/>
      <c r="T22" s="294">
        <f t="shared" ref="T22:T26" si="29">O22-R22</f>
        <v>11878750</v>
      </c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</row>
    <row r="23" ht="19.5" customHeight="1">
      <c r="A23" s="292" t="s">
        <v>1010</v>
      </c>
      <c r="B23" s="293">
        <v>1298000.0</v>
      </c>
      <c r="C23" s="293">
        <f t="shared" si="20"/>
        <v>0</v>
      </c>
      <c r="D23" s="293">
        <f t="shared" si="21"/>
        <v>27041.66667</v>
      </c>
      <c r="E23" s="293">
        <f>B23*E21</f>
        <v>324500</v>
      </c>
      <c r="F23" s="294">
        <f>B23*F21</f>
        <v>25960</v>
      </c>
      <c r="G23" s="294">
        <f t="shared" si="22"/>
        <v>973500</v>
      </c>
      <c r="H23" s="295">
        <f>B23*H21</f>
        <v>12980000</v>
      </c>
      <c r="I23" s="293">
        <f>H23*I21</f>
        <v>3245000</v>
      </c>
      <c r="J23" s="293">
        <f t="shared" si="23"/>
        <v>120000</v>
      </c>
      <c r="K23" s="293">
        <f t="shared" si="24"/>
        <v>1200000</v>
      </c>
      <c r="L23" s="293">
        <f t="shared" si="25"/>
        <v>4445000</v>
      </c>
      <c r="M23" s="293"/>
      <c r="N23" s="294">
        <f t="shared" si="26"/>
        <v>8535000</v>
      </c>
      <c r="O23" s="295">
        <f>G23*O21</f>
        <v>29205000</v>
      </c>
      <c r="P23" s="293">
        <f>Q23*P21</f>
        <v>1025000</v>
      </c>
      <c r="Q23" s="293">
        <f t="shared" si="27"/>
        <v>4100000</v>
      </c>
      <c r="R23" s="293">
        <f t="shared" si="28"/>
        <v>5125000</v>
      </c>
      <c r="S23" s="293"/>
      <c r="T23" s="294">
        <f t="shared" si="29"/>
        <v>24080000</v>
      </c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/>
      <c r="AI23" s="290"/>
    </row>
    <row r="24" ht="19.5" customHeight="1">
      <c r="A24" s="292" t="s">
        <v>1011</v>
      </c>
      <c r="B24" s="293">
        <v>1599000.0</v>
      </c>
      <c r="C24" s="293">
        <f t="shared" si="20"/>
        <v>229000</v>
      </c>
      <c r="D24" s="293">
        <f t="shared" si="21"/>
        <v>33312.5</v>
      </c>
      <c r="E24" s="293">
        <f>B24*E21</f>
        <v>399750</v>
      </c>
      <c r="F24" s="294">
        <f>B24*F21</f>
        <v>31980</v>
      </c>
      <c r="G24" s="294">
        <f t="shared" ref="G24:G26" si="30">B24-C24-E24</f>
        <v>970250</v>
      </c>
      <c r="H24" s="295">
        <f>B24*H21</f>
        <v>15990000</v>
      </c>
      <c r="I24" s="293">
        <f>H24*I21</f>
        <v>3997500</v>
      </c>
      <c r="J24" s="293">
        <f t="shared" si="23"/>
        <v>170000</v>
      </c>
      <c r="K24" s="293">
        <f t="shared" si="24"/>
        <v>1700000</v>
      </c>
      <c r="L24" s="293">
        <f t="shared" si="25"/>
        <v>5697500</v>
      </c>
      <c r="M24" s="293"/>
      <c r="N24" s="294">
        <f t="shared" si="26"/>
        <v>10292500</v>
      </c>
      <c r="O24" s="295">
        <f>G24*O21</f>
        <v>29107500</v>
      </c>
      <c r="P24" s="293">
        <f>Q24*P21</f>
        <v>1400000</v>
      </c>
      <c r="Q24" s="293">
        <f t="shared" si="27"/>
        <v>5600000</v>
      </c>
      <c r="R24" s="293">
        <f t="shared" si="28"/>
        <v>7000000</v>
      </c>
      <c r="S24" s="293"/>
      <c r="T24" s="294">
        <f t="shared" si="29"/>
        <v>22107500</v>
      </c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</row>
    <row r="25" ht="19.5" customHeight="1">
      <c r="A25" s="292" t="s">
        <v>1012</v>
      </c>
      <c r="B25" s="293">
        <v>2999000.0</v>
      </c>
      <c r="C25" s="293">
        <f t="shared" si="20"/>
        <v>1472000</v>
      </c>
      <c r="D25" s="293">
        <f t="shared" si="21"/>
        <v>62479.16667</v>
      </c>
      <c r="E25" s="293">
        <f>B25*E21</f>
        <v>749750</v>
      </c>
      <c r="F25" s="294">
        <f>B25*F21</f>
        <v>59980</v>
      </c>
      <c r="G25" s="294">
        <f t="shared" si="30"/>
        <v>777250</v>
      </c>
      <c r="H25" s="295">
        <f>B25*H21</f>
        <v>29990000</v>
      </c>
      <c r="I25" s="293">
        <f>H25*I21</f>
        <v>7497500</v>
      </c>
      <c r="J25" s="293">
        <f t="shared" si="23"/>
        <v>220000</v>
      </c>
      <c r="K25" s="293">
        <f t="shared" si="24"/>
        <v>2200000</v>
      </c>
      <c r="L25" s="293">
        <f t="shared" si="25"/>
        <v>9697500</v>
      </c>
      <c r="M25" s="293"/>
      <c r="N25" s="294">
        <f t="shared" si="26"/>
        <v>20292500</v>
      </c>
      <c r="O25" s="295">
        <f>G25*O21</f>
        <v>23317500</v>
      </c>
      <c r="P25" s="293">
        <f>Q25*P21</f>
        <v>1775000</v>
      </c>
      <c r="Q25" s="293">
        <f t="shared" si="27"/>
        <v>7100000</v>
      </c>
      <c r="R25" s="293">
        <f t="shared" si="28"/>
        <v>8875000</v>
      </c>
      <c r="S25" s="293"/>
      <c r="T25" s="294">
        <f t="shared" si="29"/>
        <v>14442500</v>
      </c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</row>
    <row r="26" ht="19.5" customHeight="1">
      <c r="A26" s="292" t="s">
        <v>1013</v>
      </c>
      <c r="B26" s="293">
        <v>3499000.0</v>
      </c>
      <c r="C26" s="293">
        <f t="shared" si="20"/>
        <v>1526000</v>
      </c>
      <c r="D26" s="293">
        <f t="shared" si="21"/>
        <v>72895.83333</v>
      </c>
      <c r="E26" s="293">
        <f>B26*E21</f>
        <v>874750</v>
      </c>
      <c r="F26" s="294">
        <f>B26*F21</f>
        <v>69980</v>
      </c>
      <c r="G26" s="294">
        <f t="shared" si="30"/>
        <v>1098250</v>
      </c>
      <c r="H26" s="295">
        <f>B26*H21</f>
        <v>34990000</v>
      </c>
      <c r="I26" s="293">
        <f>H26*I21</f>
        <v>8747500</v>
      </c>
      <c r="J26" s="293">
        <f t="shared" si="23"/>
        <v>270000</v>
      </c>
      <c r="K26" s="293">
        <f t="shared" si="24"/>
        <v>2700000</v>
      </c>
      <c r="L26" s="293">
        <f t="shared" si="25"/>
        <v>11447500</v>
      </c>
      <c r="M26" s="293"/>
      <c r="N26" s="294">
        <f t="shared" si="26"/>
        <v>23542500</v>
      </c>
      <c r="O26" s="295">
        <f>G26*O21</f>
        <v>32947500</v>
      </c>
      <c r="P26" s="293">
        <f>Q26*P21</f>
        <v>2150000</v>
      </c>
      <c r="Q26" s="293">
        <f t="shared" si="27"/>
        <v>8600000</v>
      </c>
      <c r="R26" s="293">
        <f t="shared" si="28"/>
        <v>10750000</v>
      </c>
      <c r="S26" s="293"/>
      <c r="T26" s="294">
        <f t="shared" si="29"/>
        <v>22197500</v>
      </c>
      <c r="U26" s="290"/>
      <c r="V26" s="290"/>
      <c r="W26" s="290"/>
      <c r="X26" s="290"/>
      <c r="Y26" s="290"/>
      <c r="Z26" s="290"/>
      <c r="AA26" s="290"/>
      <c r="AB26" s="290"/>
      <c r="AC26" s="290"/>
      <c r="AD26" s="290"/>
      <c r="AE26" s="290"/>
      <c r="AF26" s="290"/>
      <c r="AG26" s="290"/>
      <c r="AH26" s="290"/>
      <c r="AI26" s="290"/>
    </row>
    <row r="27" ht="19.5" customHeight="1">
      <c r="A27" s="290"/>
      <c r="B27" s="290"/>
      <c r="C27" s="29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</row>
    <row r="28" ht="38.25" customHeight="1">
      <c r="A28" s="286" t="s">
        <v>1048</v>
      </c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</row>
    <row r="29" ht="19.5" customHeight="1">
      <c r="A29" s="288" t="s">
        <v>1004</v>
      </c>
      <c r="B29" s="288" t="s">
        <v>1036</v>
      </c>
      <c r="C29" s="288" t="s">
        <v>1037</v>
      </c>
      <c r="D29" s="288" t="s">
        <v>1038</v>
      </c>
      <c r="E29" s="288" t="s">
        <v>1006</v>
      </c>
      <c r="F29" s="288" t="s">
        <v>405</v>
      </c>
      <c r="G29" s="288" t="s">
        <v>1044</v>
      </c>
      <c r="H29" s="289" t="s">
        <v>1040</v>
      </c>
      <c r="I29" s="288" t="s">
        <v>1006</v>
      </c>
      <c r="J29" s="288" t="s">
        <v>1041</v>
      </c>
      <c r="K29" s="288" t="s">
        <v>1042</v>
      </c>
      <c r="L29" s="288" t="s">
        <v>1043</v>
      </c>
      <c r="M29" s="288"/>
      <c r="N29" s="288" t="s">
        <v>1044</v>
      </c>
      <c r="O29" s="289" t="s">
        <v>1040</v>
      </c>
      <c r="P29" s="288" t="s">
        <v>1006</v>
      </c>
      <c r="Q29" s="288" t="s">
        <v>1045</v>
      </c>
      <c r="R29" s="288" t="s">
        <v>1043</v>
      </c>
      <c r="S29" s="288"/>
      <c r="T29" s="288" t="s">
        <v>1044</v>
      </c>
      <c r="U29" s="290"/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0"/>
      <c r="AH29" s="290"/>
      <c r="AI29" s="290"/>
    </row>
    <row r="30" ht="19.5" customHeight="1">
      <c r="E30" s="291">
        <v>0.3</v>
      </c>
      <c r="F30" s="291">
        <v>0.02</v>
      </c>
      <c r="H30" s="289">
        <v>10.0</v>
      </c>
      <c r="I30" s="291">
        <f>E30</f>
        <v>0.3</v>
      </c>
      <c r="M30" s="288"/>
      <c r="O30" s="289">
        <v>30.0</v>
      </c>
      <c r="P30" s="291">
        <f>E30</f>
        <v>0.3</v>
      </c>
      <c r="S30" s="288"/>
      <c r="U30" s="290"/>
      <c r="V30" s="290"/>
      <c r="W30" s="290"/>
      <c r="X30" s="290"/>
      <c r="Y30" s="290"/>
      <c r="Z30" s="290"/>
      <c r="AA30" s="290"/>
      <c r="AB30" s="290"/>
      <c r="AC30" s="290"/>
      <c r="AD30" s="290"/>
      <c r="AE30" s="290"/>
      <c r="AF30" s="290"/>
      <c r="AG30" s="290"/>
      <c r="AH30" s="290"/>
      <c r="AI30" s="290"/>
    </row>
    <row r="31" ht="19.5" customHeight="1">
      <c r="A31" s="292" t="s">
        <v>1009</v>
      </c>
      <c r="B31" s="293">
        <v>858000.0</v>
      </c>
      <c r="C31" s="293">
        <f t="shared" ref="C31:C35" si="31">C4</f>
        <v>0</v>
      </c>
      <c r="D31" s="293">
        <f t="shared" ref="D31:D35" si="32">E31/12</f>
        <v>21450</v>
      </c>
      <c r="E31" s="293">
        <f>B31*E30</f>
        <v>257400</v>
      </c>
      <c r="F31" s="294">
        <f>B31*F30</f>
        <v>17160</v>
      </c>
      <c r="G31" s="294">
        <f t="shared" ref="G31:G32" si="33">B31-E31</f>
        <v>600600</v>
      </c>
      <c r="H31" s="295">
        <f>B31*H30</f>
        <v>8580000</v>
      </c>
      <c r="I31" s="293">
        <f>H31*I30</f>
        <v>2574000</v>
      </c>
      <c r="J31" s="293">
        <f t="shared" ref="J31:J35" si="34">K31/10</f>
        <v>100000</v>
      </c>
      <c r="K31" s="293">
        <f t="shared" ref="K31:K35" si="35">K22+300000</f>
        <v>1000000</v>
      </c>
      <c r="L31" s="293">
        <f t="shared" ref="L31:L35" si="36">I31+K31</f>
        <v>3574000</v>
      </c>
      <c r="M31" s="293"/>
      <c r="N31" s="294">
        <f t="shared" ref="N31:N35" si="37">H31-L31</f>
        <v>5006000</v>
      </c>
      <c r="O31" s="295">
        <f>G31*O30</f>
        <v>18018000</v>
      </c>
      <c r="P31" s="293">
        <f>O31*P30</f>
        <v>5405400</v>
      </c>
      <c r="Q31" s="293">
        <f t="shared" ref="Q31:Q35" si="38">(K31*3)+500000</f>
        <v>3500000</v>
      </c>
      <c r="R31" s="293">
        <f t="shared" ref="R31:R35" si="39">P31+Q31</f>
        <v>8905400</v>
      </c>
      <c r="S31" s="293"/>
      <c r="T31" s="294">
        <f t="shared" ref="T31:T35" si="40">O31-R31</f>
        <v>9112600</v>
      </c>
      <c r="U31" s="290"/>
      <c r="V31" s="290"/>
      <c r="W31" s="290"/>
      <c r="X31" s="290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</row>
    <row r="32" ht="19.5" customHeight="1">
      <c r="A32" s="292" t="s">
        <v>1010</v>
      </c>
      <c r="B32" s="293">
        <v>1298000.0</v>
      </c>
      <c r="C32" s="293">
        <f t="shared" si="31"/>
        <v>0</v>
      </c>
      <c r="D32" s="293">
        <f t="shared" si="32"/>
        <v>32450</v>
      </c>
      <c r="E32" s="293">
        <f>B32*E30</f>
        <v>389400</v>
      </c>
      <c r="F32" s="294">
        <f>B32*F30</f>
        <v>25960</v>
      </c>
      <c r="G32" s="294">
        <f t="shared" si="33"/>
        <v>908600</v>
      </c>
      <c r="H32" s="295">
        <f>B32*H30</f>
        <v>12980000</v>
      </c>
      <c r="I32" s="293">
        <f>H32*I30</f>
        <v>3894000</v>
      </c>
      <c r="J32" s="293">
        <f t="shared" si="34"/>
        <v>150000</v>
      </c>
      <c r="K32" s="293">
        <f t="shared" si="35"/>
        <v>1500000</v>
      </c>
      <c r="L32" s="293">
        <f t="shared" si="36"/>
        <v>5394000</v>
      </c>
      <c r="M32" s="293"/>
      <c r="N32" s="294">
        <f t="shared" si="37"/>
        <v>7586000</v>
      </c>
      <c r="O32" s="295">
        <f>G32*O30</f>
        <v>27258000</v>
      </c>
      <c r="P32" s="293">
        <f>Q32*P30</f>
        <v>1500000</v>
      </c>
      <c r="Q32" s="293">
        <f t="shared" si="38"/>
        <v>5000000</v>
      </c>
      <c r="R32" s="293">
        <f t="shared" si="39"/>
        <v>6500000</v>
      </c>
      <c r="S32" s="293"/>
      <c r="T32" s="294">
        <f t="shared" si="40"/>
        <v>20758000</v>
      </c>
      <c r="U32" s="290"/>
      <c r="V32" s="290"/>
      <c r="W32" s="290"/>
      <c r="X32" s="290"/>
      <c r="Y32" s="290"/>
      <c r="Z32" s="290"/>
      <c r="AA32" s="290"/>
      <c r="AB32" s="290"/>
      <c r="AC32" s="290"/>
      <c r="AD32" s="290"/>
      <c r="AE32" s="290"/>
      <c r="AF32" s="290"/>
      <c r="AG32" s="290"/>
      <c r="AH32" s="290"/>
      <c r="AI32" s="290"/>
    </row>
    <row r="33" ht="19.5" customHeight="1">
      <c r="A33" s="292" t="s">
        <v>1011</v>
      </c>
      <c r="B33" s="293">
        <v>1599000.0</v>
      </c>
      <c r="C33" s="293">
        <f t="shared" si="31"/>
        <v>229000</v>
      </c>
      <c r="D33" s="293">
        <f t="shared" si="32"/>
        <v>39975</v>
      </c>
      <c r="E33" s="293">
        <f>B33*E30</f>
        <v>479700</v>
      </c>
      <c r="F33" s="294">
        <f>B33*F30</f>
        <v>31980</v>
      </c>
      <c r="G33" s="294">
        <f t="shared" ref="G33:G35" si="41">B33-C33-E33</f>
        <v>890300</v>
      </c>
      <c r="H33" s="295">
        <f>B33*H30</f>
        <v>15990000</v>
      </c>
      <c r="I33" s="293">
        <f>H33*I30</f>
        <v>4797000</v>
      </c>
      <c r="J33" s="293">
        <f t="shared" si="34"/>
        <v>200000</v>
      </c>
      <c r="K33" s="293">
        <f t="shared" si="35"/>
        <v>2000000</v>
      </c>
      <c r="L33" s="293">
        <f t="shared" si="36"/>
        <v>6797000</v>
      </c>
      <c r="M33" s="293"/>
      <c r="N33" s="294">
        <f t="shared" si="37"/>
        <v>9193000</v>
      </c>
      <c r="O33" s="295">
        <f>G33*O30</f>
        <v>26709000</v>
      </c>
      <c r="P33" s="293">
        <f>Q33*P30</f>
        <v>1950000</v>
      </c>
      <c r="Q33" s="293">
        <f t="shared" si="38"/>
        <v>6500000</v>
      </c>
      <c r="R33" s="293">
        <f t="shared" si="39"/>
        <v>8450000</v>
      </c>
      <c r="S33" s="293"/>
      <c r="T33" s="294">
        <f t="shared" si="40"/>
        <v>18259000</v>
      </c>
      <c r="U33" s="290"/>
      <c r="V33" s="290"/>
      <c r="W33" s="290"/>
      <c r="X33" s="290"/>
      <c r="Y33" s="290"/>
      <c r="Z33" s="290"/>
      <c r="AA33" s="290"/>
      <c r="AB33" s="290"/>
      <c r="AC33" s="290"/>
      <c r="AD33" s="290"/>
      <c r="AE33" s="290"/>
      <c r="AF33" s="290"/>
      <c r="AG33" s="290"/>
      <c r="AH33" s="290"/>
      <c r="AI33" s="290"/>
    </row>
    <row r="34" ht="19.5" customHeight="1">
      <c r="A34" s="292" t="s">
        <v>1049</v>
      </c>
      <c r="B34" s="293">
        <v>2999000.0</v>
      </c>
      <c r="C34" s="293">
        <f t="shared" si="31"/>
        <v>1472000</v>
      </c>
      <c r="D34" s="293">
        <f t="shared" si="32"/>
        <v>74975</v>
      </c>
      <c r="E34" s="293">
        <f>B34*E30</f>
        <v>899700</v>
      </c>
      <c r="F34" s="294">
        <f>B34*F30</f>
        <v>59980</v>
      </c>
      <c r="G34" s="294">
        <f t="shared" si="41"/>
        <v>627300</v>
      </c>
      <c r="H34" s="295">
        <f>B34*H30</f>
        <v>29990000</v>
      </c>
      <c r="I34" s="293">
        <f>H34*I30</f>
        <v>8997000</v>
      </c>
      <c r="J34" s="293">
        <f t="shared" si="34"/>
        <v>250000</v>
      </c>
      <c r="K34" s="293">
        <f t="shared" si="35"/>
        <v>2500000</v>
      </c>
      <c r="L34" s="293">
        <f t="shared" si="36"/>
        <v>11497000</v>
      </c>
      <c r="M34" s="293"/>
      <c r="N34" s="294">
        <f t="shared" si="37"/>
        <v>18493000</v>
      </c>
      <c r="O34" s="295">
        <f>G34*O30</f>
        <v>18819000</v>
      </c>
      <c r="P34" s="293">
        <f>Q34*P30</f>
        <v>2400000</v>
      </c>
      <c r="Q34" s="293">
        <f t="shared" si="38"/>
        <v>8000000</v>
      </c>
      <c r="R34" s="293">
        <f t="shared" si="39"/>
        <v>10400000</v>
      </c>
      <c r="S34" s="293"/>
      <c r="T34" s="294">
        <f t="shared" si="40"/>
        <v>8419000</v>
      </c>
      <c r="U34" s="290"/>
      <c r="V34" s="290"/>
      <c r="W34" s="290"/>
      <c r="X34" s="290"/>
      <c r="Y34" s="290"/>
      <c r="Z34" s="290"/>
      <c r="AA34" s="290"/>
      <c r="AB34" s="290"/>
      <c r="AC34" s="290"/>
      <c r="AD34" s="290"/>
      <c r="AE34" s="290"/>
      <c r="AF34" s="290"/>
      <c r="AG34" s="290"/>
      <c r="AH34" s="290"/>
      <c r="AI34" s="290"/>
    </row>
    <row r="35" ht="19.5" customHeight="1">
      <c r="A35" s="292" t="s">
        <v>1013</v>
      </c>
      <c r="B35" s="293">
        <v>3499000.0</v>
      </c>
      <c r="C35" s="293">
        <f t="shared" si="31"/>
        <v>1526000</v>
      </c>
      <c r="D35" s="293">
        <f t="shared" si="32"/>
        <v>87475</v>
      </c>
      <c r="E35" s="293">
        <f>B35*E30</f>
        <v>1049700</v>
      </c>
      <c r="F35" s="294">
        <f>B35*F30</f>
        <v>69980</v>
      </c>
      <c r="G35" s="294">
        <f t="shared" si="41"/>
        <v>923300</v>
      </c>
      <c r="H35" s="295">
        <f>B35*H30</f>
        <v>34990000</v>
      </c>
      <c r="I35" s="293">
        <f>H35*I30</f>
        <v>10497000</v>
      </c>
      <c r="J35" s="293">
        <f t="shared" si="34"/>
        <v>300000</v>
      </c>
      <c r="K35" s="293">
        <f t="shared" si="35"/>
        <v>3000000</v>
      </c>
      <c r="L35" s="293">
        <f t="shared" si="36"/>
        <v>13497000</v>
      </c>
      <c r="M35" s="293"/>
      <c r="N35" s="294">
        <f t="shared" si="37"/>
        <v>21493000</v>
      </c>
      <c r="O35" s="295">
        <f>G35*O30</f>
        <v>27699000</v>
      </c>
      <c r="P35" s="293">
        <f>Q35*P30</f>
        <v>2850000</v>
      </c>
      <c r="Q35" s="293">
        <f t="shared" si="38"/>
        <v>9500000</v>
      </c>
      <c r="R35" s="293">
        <f t="shared" si="39"/>
        <v>12350000</v>
      </c>
      <c r="S35" s="293"/>
      <c r="T35" s="294">
        <f t="shared" si="40"/>
        <v>15349000</v>
      </c>
      <c r="U35" s="290"/>
      <c r="V35" s="290"/>
      <c r="W35" s="290"/>
      <c r="X35" s="290"/>
      <c r="Y35" s="290"/>
      <c r="Z35" s="290"/>
      <c r="AA35" s="290"/>
      <c r="AB35" s="290"/>
      <c r="AC35" s="290"/>
      <c r="AD35" s="290"/>
      <c r="AE35" s="290"/>
      <c r="AF35" s="290"/>
      <c r="AG35" s="290"/>
      <c r="AH35" s="290"/>
      <c r="AI35" s="290"/>
    </row>
    <row r="36" ht="19.5" customHeight="1">
      <c r="A36" s="290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</row>
    <row r="37" ht="19.5" customHeight="1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90"/>
      <c r="AB37" s="290"/>
      <c r="AC37" s="290"/>
      <c r="AD37" s="290"/>
      <c r="AE37" s="290"/>
      <c r="AF37" s="290"/>
      <c r="AG37" s="290"/>
      <c r="AH37" s="290"/>
      <c r="AI37" s="290"/>
    </row>
    <row r="38" ht="19.5" customHeight="1">
      <c r="A38" s="290"/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90"/>
      <c r="AB38" s="290"/>
      <c r="AC38" s="290"/>
      <c r="AD38" s="290"/>
      <c r="AE38" s="290"/>
      <c r="AF38" s="290"/>
      <c r="AG38" s="290"/>
      <c r="AH38" s="290"/>
      <c r="AI38" s="290"/>
    </row>
    <row r="39" ht="19.5" customHeight="1">
      <c r="A39" s="299"/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90"/>
      <c r="AB39" s="290"/>
      <c r="AC39" s="290"/>
      <c r="AD39" s="290"/>
      <c r="AE39" s="290"/>
      <c r="AF39" s="290"/>
      <c r="AG39" s="290"/>
      <c r="AH39" s="290"/>
      <c r="AI39" s="290"/>
    </row>
    <row r="40" ht="19.5" customHeight="1">
      <c r="A40" s="300"/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</row>
    <row r="41" ht="19.5" customHeight="1">
      <c r="A41" s="290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0"/>
      <c r="S41" s="290"/>
      <c r="T41" s="290"/>
      <c r="U41" s="290"/>
      <c r="V41" s="290"/>
      <c r="W41" s="290"/>
      <c r="X41" s="290"/>
      <c r="Y41" s="290"/>
      <c r="Z41" s="290"/>
      <c r="AA41" s="290"/>
      <c r="AB41" s="290"/>
      <c r="AC41" s="290"/>
      <c r="AD41" s="290"/>
      <c r="AE41" s="290"/>
      <c r="AF41" s="290"/>
      <c r="AG41" s="290"/>
      <c r="AH41" s="290"/>
      <c r="AI41" s="290"/>
    </row>
    <row r="42" ht="19.5" customHeight="1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290"/>
      <c r="S42" s="290"/>
      <c r="T42" s="290"/>
      <c r="U42" s="290"/>
      <c r="V42" s="290"/>
      <c r="W42" s="290"/>
      <c r="X42" s="290"/>
      <c r="Y42" s="290"/>
      <c r="Z42" s="290"/>
      <c r="AA42" s="290"/>
      <c r="AB42" s="290"/>
      <c r="AC42" s="290"/>
      <c r="AD42" s="290"/>
      <c r="AE42" s="290"/>
      <c r="AF42" s="290"/>
      <c r="AG42" s="290"/>
      <c r="AH42" s="290"/>
      <c r="AI42" s="290"/>
    </row>
    <row r="43" ht="19.5" customHeight="1">
      <c r="A43" s="290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90"/>
      <c r="AB43" s="290"/>
      <c r="AC43" s="290"/>
      <c r="AD43" s="290"/>
      <c r="AE43" s="290"/>
      <c r="AF43" s="290"/>
      <c r="AG43" s="290"/>
      <c r="AH43" s="290"/>
      <c r="AI43" s="290"/>
    </row>
    <row r="44" ht="19.5" customHeight="1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</row>
    <row r="45" ht="19.5" customHeight="1">
      <c r="A45" s="290"/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90"/>
      <c r="AB45" s="290"/>
      <c r="AC45" s="290"/>
      <c r="AD45" s="290"/>
      <c r="AE45" s="290"/>
      <c r="AF45" s="290"/>
      <c r="AG45" s="290"/>
      <c r="AH45" s="290"/>
      <c r="AI45" s="290"/>
    </row>
    <row r="46" ht="19.5" customHeight="1">
      <c r="A46" s="290"/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90"/>
      <c r="AB46" s="290"/>
      <c r="AC46" s="290"/>
      <c r="AD46" s="290"/>
      <c r="AE46" s="290"/>
      <c r="AF46" s="290"/>
      <c r="AG46" s="290"/>
      <c r="AH46" s="290"/>
      <c r="AI46" s="290"/>
    </row>
    <row r="47" ht="19.5" customHeight="1">
      <c r="A47" s="290"/>
      <c r="B47" s="290"/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290"/>
      <c r="S47" s="290"/>
      <c r="T47" s="290"/>
      <c r="U47" s="290"/>
      <c r="V47" s="290"/>
      <c r="W47" s="290"/>
      <c r="X47" s="290"/>
      <c r="Y47" s="290"/>
      <c r="Z47" s="290"/>
      <c r="AA47" s="290"/>
      <c r="AB47" s="290"/>
      <c r="AC47" s="290"/>
      <c r="AD47" s="290"/>
      <c r="AE47" s="290"/>
      <c r="AF47" s="290"/>
      <c r="AG47" s="290"/>
      <c r="AH47" s="290"/>
      <c r="AI47" s="290"/>
    </row>
    <row r="48" ht="19.5" customHeight="1">
      <c r="A48" s="290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  <c r="S48" s="290"/>
      <c r="T48" s="290"/>
      <c r="U48" s="290"/>
      <c r="V48" s="290"/>
      <c r="W48" s="290"/>
      <c r="X48" s="290"/>
      <c r="Y48" s="290"/>
      <c r="Z48" s="290"/>
      <c r="AA48" s="290"/>
      <c r="AB48" s="290"/>
      <c r="AC48" s="290"/>
      <c r="AD48" s="290"/>
      <c r="AE48" s="290"/>
      <c r="AF48" s="290"/>
      <c r="AG48" s="290"/>
      <c r="AH48" s="290"/>
      <c r="AI48" s="290"/>
    </row>
    <row r="49" ht="19.5" customHeight="1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0"/>
      <c r="U49" s="290"/>
      <c r="V49" s="290"/>
      <c r="W49" s="290"/>
      <c r="X49" s="290"/>
      <c r="Y49" s="290"/>
      <c r="Z49" s="290"/>
      <c r="AA49" s="290"/>
      <c r="AB49" s="290"/>
      <c r="AC49" s="290"/>
      <c r="AD49" s="290"/>
      <c r="AE49" s="290"/>
      <c r="AF49" s="290"/>
      <c r="AG49" s="290"/>
      <c r="AH49" s="290"/>
      <c r="AI49" s="290"/>
    </row>
    <row r="50" ht="19.5" customHeight="1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90"/>
      <c r="AB50" s="290"/>
      <c r="AC50" s="290"/>
      <c r="AD50" s="290"/>
      <c r="AE50" s="290"/>
      <c r="AF50" s="290"/>
      <c r="AG50" s="290"/>
      <c r="AH50" s="290"/>
      <c r="AI50" s="290"/>
    </row>
    <row r="51" ht="19.5" customHeight="1">
      <c r="A51" s="290"/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</row>
    <row r="52" ht="19.5" customHeight="1">
      <c r="A52" s="290"/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90"/>
      <c r="AB52" s="290"/>
      <c r="AC52" s="290"/>
      <c r="AD52" s="290"/>
      <c r="AE52" s="290"/>
      <c r="AF52" s="290"/>
      <c r="AG52" s="290"/>
      <c r="AH52" s="290"/>
      <c r="AI52" s="290"/>
    </row>
    <row r="53" ht="19.5" customHeight="1">
      <c r="A53" s="290"/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0"/>
      <c r="S53" s="290"/>
      <c r="T53" s="290"/>
      <c r="U53" s="290"/>
      <c r="V53" s="290"/>
      <c r="W53" s="290"/>
      <c r="X53" s="290"/>
      <c r="Y53" s="290"/>
      <c r="Z53" s="290"/>
      <c r="AA53" s="290"/>
      <c r="AB53" s="290"/>
      <c r="AC53" s="290"/>
      <c r="AD53" s="290"/>
      <c r="AE53" s="290"/>
      <c r="AF53" s="290"/>
      <c r="AG53" s="290"/>
      <c r="AH53" s="290"/>
      <c r="AI53" s="290"/>
    </row>
    <row r="54" ht="19.5" customHeight="1">
      <c r="A54" s="290"/>
      <c r="B54" s="290"/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290"/>
      <c r="S54" s="290"/>
      <c r="T54" s="290"/>
      <c r="U54" s="290"/>
      <c r="V54" s="290"/>
      <c r="W54" s="290"/>
      <c r="X54" s="290"/>
      <c r="Y54" s="290"/>
      <c r="Z54" s="290"/>
      <c r="AA54" s="290"/>
      <c r="AB54" s="290"/>
      <c r="AC54" s="290"/>
      <c r="AD54" s="290"/>
      <c r="AE54" s="290"/>
      <c r="AF54" s="290"/>
      <c r="AG54" s="290"/>
      <c r="AH54" s="290"/>
      <c r="AI54" s="290"/>
    </row>
    <row r="55" ht="19.5" customHeight="1">
      <c r="A55" s="290"/>
      <c r="B55" s="29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  <c r="R55" s="290"/>
      <c r="S55" s="290"/>
      <c r="T55" s="290"/>
      <c r="U55" s="290"/>
      <c r="V55" s="290"/>
      <c r="W55" s="290"/>
      <c r="X55" s="290"/>
      <c r="Y55" s="290"/>
      <c r="Z55" s="290"/>
      <c r="AA55" s="290"/>
      <c r="AB55" s="290"/>
      <c r="AC55" s="290"/>
      <c r="AD55" s="290"/>
      <c r="AE55" s="290"/>
      <c r="AF55" s="290"/>
      <c r="AG55" s="290"/>
      <c r="AH55" s="290"/>
      <c r="AI55" s="290"/>
    </row>
    <row r="56" ht="19.5" customHeight="1">
      <c r="A56" s="290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</row>
    <row r="57" ht="19.5" customHeight="1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290"/>
      <c r="S57" s="290"/>
      <c r="T57" s="290"/>
      <c r="U57" s="290"/>
      <c r="V57" s="290"/>
      <c r="W57" s="290"/>
      <c r="X57" s="290"/>
      <c r="Y57" s="290"/>
      <c r="Z57" s="290"/>
      <c r="AA57" s="290"/>
      <c r="AB57" s="290"/>
      <c r="AC57" s="290"/>
      <c r="AD57" s="290"/>
      <c r="AE57" s="290"/>
      <c r="AF57" s="290"/>
      <c r="AG57" s="290"/>
      <c r="AH57" s="290"/>
      <c r="AI57" s="290"/>
    </row>
    <row r="58" ht="19.5" customHeight="1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90"/>
      <c r="AB58" s="290"/>
      <c r="AC58" s="290"/>
      <c r="AD58" s="290"/>
      <c r="AE58" s="290"/>
      <c r="AF58" s="290"/>
      <c r="AG58" s="290"/>
      <c r="AH58" s="290"/>
      <c r="AI58" s="290"/>
    </row>
    <row r="59" ht="19.5" customHeight="1">
      <c r="A59" s="290"/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90"/>
      <c r="AB59" s="290"/>
      <c r="AC59" s="290"/>
      <c r="AD59" s="290"/>
      <c r="AE59" s="290"/>
      <c r="AF59" s="290"/>
      <c r="AG59" s="290"/>
      <c r="AH59" s="290"/>
      <c r="AI59" s="290"/>
    </row>
    <row r="60" ht="19.5" customHeight="1">
      <c r="A60" s="290"/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90"/>
      <c r="AB60" s="290"/>
      <c r="AC60" s="290"/>
      <c r="AD60" s="290"/>
      <c r="AE60" s="290"/>
      <c r="AF60" s="290"/>
      <c r="AG60" s="290"/>
      <c r="AH60" s="290"/>
      <c r="AI60" s="290"/>
    </row>
    <row r="61" ht="19.5" customHeight="1">
      <c r="A61" s="290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290"/>
      <c r="S61" s="290"/>
      <c r="T61" s="290"/>
      <c r="U61" s="290"/>
      <c r="V61" s="290"/>
      <c r="W61" s="290"/>
      <c r="X61" s="290"/>
      <c r="Y61" s="290"/>
      <c r="Z61" s="290"/>
      <c r="AA61" s="290"/>
      <c r="AB61" s="290"/>
      <c r="AC61" s="290"/>
      <c r="AD61" s="290"/>
      <c r="AE61" s="290"/>
      <c r="AF61" s="290"/>
      <c r="AG61" s="290"/>
      <c r="AH61" s="290"/>
      <c r="AI61" s="290"/>
    </row>
    <row r="62" ht="19.5" customHeight="1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290"/>
      <c r="S62" s="290"/>
      <c r="T62" s="290"/>
      <c r="U62" s="290"/>
      <c r="V62" s="290"/>
      <c r="W62" s="290"/>
      <c r="X62" s="290"/>
      <c r="Y62" s="290"/>
      <c r="Z62" s="290"/>
      <c r="AA62" s="290"/>
      <c r="AB62" s="290"/>
      <c r="AC62" s="290"/>
      <c r="AD62" s="290"/>
      <c r="AE62" s="290"/>
      <c r="AF62" s="290"/>
      <c r="AG62" s="290"/>
      <c r="AH62" s="290"/>
      <c r="AI62" s="290"/>
    </row>
    <row r="63" ht="19.5" customHeight="1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90"/>
      <c r="AB63" s="290"/>
      <c r="AC63" s="290"/>
      <c r="AD63" s="290"/>
      <c r="AE63" s="290"/>
      <c r="AF63" s="290"/>
      <c r="AG63" s="290"/>
      <c r="AH63" s="290"/>
      <c r="AI63" s="290"/>
    </row>
    <row r="64" ht="19.5" customHeight="1">
      <c r="A64" s="290"/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90"/>
      <c r="AB64" s="290"/>
      <c r="AC64" s="290"/>
      <c r="AD64" s="290"/>
      <c r="AE64" s="290"/>
      <c r="AF64" s="290"/>
      <c r="AG64" s="290"/>
      <c r="AH64" s="290"/>
      <c r="AI64" s="290"/>
    </row>
    <row r="65" ht="19.5" customHeight="1">
      <c r="A65" s="290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  <c r="R65" s="290"/>
      <c r="S65" s="290"/>
      <c r="T65" s="290"/>
      <c r="U65" s="290"/>
      <c r="V65" s="290"/>
      <c r="W65" s="290"/>
      <c r="X65" s="290"/>
      <c r="Y65" s="290"/>
      <c r="Z65" s="290"/>
      <c r="AA65" s="290"/>
      <c r="AB65" s="290"/>
      <c r="AC65" s="290"/>
      <c r="AD65" s="290"/>
      <c r="AE65" s="290"/>
      <c r="AF65" s="290"/>
      <c r="AG65" s="290"/>
      <c r="AH65" s="290"/>
      <c r="AI65" s="290"/>
    </row>
    <row r="66" ht="19.5" customHeight="1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290"/>
      <c r="S66" s="290"/>
      <c r="T66" s="290"/>
      <c r="U66" s="290"/>
      <c r="V66" s="290"/>
      <c r="W66" s="290"/>
      <c r="X66" s="290"/>
      <c r="Y66" s="290"/>
      <c r="Z66" s="290"/>
      <c r="AA66" s="290"/>
      <c r="AB66" s="290"/>
      <c r="AC66" s="290"/>
      <c r="AD66" s="290"/>
      <c r="AE66" s="290"/>
      <c r="AF66" s="290"/>
      <c r="AG66" s="290"/>
      <c r="AH66" s="290"/>
      <c r="AI66" s="290"/>
    </row>
    <row r="67" ht="19.5" customHeight="1">
      <c r="A67" s="290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90"/>
      <c r="AB67" s="290"/>
      <c r="AC67" s="290"/>
      <c r="AD67" s="290"/>
      <c r="AE67" s="290"/>
      <c r="AF67" s="290"/>
      <c r="AG67" s="290"/>
      <c r="AH67" s="290"/>
      <c r="AI67" s="290"/>
    </row>
    <row r="68" ht="19.5" customHeight="1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290"/>
      <c r="S68" s="290"/>
      <c r="T68" s="290"/>
      <c r="U68" s="290"/>
      <c r="V68" s="290"/>
      <c r="W68" s="290"/>
      <c r="X68" s="290"/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</row>
    <row r="69" ht="19.5" customHeight="1">
      <c r="A69" s="290"/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90"/>
      <c r="AB69" s="290"/>
      <c r="AC69" s="290"/>
      <c r="AD69" s="290"/>
      <c r="AE69" s="290"/>
      <c r="AF69" s="290"/>
      <c r="AG69" s="290"/>
      <c r="AH69" s="290"/>
      <c r="AI69" s="290"/>
    </row>
    <row r="70" ht="19.5" customHeight="1">
      <c r="A70" s="290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0"/>
      <c r="S70" s="290"/>
      <c r="T70" s="290"/>
      <c r="U70" s="290"/>
      <c r="V70" s="290"/>
      <c r="W70" s="290"/>
      <c r="X70" s="290"/>
      <c r="Y70" s="290"/>
      <c r="Z70" s="290"/>
      <c r="AA70" s="290"/>
      <c r="AB70" s="290"/>
      <c r="AC70" s="290"/>
      <c r="AD70" s="290"/>
      <c r="AE70" s="290"/>
      <c r="AF70" s="290"/>
      <c r="AG70" s="290"/>
      <c r="AH70" s="290"/>
      <c r="AI70" s="290"/>
    </row>
    <row r="71" ht="19.5" customHeight="1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0"/>
      <c r="P71" s="290"/>
      <c r="Q71" s="290"/>
      <c r="R71" s="290"/>
      <c r="S71" s="290"/>
      <c r="T71" s="290"/>
      <c r="U71" s="290"/>
      <c r="V71" s="290"/>
      <c r="W71" s="290"/>
      <c r="X71" s="290"/>
      <c r="Y71" s="290"/>
      <c r="Z71" s="290"/>
      <c r="AA71" s="290"/>
      <c r="AB71" s="290"/>
      <c r="AC71" s="290"/>
      <c r="AD71" s="290"/>
      <c r="AE71" s="290"/>
      <c r="AF71" s="290"/>
      <c r="AG71" s="290"/>
      <c r="AH71" s="290"/>
      <c r="AI71" s="290"/>
    </row>
    <row r="72" ht="19.5" customHeight="1">
      <c r="A72" s="290"/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90"/>
      <c r="AB72" s="290"/>
      <c r="AC72" s="290"/>
      <c r="AD72" s="290"/>
      <c r="AE72" s="290"/>
      <c r="AF72" s="290"/>
      <c r="AG72" s="290"/>
      <c r="AH72" s="290"/>
      <c r="AI72" s="290"/>
    </row>
    <row r="73" ht="19.5" customHeight="1">
      <c r="A73" s="290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290"/>
      <c r="S73" s="290"/>
      <c r="T73" s="290"/>
      <c r="U73" s="290"/>
      <c r="V73" s="290"/>
      <c r="W73" s="290"/>
      <c r="X73" s="290"/>
      <c r="Y73" s="290"/>
      <c r="Z73" s="290"/>
      <c r="AA73" s="290"/>
      <c r="AB73" s="290"/>
      <c r="AC73" s="290"/>
      <c r="AD73" s="290"/>
      <c r="AE73" s="290"/>
      <c r="AF73" s="290"/>
      <c r="AG73" s="290"/>
      <c r="AH73" s="290"/>
      <c r="AI73" s="290"/>
    </row>
    <row r="74" ht="19.5" customHeight="1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  <c r="AA74" s="290"/>
      <c r="AB74" s="290"/>
      <c r="AC74" s="290"/>
      <c r="AD74" s="290"/>
      <c r="AE74" s="290"/>
      <c r="AF74" s="290"/>
      <c r="AG74" s="290"/>
      <c r="AH74" s="290"/>
      <c r="AI74" s="290"/>
    </row>
    <row r="75" ht="19.5" customHeight="1">
      <c r="A75" s="290"/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90"/>
      <c r="AB75" s="290"/>
      <c r="AC75" s="290"/>
      <c r="AD75" s="290"/>
      <c r="AE75" s="290"/>
      <c r="AF75" s="290"/>
      <c r="AG75" s="290"/>
      <c r="AH75" s="290"/>
      <c r="AI75" s="290"/>
    </row>
    <row r="76" ht="19.5" customHeight="1">
      <c r="A76" s="290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90"/>
      <c r="AB76" s="290"/>
      <c r="AC76" s="290"/>
      <c r="AD76" s="290"/>
      <c r="AE76" s="290"/>
      <c r="AF76" s="290"/>
      <c r="AG76" s="290"/>
      <c r="AH76" s="290"/>
      <c r="AI76" s="290"/>
    </row>
    <row r="77" ht="19.5" customHeight="1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</row>
    <row r="78" ht="19.5" customHeight="1">
      <c r="A78" s="290"/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90"/>
      <c r="AB78" s="290"/>
      <c r="AC78" s="290"/>
      <c r="AD78" s="290"/>
      <c r="AE78" s="290"/>
      <c r="AF78" s="290"/>
      <c r="AG78" s="290"/>
      <c r="AH78" s="290"/>
      <c r="AI78" s="290"/>
    </row>
    <row r="79" ht="19.5" customHeight="1">
      <c r="A79" s="290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90"/>
      <c r="AB79" s="290"/>
      <c r="AC79" s="290"/>
      <c r="AD79" s="290"/>
      <c r="AE79" s="290"/>
      <c r="AF79" s="290"/>
      <c r="AG79" s="290"/>
      <c r="AH79" s="290"/>
      <c r="AI79" s="290"/>
    </row>
    <row r="80" ht="19.5" customHeight="1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90"/>
      <c r="AB80" s="290"/>
      <c r="AC80" s="290"/>
      <c r="AD80" s="290"/>
      <c r="AE80" s="290"/>
      <c r="AF80" s="290"/>
      <c r="AG80" s="290"/>
      <c r="AH80" s="290"/>
      <c r="AI80" s="290"/>
    </row>
    <row r="81" ht="19.5" customHeight="1">
      <c r="A81" s="290"/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90"/>
      <c r="AB81" s="290"/>
      <c r="AC81" s="290"/>
      <c r="AD81" s="290"/>
      <c r="AE81" s="290"/>
      <c r="AF81" s="290"/>
      <c r="AG81" s="290"/>
      <c r="AH81" s="290"/>
      <c r="AI81" s="290"/>
    </row>
    <row r="82" ht="19.5" customHeight="1">
      <c r="A82" s="290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90"/>
      <c r="AB82" s="290"/>
      <c r="AC82" s="290"/>
      <c r="AD82" s="290"/>
      <c r="AE82" s="290"/>
      <c r="AF82" s="290"/>
      <c r="AG82" s="290"/>
      <c r="AH82" s="290"/>
      <c r="AI82" s="290"/>
    </row>
    <row r="83" ht="19.5" customHeight="1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290"/>
      <c r="S83" s="290"/>
      <c r="T83" s="290"/>
      <c r="U83" s="290"/>
      <c r="V83" s="290"/>
      <c r="W83" s="290"/>
      <c r="X83" s="290"/>
      <c r="Y83" s="290"/>
      <c r="Z83" s="290"/>
      <c r="AA83" s="290"/>
      <c r="AB83" s="290"/>
      <c r="AC83" s="290"/>
      <c r="AD83" s="290"/>
      <c r="AE83" s="290"/>
      <c r="AF83" s="290"/>
      <c r="AG83" s="290"/>
      <c r="AH83" s="290"/>
      <c r="AI83" s="290"/>
    </row>
    <row r="84" ht="19.5" customHeight="1">
      <c r="A84" s="290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90"/>
      <c r="AB84" s="290"/>
      <c r="AC84" s="290"/>
      <c r="AD84" s="290"/>
      <c r="AE84" s="290"/>
      <c r="AF84" s="290"/>
      <c r="AG84" s="290"/>
      <c r="AH84" s="290"/>
      <c r="AI84" s="290"/>
    </row>
    <row r="85" ht="19.5" customHeight="1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90"/>
      <c r="AB85" s="290"/>
      <c r="AC85" s="290"/>
      <c r="AD85" s="290"/>
      <c r="AE85" s="290"/>
      <c r="AF85" s="290"/>
      <c r="AG85" s="290"/>
      <c r="AH85" s="290"/>
      <c r="AI85" s="290"/>
    </row>
    <row r="86" ht="19.5" customHeight="1">
      <c r="A86" s="290"/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90"/>
      <c r="AB86" s="290"/>
      <c r="AC86" s="290"/>
      <c r="AD86" s="290"/>
      <c r="AE86" s="290"/>
      <c r="AF86" s="290"/>
      <c r="AG86" s="290"/>
      <c r="AH86" s="290"/>
      <c r="AI86" s="290"/>
    </row>
    <row r="87" ht="19.5" customHeight="1">
      <c r="A87" s="290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90"/>
      <c r="AB87" s="290"/>
      <c r="AC87" s="290"/>
      <c r="AD87" s="290"/>
      <c r="AE87" s="290"/>
      <c r="AF87" s="290"/>
      <c r="AG87" s="290"/>
      <c r="AH87" s="290"/>
      <c r="AI87" s="290"/>
    </row>
    <row r="88" ht="19.5" customHeight="1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0"/>
      <c r="Q88" s="290"/>
      <c r="R88" s="290"/>
      <c r="S88" s="290"/>
      <c r="T88" s="290"/>
      <c r="U88" s="290"/>
      <c r="V88" s="290"/>
      <c r="W88" s="290"/>
      <c r="X88" s="290"/>
      <c r="Y88" s="290"/>
      <c r="Z88" s="290"/>
      <c r="AA88" s="290"/>
      <c r="AB88" s="290"/>
      <c r="AC88" s="290"/>
      <c r="AD88" s="290"/>
      <c r="AE88" s="290"/>
      <c r="AF88" s="290"/>
      <c r="AG88" s="290"/>
      <c r="AH88" s="290"/>
      <c r="AI88" s="290"/>
    </row>
    <row r="89" ht="19.5" customHeight="1">
      <c r="A89" s="290"/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90"/>
      <c r="AB89" s="290"/>
      <c r="AC89" s="290"/>
      <c r="AD89" s="290"/>
      <c r="AE89" s="290"/>
      <c r="AF89" s="290"/>
      <c r="AG89" s="290"/>
      <c r="AH89" s="290"/>
      <c r="AI89" s="290"/>
    </row>
    <row r="90" ht="19.5" customHeight="1">
      <c r="A90" s="290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90"/>
      <c r="AB90" s="290"/>
      <c r="AC90" s="290"/>
      <c r="AD90" s="290"/>
      <c r="AE90" s="290"/>
      <c r="AF90" s="290"/>
      <c r="AG90" s="290"/>
      <c r="AH90" s="290"/>
      <c r="AI90" s="290"/>
    </row>
    <row r="91" ht="19.5" customHeight="1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0"/>
      <c r="U91" s="290"/>
      <c r="V91" s="290"/>
      <c r="W91" s="290"/>
      <c r="X91" s="290"/>
      <c r="Y91" s="290"/>
      <c r="Z91" s="290"/>
      <c r="AA91" s="290"/>
      <c r="AB91" s="290"/>
      <c r="AC91" s="290"/>
      <c r="AD91" s="290"/>
      <c r="AE91" s="290"/>
      <c r="AF91" s="290"/>
      <c r="AG91" s="290"/>
      <c r="AH91" s="290"/>
      <c r="AI91" s="290"/>
    </row>
    <row r="92" ht="19.5" customHeight="1">
      <c r="A92" s="290"/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90"/>
      <c r="AB92" s="290"/>
      <c r="AC92" s="290"/>
      <c r="AD92" s="290"/>
      <c r="AE92" s="290"/>
      <c r="AF92" s="290"/>
      <c r="AG92" s="290"/>
      <c r="AH92" s="290"/>
      <c r="AI92" s="290"/>
    </row>
    <row r="93" ht="19.5" customHeight="1">
      <c r="A93" s="290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90"/>
      <c r="AB93" s="290"/>
      <c r="AC93" s="290"/>
      <c r="AD93" s="290"/>
      <c r="AE93" s="290"/>
      <c r="AF93" s="290"/>
      <c r="AG93" s="290"/>
      <c r="AH93" s="290"/>
      <c r="AI93" s="290"/>
    </row>
    <row r="94" ht="19.5" customHeight="1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0"/>
      <c r="P94" s="290"/>
      <c r="Q94" s="290"/>
      <c r="R94" s="290"/>
      <c r="S94" s="290"/>
      <c r="T94" s="290"/>
      <c r="U94" s="290"/>
      <c r="V94" s="290"/>
      <c r="W94" s="290"/>
      <c r="X94" s="290"/>
      <c r="Y94" s="290"/>
      <c r="Z94" s="290"/>
      <c r="AA94" s="290"/>
      <c r="AB94" s="290"/>
      <c r="AC94" s="290"/>
      <c r="AD94" s="290"/>
      <c r="AE94" s="290"/>
      <c r="AF94" s="290"/>
      <c r="AG94" s="290"/>
      <c r="AH94" s="290"/>
      <c r="AI94" s="290"/>
    </row>
    <row r="95" ht="19.5" customHeight="1">
      <c r="A95" s="290"/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90"/>
      <c r="AB95" s="290"/>
      <c r="AC95" s="290"/>
      <c r="AD95" s="290"/>
      <c r="AE95" s="290"/>
      <c r="AF95" s="290"/>
      <c r="AG95" s="290"/>
      <c r="AH95" s="290"/>
      <c r="AI95" s="290"/>
    </row>
    <row r="96" ht="19.5" customHeight="1">
      <c r="A96" s="290"/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90"/>
      <c r="AB96" s="290"/>
      <c r="AC96" s="290"/>
      <c r="AD96" s="290"/>
      <c r="AE96" s="290"/>
      <c r="AF96" s="290"/>
      <c r="AG96" s="290"/>
      <c r="AH96" s="290"/>
      <c r="AI96" s="290"/>
    </row>
    <row r="97" ht="19.5" customHeight="1">
      <c r="A97" s="290"/>
      <c r="B97" s="290"/>
      <c r="C97" s="290"/>
      <c r="D97" s="290"/>
      <c r="E97" s="290"/>
      <c r="F97" s="290"/>
      <c r="G97" s="290"/>
      <c r="H97" s="290"/>
      <c r="I97" s="290"/>
      <c r="J97" s="290"/>
      <c r="K97" s="290"/>
      <c r="L97" s="290"/>
      <c r="M97" s="290"/>
      <c r="N97" s="290"/>
      <c r="O97" s="290"/>
      <c r="P97" s="290"/>
      <c r="Q97" s="290"/>
      <c r="R97" s="290"/>
      <c r="S97" s="290"/>
      <c r="T97" s="290"/>
      <c r="U97" s="290"/>
      <c r="V97" s="290"/>
      <c r="W97" s="290"/>
      <c r="X97" s="290"/>
      <c r="Y97" s="290"/>
      <c r="Z97" s="290"/>
      <c r="AA97" s="290"/>
      <c r="AB97" s="290"/>
      <c r="AC97" s="290"/>
      <c r="AD97" s="290"/>
      <c r="AE97" s="290"/>
      <c r="AF97" s="290"/>
      <c r="AG97" s="290"/>
      <c r="AH97" s="290"/>
      <c r="AI97" s="290"/>
    </row>
    <row r="98" ht="19.5" customHeight="1">
      <c r="A98" s="290"/>
      <c r="B98" s="290"/>
      <c r="C98" s="290"/>
      <c r="D98" s="290"/>
      <c r="E98" s="290"/>
      <c r="F98" s="290"/>
      <c r="G98" s="290"/>
      <c r="H98" s="290"/>
      <c r="I98" s="290"/>
      <c r="J98" s="290"/>
      <c r="K98" s="290"/>
      <c r="L98" s="290"/>
      <c r="M98" s="290"/>
      <c r="N98" s="290"/>
      <c r="O98" s="290"/>
      <c r="P98" s="290"/>
      <c r="Q98" s="290"/>
      <c r="R98" s="290"/>
      <c r="S98" s="290"/>
      <c r="T98" s="290"/>
      <c r="U98" s="290"/>
      <c r="V98" s="290"/>
      <c r="W98" s="290"/>
      <c r="X98" s="290"/>
      <c r="Y98" s="290"/>
      <c r="Z98" s="290"/>
      <c r="AA98" s="290"/>
      <c r="AB98" s="290"/>
      <c r="AC98" s="290"/>
      <c r="AD98" s="290"/>
      <c r="AE98" s="290"/>
      <c r="AF98" s="290"/>
      <c r="AG98" s="290"/>
      <c r="AH98" s="290"/>
      <c r="AI98" s="290"/>
    </row>
    <row r="99" ht="19.5" customHeight="1">
      <c r="A99" s="290"/>
      <c r="B99" s="290"/>
      <c r="C99" s="290"/>
      <c r="D99" s="290"/>
      <c r="E99" s="290"/>
      <c r="F99" s="290"/>
      <c r="G99" s="290"/>
      <c r="H99" s="290"/>
      <c r="I99" s="290"/>
      <c r="J99" s="290"/>
      <c r="K99" s="290"/>
      <c r="L99" s="290"/>
      <c r="M99" s="290"/>
      <c r="N99" s="290"/>
      <c r="O99" s="290"/>
      <c r="P99" s="290"/>
      <c r="Q99" s="290"/>
      <c r="R99" s="290"/>
      <c r="S99" s="290"/>
      <c r="T99" s="290"/>
      <c r="U99" s="290"/>
      <c r="V99" s="290"/>
      <c r="W99" s="290"/>
      <c r="X99" s="290"/>
      <c r="Y99" s="290"/>
      <c r="Z99" s="290"/>
      <c r="AA99" s="290"/>
      <c r="AB99" s="290"/>
      <c r="AC99" s="290"/>
      <c r="AD99" s="290"/>
      <c r="AE99" s="290"/>
      <c r="AF99" s="290"/>
      <c r="AG99" s="290"/>
      <c r="AH99" s="290"/>
      <c r="AI99" s="290"/>
    </row>
    <row r="100" ht="19.5" customHeight="1">
      <c r="A100" s="290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0"/>
      <c r="P100" s="290"/>
      <c r="Q100" s="290"/>
      <c r="R100" s="290"/>
      <c r="S100" s="290"/>
      <c r="T100" s="290"/>
      <c r="U100" s="290"/>
      <c r="V100" s="290"/>
      <c r="W100" s="290"/>
      <c r="X100" s="290"/>
      <c r="Y100" s="290"/>
      <c r="Z100" s="290"/>
      <c r="AA100" s="290"/>
      <c r="AB100" s="290"/>
      <c r="AC100" s="290"/>
      <c r="AD100" s="290"/>
      <c r="AE100" s="290"/>
      <c r="AF100" s="290"/>
      <c r="AG100" s="290"/>
      <c r="AH100" s="290"/>
      <c r="AI100" s="290"/>
    </row>
    <row r="101" ht="19.5" customHeight="1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90"/>
      <c r="AB101" s="290"/>
      <c r="AC101" s="290"/>
      <c r="AD101" s="290"/>
      <c r="AE101" s="290"/>
      <c r="AF101" s="290"/>
      <c r="AG101" s="290"/>
      <c r="AH101" s="290"/>
      <c r="AI101" s="290"/>
    </row>
    <row r="102" ht="19.5" customHeight="1">
      <c r="A102" s="290"/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90"/>
      <c r="AB102" s="290"/>
      <c r="AC102" s="290"/>
      <c r="AD102" s="290"/>
      <c r="AE102" s="290"/>
      <c r="AF102" s="290"/>
      <c r="AG102" s="290"/>
      <c r="AH102" s="290"/>
      <c r="AI102" s="290"/>
    </row>
    <row r="103" ht="19.5" customHeight="1">
      <c r="A103" s="290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90"/>
      <c r="AB103" s="290"/>
      <c r="AC103" s="290"/>
      <c r="AD103" s="290"/>
      <c r="AE103" s="290"/>
      <c r="AF103" s="290"/>
      <c r="AG103" s="290"/>
      <c r="AH103" s="290"/>
      <c r="AI103" s="290"/>
    </row>
    <row r="104" ht="19.5" customHeight="1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0"/>
      <c r="P104" s="290"/>
      <c r="Q104" s="290"/>
      <c r="R104" s="290"/>
      <c r="S104" s="290"/>
      <c r="T104" s="290"/>
      <c r="U104" s="290"/>
      <c r="V104" s="290"/>
      <c r="W104" s="290"/>
      <c r="X104" s="290"/>
      <c r="Y104" s="290"/>
      <c r="Z104" s="290"/>
      <c r="AA104" s="290"/>
      <c r="AB104" s="290"/>
      <c r="AC104" s="290"/>
      <c r="AD104" s="290"/>
      <c r="AE104" s="290"/>
      <c r="AF104" s="290"/>
      <c r="AG104" s="290"/>
      <c r="AH104" s="290"/>
      <c r="AI104" s="290"/>
    </row>
    <row r="105" ht="19.5" customHeight="1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90"/>
      <c r="AB105" s="290"/>
      <c r="AC105" s="290"/>
      <c r="AD105" s="290"/>
      <c r="AE105" s="290"/>
      <c r="AF105" s="290"/>
      <c r="AG105" s="290"/>
      <c r="AH105" s="290"/>
      <c r="AI105" s="290"/>
    </row>
    <row r="106" ht="19.5" customHeight="1">
      <c r="A106" s="290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90"/>
      <c r="AB106" s="290"/>
      <c r="AC106" s="290"/>
      <c r="AD106" s="290"/>
      <c r="AE106" s="290"/>
      <c r="AF106" s="290"/>
      <c r="AG106" s="290"/>
      <c r="AH106" s="290"/>
      <c r="AI106" s="290"/>
    </row>
    <row r="107" ht="19.5" customHeight="1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90"/>
      <c r="AB107" s="290"/>
      <c r="AC107" s="290"/>
      <c r="AD107" s="290"/>
      <c r="AE107" s="290"/>
      <c r="AF107" s="290"/>
      <c r="AG107" s="290"/>
      <c r="AH107" s="290"/>
      <c r="AI107" s="290"/>
    </row>
    <row r="108" ht="19.5" customHeight="1">
      <c r="A108" s="290"/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90"/>
      <c r="AB108" s="290"/>
      <c r="AC108" s="290"/>
      <c r="AD108" s="290"/>
      <c r="AE108" s="290"/>
      <c r="AF108" s="290"/>
      <c r="AG108" s="290"/>
      <c r="AH108" s="290"/>
      <c r="AI108" s="290"/>
    </row>
    <row r="109" ht="19.5" customHeight="1">
      <c r="A109" s="290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90"/>
      <c r="AB109" s="290"/>
      <c r="AC109" s="290"/>
      <c r="AD109" s="290"/>
      <c r="AE109" s="290"/>
      <c r="AF109" s="290"/>
      <c r="AG109" s="290"/>
      <c r="AH109" s="290"/>
      <c r="AI109" s="290"/>
    </row>
    <row r="110" ht="19.5" customHeight="1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0"/>
      <c r="P110" s="290"/>
      <c r="Q110" s="290"/>
      <c r="R110" s="290"/>
      <c r="S110" s="290"/>
      <c r="T110" s="290"/>
      <c r="U110" s="290"/>
      <c r="V110" s="290"/>
      <c r="W110" s="290"/>
      <c r="X110" s="290"/>
      <c r="Y110" s="290"/>
      <c r="Z110" s="290"/>
      <c r="AA110" s="290"/>
      <c r="AB110" s="290"/>
      <c r="AC110" s="290"/>
      <c r="AD110" s="290"/>
      <c r="AE110" s="290"/>
      <c r="AF110" s="290"/>
      <c r="AG110" s="290"/>
      <c r="AH110" s="290"/>
      <c r="AI110" s="290"/>
    </row>
    <row r="111" ht="19.5" customHeight="1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90"/>
      <c r="AB111" s="290"/>
      <c r="AC111" s="290"/>
      <c r="AD111" s="290"/>
      <c r="AE111" s="290"/>
      <c r="AF111" s="290"/>
      <c r="AG111" s="290"/>
      <c r="AH111" s="290"/>
      <c r="AI111" s="290"/>
    </row>
    <row r="112" ht="19.5" customHeight="1">
      <c r="A112" s="290"/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90"/>
      <c r="AB112" s="290"/>
      <c r="AC112" s="290"/>
      <c r="AD112" s="290"/>
      <c r="AE112" s="290"/>
      <c r="AF112" s="290"/>
      <c r="AG112" s="290"/>
      <c r="AH112" s="290"/>
      <c r="AI112" s="290"/>
    </row>
    <row r="113" ht="19.5" customHeight="1">
      <c r="A113" s="290"/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  <c r="AA113" s="290"/>
      <c r="AB113" s="290"/>
      <c r="AC113" s="290"/>
      <c r="AD113" s="290"/>
      <c r="AE113" s="290"/>
      <c r="AF113" s="290"/>
      <c r="AG113" s="290"/>
      <c r="AH113" s="290"/>
      <c r="AI113" s="290"/>
    </row>
    <row r="114" ht="19.5" customHeight="1">
      <c r="A114" s="290"/>
      <c r="B114" s="290"/>
      <c r="C114" s="290"/>
      <c r="D114" s="290"/>
      <c r="E114" s="290"/>
      <c r="F114" s="290"/>
      <c r="G114" s="290"/>
      <c r="H114" s="290"/>
      <c r="I114" s="290"/>
      <c r="J114" s="290"/>
      <c r="K114" s="290"/>
      <c r="L114" s="290"/>
      <c r="M114" s="290"/>
      <c r="N114" s="290"/>
      <c r="O114" s="290"/>
      <c r="P114" s="290"/>
      <c r="Q114" s="290"/>
      <c r="R114" s="290"/>
      <c r="S114" s="290"/>
      <c r="T114" s="290"/>
      <c r="U114" s="290"/>
      <c r="V114" s="290"/>
      <c r="W114" s="290"/>
      <c r="X114" s="290"/>
      <c r="Y114" s="290"/>
      <c r="Z114" s="290"/>
      <c r="AA114" s="290"/>
      <c r="AB114" s="290"/>
      <c r="AC114" s="290"/>
      <c r="AD114" s="290"/>
      <c r="AE114" s="290"/>
      <c r="AF114" s="290"/>
      <c r="AG114" s="290"/>
      <c r="AH114" s="290"/>
      <c r="AI114" s="290"/>
    </row>
    <row r="115" ht="19.5" customHeight="1">
      <c r="A115" s="290"/>
      <c r="B115" s="290"/>
      <c r="C115" s="290"/>
      <c r="D115" s="290"/>
      <c r="E115" s="290"/>
      <c r="F115" s="290"/>
      <c r="G115" s="290"/>
      <c r="H115" s="290"/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  <c r="AA115" s="290"/>
      <c r="AB115" s="290"/>
      <c r="AC115" s="290"/>
      <c r="AD115" s="290"/>
      <c r="AE115" s="290"/>
      <c r="AF115" s="290"/>
      <c r="AG115" s="290"/>
      <c r="AH115" s="290"/>
      <c r="AI115" s="290"/>
    </row>
    <row r="116" ht="19.5" customHeight="1">
      <c r="A116" s="290"/>
      <c r="B116" s="290"/>
      <c r="C116" s="290"/>
      <c r="D116" s="290"/>
      <c r="E116" s="290"/>
      <c r="F116" s="290"/>
      <c r="G116" s="290"/>
      <c r="H116" s="290"/>
      <c r="I116" s="290"/>
      <c r="J116" s="290"/>
      <c r="K116" s="290"/>
      <c r="L116" s="290"/>
      <c r="M116" s="290"/>
      <c r="N116" s="290"/>
      <c r="O116" s="290"/>
      <c r="P116" s="290"/>
      <c r="Q116" s="290"/>
      <c r="R116" s="290"/>
      <c r="S116" s="290"/>
      <c r="T116" s="290"/>
      <c r="U116" s="290"/>
      <c r="V116" s="290"/>
      <c r="W116" s="290"/>
      <c r="X116" s="290"/>
      <c r="Y116" s="290"/>
      <c r="Z116" s="290"/>
      <c r="AA116" s="290"/>
      <c r="AB116" s="290"/>
      <c r="AC116" s="290"/>
      <c r="AD116" s="290"/>
      <c r="AE116" s="290"/>
      <c r="AF116" s="290"/>
      <c r="AG116" s="290"/>
      <c r="AH116" s="290"/>
      <c r="AI116" s="290"/>
    </row>
    <row r="117" ht="19.5" customHeight="1">
      <c r="A117" s="290"/>
      <c r="B117" s="290"/>
      <c r="C117" s="290"/>
      <c r="D117" s="290"/>
      <c r="E117" s="290"/>
      <c r="F117" s="290"/>
      <c r="G117" s="290"/>
      <c r="H117" s="290"/>
      <c r="I117" s="290"/>
      <c r="J117" s="290"/>
      <c r="K117" s="290"/>
      <c r="L117" s="290"/>
      <c r="M117" s="290"/>
      <c r="N117" s="290"/>
      <c r="O117" s="290"/>
      <c r="P117" s="290"/>
      <c r="Q117" s="290"/>
      <c r="R117" s="290"/>
      <c r="S117" s="290"/>
      <c r="T117" s="290"/>
      <c r="U117" s="290"/>
      <c r="V117" s="290"/>
      <c r="W117" s="290"/>
      <c r="X117" s="290"/>
      <c r="Y117" s="290"/>
      <c r="Z117" s="290"/>
      <c r="AA117" s="290"/>
      <c r="AB117" s="290"/>
      <c r="AC117" s="290"/>
      <c r="AD117" s="290"/>
      <c r="AE117" s="290"/>
      <c r="AF117" s="290"/>
      <c r="AG117" s="290"/>
      <c r="AH117" s="290"/>
      <c r="AI117" s="290"/>
    </row>
    <row r="118" ht="19.5" customHeight="1">
      <c r="A118" s="290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290"/>
      <c r="W118" s="290"/>
      <c r="X118" s="290"/>
      <c r="Y118" s="290"/>
      <c r="Z118" s="290"/>
      <c r="AA118" s="290"/>
      <c r="AB118" s="290"/>
      <c r="AC118" s="290"/>
      <c r="AD118" s="290"/>
      <c r="AE118" s="290"/>
      <c r="AF118" s="290"/>
      <c r="AG118" s="290"/>
      <c r="AH118" s="290"/>
      <c r="AI118" s="290"/>
    </row>
    <row r="119" ht="19.5" customHeight="1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</row>
    <row r="120" ht="19.5" customHeight="1">
      <c r="A120" s="290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90"/>
      <c r="AB120" s="290"/>
      <c r="AC120" s="290"/>
      <c r="AD120" s="290"/>
      <c r="AE120" s="290"/>
      <c r="AF120" s="290"/>
      <c r="AG120" s="290"/>
      <c r="AH120" s="290"/>
      <c r="AI120" s="290"/>
    </row>
    <row r="121" ht="19.5" customHeight="1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0"/>
      <c r="P121" s="290"/>
      <c r="Q121" s="290"/>
      <c r="R121" s="290"/>
      <c r="S121" s="290"/>
      <c r="T121" s="290"/>
      <c r="U121" s="290"/>
      <c r="V121" s="290"/>
      <c r="W121" s="290"/>
      <c r="X121" s="290"/>
      <c r="Y121" s="290"/>
      <c r="Z121" s="290"/>
      <c r="AA121" s="290"/>
      <c r="AB121" s="290"/>
      <c r="AC121" s="290"/>
      <c r="AD121" s="290"/>
      <c r="AE121" s="290"/>
      <c r="AF121" s="290"/>
      <c r="AG121" s="290"/>
      <c r="AH121" s="290"/>
      <c r="AI121" s="290"/>
    </row>
    <row r="122" ht="19.5" customHeight="1">
      <c r="A122" s="290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90"/>
      <c r="AB122" s="290"/>
      <c r="AC122" s="290"/>
      <c r="AD122" s="290"/>
      <c r="AE122" s="290"/>
      <c r="AF122" s="290"/>
      <c r="AG122" s="290"/>
      <c r="AH122" s="290"/>
      <c r="AI122" s="290"/>
    </row>
    <row r="123" ht="19.5" customHeight="1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290"/>
      <c r="W123" s="290"/>
      <c r="X123" s="290"/>
      <c r="Y123" s="290"/>
      <c r="Z123" s="290"/>
      <c r="AA123" s="290"/>
      <c r="AB123" s="290"/>
      <c r="AC123" s="290"/>
      <c r="AD123" s="290"/>
      <c r="AE123" s="290"/>
      <c r="AF123" s="290"/>
      <c r="AG123" s="290"/>
      <c r="AH123" s="290"/>
      <c r="AI123" s="290"/>
    </row>
    <row r="124" ht="19.5" customHeight="1">
      <c r="A124" s="290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90"/>
      <c r="AB124" s="290"/>
      <c r="AC124" s="290"/>
      <c r="AD124" s="290"/>
      <c r="AE124" s="290"/>
      <c r="AF124" s="290"/>
      <c r="AG124" s="290"/>
      <c r="AH124" s="290"/>
      <c r="AI124" s="290"/>
    </row>
    <row r="125" ht="19.5" customHeight="1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0"/>
      <c r="P125" s="290"/>
      <c r="Q125" s="290"/>
      <c r="R125" s="290"/>
      <c r="S125" s="290"/>
      <c r="T125" s="290"/>
      <c r="U125" s="290"/>
      <c r="V125" s="290"/>
      <c r="W125" s="290"/>
      <c r="X125" s="290"/>
      <c r="Y125" s="290"/>
      <c r="Z125" s="290"/>
      <c r="AA125" s="290"/>
      <c r="AB125" s="290"/>
      <c r="AC125" s="290"/>
      <c r="AD125" s="290"/>
      <c r="AE125" s="290"/>
      <c r="AF125" s="290"/>
      <c r="AG125" s="290"/>
      <c r="AH125" s="290"/>
      <c r="AI125" s="290"/>
    </row>
    <row r="126" ht="19.5" customHeight="1">
      <c r="A126" s="290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90"/>
      <c r="AB126" s="290"/>
      <c r="AC126" s="290"/>
      <c r="AD126" s="290"/>
      <c r="AE126" s="290"/>
      <c r="AF126" s="290"/>
      <c r="AG126" s="290"/>
      <c r="AH126" s="290"/>
      <c r="AI126" s="290"/>
    </row>
    <row r="127" ht="19.5" customHeight="1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/>
      <c r="V127" s="290"/>
      <c r="W127" s="290"/>
      <c r="X127" s="290"/>
      <c r="Y127" s="290"/>
      <c r="Z127" s="290"/>
      <c r="AA127" s="290"/>
      <c r="AB127" s="290"/>
      <c r="AC127" s="290"/>
      <c r="AD127" s="290"/>
      <c r="AE127" s="290"/>
      <c r="AF127" s="290"/>
      <c r="AG127" s="290"/>
      <c r="AH127" s="290"/>
      <c r="AI127" s="290"/>
    </row>
    <row r="128" ht="19.5" customHeight="1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</row>
    <row r="129" ht="19.5" customHeight="1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90"/>
      <c r="AB129" s="290"/>
      <c r="AC129" s="290"/>
      <c r="AD129" s="290"/>
      <c r="AE129" s="290"/>
      <c r="AF129" s="290"/>
      <c r="AG129" s="290"/>
      <c r="AH129" s="290"/>
      <c r="AI129" s="290"/>
    </row>
    <row r="130" ht="19.5" customHeight="1">
      <c r="A130" s="290"/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90"/>
      <c r="AB130" s="290"/>
      <c r="AC130" s="290"/>
      <c r="AD130" s="290"/>
      <c r="AE130" s="290"/>
      <c r="AF130" s="290"/>
      <c r="AG130" s="290"/>
      <c r="AH130" s="290"/>
      <c r="AI130" s="290"/>
    </row>
    <row r="131" ht="19.5" customHeight="1">
      <c r="A131" s="290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90"/>
      <c r="AB131" s="290"/>
      <c r="AC131" s="290"/>
      <c r="AD131" s="290"/>
      <c r="AE131" s="290"/>
      <c r="AF131" s="290"/>
      <c r="AG131" s="290"/>
      <c r="AH131" s="290"/>
      <c r="AI131" s="290"/>
    </row>
    <row r="132" ht="19.5" customHeight="1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0"/>
      <c r="P132" s="290"/>
      <c r="Q132" s="290"/>
      <c r="R132" s="290"/>
      <c r="S132" s="290"/>
      <c r="T132" s="290"/>
      <c r="U132" s="290"/>
      <c r="V132" s="290"/>
      <c r="W132" s="290"/>
      <c r="X132" s="290"/>
      <c r="Y132" s="290"/>
      <c r="Z132" s="290"/>
      <c r="AA132" s="290"/>
      <c r="AB132" s="290"/>
      <c r="AC132" s="290"/>
      <c r="AD132" s="290"/>
      <c r="AE132" s="290"/>
      <c r="AF132" s="290"/>
      <c r="AG132" s="290"/>
      <c r="AH132" s="290"/>
      <c r="AI132" s="290"/>
    </row>
    <row r="133" ht="19.5" customHeight="1">
      <c r="A133" s="290"/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90"/>
      <c r="AB133" s="290"/>
      <c r="AC133" s="290"/>
      <c r="AD133" s="290"/>
      <c r="AE133" s="290"/>
      <c r="AF133" s="290"/>
      <c r="AG133" s="290"/>
      <c r="AH133" s="290"/>
      <c r="AI133" s="290"/>
    </row>
    <row r="134" ht="19.5" customHeight="1">
      <c r="A134" s="290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0"/>
      <c r="U134" s="290"/>
      <c r="V134" s="290"/>
      <c r="W134" s="290"/>
      <c r="X134" s="290"/>
      <c r="Y134" s="290"/>
      <c r="Z134" s="290"/>
      <c r="AA134" s="290"/>
      <c r="AB134" s="290"/>
      <c r="AC134" s="290"/>
      <c r="AD134" s="290"/>
      <c r="AE134" s="290"/>
      <c r="AF134" s="290"/>
      <c r="AG134" s="290"/>
      <c r="AH134" s="290"/>
      <c r="AI134" s="290"/>
    </row>
    <row r="135" ht="19.5" customHeight="1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0"/>
      <c r="P135" s="290"/>
      <c r="Q135" s="290"/>
      <c r="R135" s="290"/>
      <c r="S135" s="290"/>
      <c r="T135" s="290"/>
      <c r="U135" s="290"/>
      <c r="V135" s="290"/>
      <c r="W135" s="290"/>
      <c r="X135" s="290"/>
      <c r="Y135" s="290"/>
      <c r="Z135" s="290"/>
      <c r="AA135" s="290"/>
      <c r="AB135" s="290"/>
      <c r="AC135" s="290"/>
      <c r="AD135" s="290"/>
      <c r="AE135" s="290"/>
      <c r="AF135" s="290"/>
      <c r="AG135" s="290"/>
      <c r="AH135" s="290"/>
      <c r="AI135" s="290"/>
    </row>
    <row r="136" ht="19.5" customHeight="1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90"/>
      <c r="AB136" s="290"/>
      <c r="AC136" s="290"/>
      <c r="AD136" s="290"/>
      <c r="AE136" s="290"/>
      <c r="AF136" s="290"/>
      <c r="AG136" s="290"/>
      <c r="AH136" s="290"/>
      <c r="AI136" s="290"/>
    </row>
    <row r="137" ht="19.5" customHeight="1">
      <c r="A137" s="290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90"/>
      <c r="AB137" s="290"/>
      <c r="AC137" s="290"/>
      <c r="AD137" s="290"/>
      <c r="AE137" s="290"/>
      <c r="AF137" s="290"/>
      <c r="AG137" s="290"/>
      <c r="AH137" s="290"/>
      <c r="AI137" s="290"/>
    </row>
    <row r="138" ht="19.5" customHeight="1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290"/>
      <c r="W138" s="290"/>
      <c r="X138" s="290"/>
      <c r="Y138" s="290"/>
      <c r="Z138" s="290"/>
      <c r="AA138" s="290"/>
      <c r="AB138" s="290"/>
      <c r="AC138" s="290"/>
      <c r="AD138" s="290"/>
      <c r="AE138" s="290"/>
      <c r="AF138" s="290"/>
      <c r="AG138" s="290"/>
      <c r="AH138" s="290"/>
      <c r="AI138" s="290"/>
    </row>
    <row r="139" ht="19.5" customHeight="1">
      <c r="A139" s="290"/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90"/>
      <c r="AB139" s="290"/>
      <c r="AC139" s="290"/>
      <c r="AD139" s="290"/>
      <c r="AE139" s="290"/>
      <c r="AF139" s="290"/>
      <c r="AG139" s="290"/>
      <c r="AH139" s="290"/>
      <c r="AI139" s="290"/>
    </row>
    <row r="140" ht="19.5" customHeight="1">
      <c r="A140" s="290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0"/>
      <c r="U140" s="290"/>
      <c r="V140" s="290"/>
      <c r="W140" s="290"/>
      <c r="X140" s="290"/>
      <c r="Y140" s="290"/>
      <c r="Z140" s="290"/>
      <c r="AA140" s="290"/>
      <c r="AB140" s="290"/>
      <c r="AC140" s="290"/>
      <c r="AD140" s="290"/>
      <c r="AE140" s="290"/>
      <c r="AF140" s="290"/>
      <c r="AG140" s="290"/>
      <c r="AH140" s="290"/>
      <c r="AI140" s="290"/>
    </row>
    <row r="141" ht="19.5" customHeight="1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0"/>
      <c r="P141" s="290"/>
      <c r="Q141" s="290"/>
      <c r="R141" s="290"/>
      <c r="S141" s="290"/>
      <c r="T141" s="290"/>
      <c r="U141" s="290"/>
      <c r="V141" s="290"/>
      <c r="W141" s="290"/>
      <c r="X141" s="290"/>
      <c r="Y141" s="290"/>
      <c r="Z141" s="290"/>
      <c r="AA141" s="290"/>
      <c r="AB141" s="290"/>
      <c r="AC141" s="290"/>
      <c r="AD141" s="290"/>
      <c r="AE141" s="290"/>
      <c r="AF141" s="290"/>
      <c r="AG141" s="290"/>
      <c r="AH141" s="290"/>
      <c r="AI141" s="290"/>
    </row>
    <row r="142" ht="19.5" customHeight="1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90"/>
      <c r="AB142" s="290"/>
      <c r="AC142" s="290"/>
      <c r="AD142" s="290"/>
      <c r="AE142" s="290"/>
      <c r="AF142" s="290"/>
      <c r="AG142" s="290"/>
      <c r="AH142" s="290"/>
      <c r="AI142" s="290"/>
    </row>
    <row r="143" ht="19.5" customHeight="1">
      <c r="A143" s="290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90"/>
      <c r="AB143" s="290"/>
      <c r="AC143" s="290"/>
      <c r="AD143" s="290"/>
      <c r="AE143" s="290"/>
      <c r="AF143" s="290"/>
      <c r="AG143" s="290"/>
      <c r="AH143" s="290"/>
      <c r="AI143" s="290"/>
    </row>
    <row r="144" ht="19.5" customHeight="1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90"/>
      <c r="AB144" s="290"/>
      <c r="AC144" s="290"/>
      <c r="AD144" s="290"/>
      <c r="AE144" s="290"/>
      <c r="AF144" s="290"/>
      <c r="AG144" s="290"/>
      <c r="AH144" s="290"/>
      <c r="AI144" s="290"/>
    </row>
    <row r="145" ht="19.5" customHeight="1">
      <c r="A145" s="290"/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90"/>
      <c r="AB145" s="290"/>
      <c r="AC145" s="290"/>
      <c r="AD145" s="290"/>
      <c r="AE145" s="290"/>
      <c r="AF145" s="290"/>
      <c r="AG145" s="290"/>
      <c r="AH145" s="290"/>
      <c r="AI145" s="290"/>
    </row>
    <row r="146" ht="19.5" customHeight="1">
      <c r="A146" s="290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  <c r="AA146" s="290"/>
      <c r="AB146" s="290"/>
      <c r="AC146" s="290"/>
      <c r="AD146" s="290"/>
      <c r="AE146" s="290"/>
      <c r="AF146" s="290"/>
      <c r="AG146" s="290"/>
      <c r="AH146" s="290"/>
      <c r="AI146" s="290"/>
    </row>
    <row r="147" ht="19.5" customHeight="1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0"/>
      <c r="P147" s="290"/>
      <c r="Q147" s="290"/>
      <c r="R147" s="290"/>
      <c r="S147" s="290"/>
      <c r="T147" s="290"/>
      <c r="U147" s="290"/>
      <c r="V147" s="290"/>
      <c r="W147" s="290"/>
      <c r="X147" s="290"/>
      <c r="Y147" s="290"/>
      <c r="Z147" s="290"/>
      <c r="AA147" s="290"/>
      <c r="AB147" s="290"/>
      <c r="AC147" s="290"/>
      <c r="AD147" s="290"/>
      <c r="AE147" s="290"/>
      <c r="AF147" s="290"/>
      <c r="AG147" s="290"/>
      <c r="AH147" s="290"/>
      <c r="AI147" s="290"/>
    </row>
    <row r="148" ht="19.5" customHeight="1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90"/>
      <c r="AB148" s="290"/>
      <c r="AC148" s="290"/>
      <c r="AD148" s="290"/>
      <c r="AE148" s="290"/>
      <c r="AF148" s="290"/>
      <c r="AG148" s="290"/>
      <c r="AH148" s="290"/>
      <c r="AI148" s="290"/>
    </row>
    <row r="149" ht="19.5" customHeight="1">
      <c r="A149" s="290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90"/>
      <c r="AB149" s="290"/>
      <c r="AC149" s="290"/>
      <c r="AD149" s="290"/>
      <c r="AE149" s="290"/>
      <c r="AF149" s="290"/>
      <c r="AG149" s="290"/>
      <c r="AH149" s="290"/>
      <c r="AI149" s="290"/>
    </row>
    <row r="150" ht="19.5" customHeight="1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90"/>
      <c r="AB150" s="290"/>
      <c r="AC150" s="290"/>
      <c r="AD150" s="290"/>
      <c r="AE150" s="290"/>
      <c r="AF150" s="290"/>
      <c r="AG150" s="290"/>
      <c r="AH150" s="290"/>
      <c r="AI150" s="290"/>
    </row>
    <row r="151" ht="19.5" customHeight="1">
      <c r="A151" s="290"/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90"/>
      <c r="AB151" s="290"/>
      <c r="AC151" s="290"/>
      <c r="AD151" s="290"/>
      <c r="AE151" s="290"/>
      <c r="AF151" s="290"/>
      <c r="AG151" s="290"/>
      <c r="AH151" s="290"/>
      <c r="AI151" s="290"/>
    </row>
    <row r="152" ht="19.5" customHeight="1">
      <c r="A152" s="290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0"/>
      <c r="U152" s="290"/>
      <c r="V152" s="290"/>
      <c r="W152" s="290"/>
      <c r="X152" s="290"/>
      <c r="Y152" s="290"/>
      <c r="Z152" s="290"/>
      <c r="AA152" s="290"/>
      <c r="AB152" s="290"/>
      <c r="AC152" s="290"/>
      <c r="AD152" s="290"/>
      <c r="AE152" s="290"/>
      <c r="AF152" s="290"/>
      <c r="AG152" s="290"/>
      <c r="AH152" s="290"/>
      <c r="AI152" s="290"/>
    </row>
    <row r="153" ht="19.5" customHeight="1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0"/>
      <c r="P153" s="290"/>
      <c r="Q153" s="290"/>
      <c r="R153" s="290"/>
      <c r="S153" s="290"/>
      <c r="T153" s="290"/>
      <c r="U153" s="290"/>
      <c r="V153" s="290"/>
      <c r="W153" s="290"/>
      <c r="X153" s="290"/>
      <c r="Y153" s="290"/>
      <c r="Z153" s="290"/>
      <c r="AA153" s="290"/>
      <c r="AB153" s="290"/>
      <c r="AC153" s="290"/>
      <c r="AD153" s="290"/>
      <c r="AE153" s="290"/>
      <c r="AF153" s="290"/>
      <c r="AG153" s="290"/>
      <c r="AH153" s="290"/>
      <c r="AI153" s="290"/>
    </row>
    <row r="154" ht="19.5" customHeight="1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90"/>
      <c r="AB154" s="290"/>
      <c r="AC154" s="290"/>
      <c r="AD154" s="290"/>
      <c r="AE154" s="290"/>
      <c r="AF154" s="290"/>
      <c r="AG154" s="290"/>
      <c r="AH154" s="290"/>
      <c r="AI154" s="290"/>
    </row>
    <row r="155" ht="19.5" customHeight="1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90"/>
      <c r="AB155" s="290"/>
      <c r="AC155" s="290"/>
      <c r="AD155" s="290"/>
      <c r="AE155" s="290"/>
      <c r="AF155" s="290"/>
      <c r="AG155" s="290"/>
      <c r="AH155" s="290"/>
      <c r="AI155" s="290"/>
    </row>
    <row r="156" ht="19.5" customHeight="1">
      <c r="A156" s="290"/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90"/>
      <c r="AB156" s="290"/>
      <c r="AC156" s="290"/>
      <c r="AD156" s="290"/>
      <c r="AE156" s="290"/>
      <c r="AF156" s="290"/>
      <c r="AG156" s="290"/>
      <c r="AH156" s="290"/>
      <c r="AI156" s="290"/>
    </row>
    <row r="157" ht="19.5" customHeight="1">
      <c r="A157" s="290"/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90"/>
      <c r="AB157" s="290"/>
      <c r="AC157" s="290"/>
      <c r="AD157" s="290"/>
      <c r="AE157" s="290"/>
      <c r="AF157" s="290"/>
      <c r="AG157" s="290"/>
      <c r="AH157" s="290"/>
      <c r="AI157" s="290"/>
    </row>
    <row r="158" ht="19.5" customHeight="1">
      <c r="A158" s="290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0"/>
      <c r="P158" s="290"/>
      <c r="Q158" s="290"/>
      <c r="R158" s="290"/>
      <c r="S158" s="290"/>
      <c r="T158" s="290"/>
      <c r="U158" s="290"/>
      <c r="V158" s="290"/>
      <c r="W158" s="290"/>
      <c r="X158" s="290"/>
      <c r="Y158" s="290"/>
      <c r="Z158" s="290"/>
      <c r="AA158" s="290"/>
      <c r="AB158" s="290"/>
      <c r="AC158" s="290"/>
      <c r="AD158" s="290"/>
      <c r="AE158" s="290"/>
      <c r="AF158" s="290"/>
      <c r="AG158" s="290"/>
      <c r="AH158" s="290"/>
      <c r="AI158" s="290"/>
    </row>
    <row r="159" ht="19.5" customHeight="1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0"/>
      <c r="P159" s="290"/>
      <c r="Q159" s="290"/>
      <c r="R159" s="290"/>
      <c r="S159" s="290"/>
      <c r="T159" s="290"/>
      <c r="U159" s="290"/>
      <c r="V159" s="290"/>
      <c r="W159" s="290"/>
      <c r="X159" s="290"/>
      <c r="Y159" s="290"/>
      <c r="Z159" s="290"/>
      <c r="AA159" s="290"/>
      <c r="AB159" s="290"/>
      <c r="AC159" s="290"/>
      <c r="AD159" s="290"/>
      <c r="AE159" s="290"/>
      <c r="AF159" s="290"/>
      <c r="AG159" s="290"/>
      <c r="AH159" s="290"/>
      <c r="AI159" s="290"/>
    </row>
    <row r="160" ht="19.5" customHeight="1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90"/>
      <c r="AB160" s="290"/>
      <c r="AC160" s="290"/>
      <c r="AD160" s="290"/>
      <c r="AE160" s="290"/>
      <c r="AF160" s="290"/>
      <c r="AG160" s="290"/>
      <c r="AH160" s="290"/>
      <c r="AI160" s="290"/>
    </row>
    <row r="161" ht="19.5" customHeight="1">
      <c r="A161" s="290"/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90"/>
      <c r="AB161" s="290"/>
      <c r="AC161" s="290"/>
      <c r="AD161" s="290"/>
      <c r="AE161" s="290"/>
      <c r="AF161" s="290"/>
      <c r="AG161" s="290"/>
      <c r="AH161" s="290"/>
      <c r="AI161" s="290"/>
    </row>
    <row r="162" ht="19.5" customHeight="1">
      <c r="A162" s="290"/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90"/>
      <c r="AB162" s="290"/>
      <c r="AC162" s="290"/>
      <c r="AD162" s="290"/>
      <c r="AE162" s="290"/>
      <c r="AF162" s="290"/>
      <c r="AG162" s="290"/>
      <c r="AH162" s="290"/>
      <c r="AI162" s="290"/>
    </row>
    <row r="163" ht="19.5" customHeight="1">
      <c r="A163" s="290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0"/>
      <c r="P163" s="290"/>
      <c r="Q163" s="290"/>
      <c r="R163" s="290"/>
      <c r="S163" s="290"/>
      <c r="T163" s="290"/>
      <c r="U163" s="290"/>
      <c r="V163" s="290"/>
      <c r="W163" s="290"/>
      <c r="X163" s="290"/>
      <c r="Y163" s="290"/>
      <c r="Z163" s="290"/>
      <c r="AA163" s="290"/>
      <c r="AB163" s="290"/>
      <c r="AC163" s="290"/>
      <c r="AD163" s="290"/>
      <c r="AE163" s="290"/>
      <c r="AF163" s="290"/>
      <c r="AG163" s="290"/>
      <c r="AH163" s="290"/>
      <c r="AI163" s="290"/>
    </row>
    <row r="164" ht="19.5" customHeight="1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0"/>
      <c r="P164" s="290"/>
      <c r="Q164" s="290"/>
      <c r="R164" s="290"/>
      <c r="S164" s="290"/>
      <c r="T164" s="290"/>
      <c r="U164" s="290"/>
      <c r="V164" s="290"/>
      <c r="W164" s="290"/>
      <c r="X164" s="290"/>
      <c r="Y164" s="290"/>
      <c r="Z164" s="290"/>
      <c r="AA164" s="290"/>
      <c r="AB164" s="290"/>
      <c r="AC164" s="290"/>
      <c r="AD164" s="290"/>
      <c r="AE164" s="290"/>
      <c r="AF164" s="290"/>
      <c r="AG164" s="290"/>
      <c r="AH164" s="290"/>
      <c r="AI164" s="290"/>
    </row>
    <row r="165" ht="19.5" customHeight="1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90"/>
      <c r="AB165" s="290"/>
      <c r="AC165" s="290"/>
      <c r="AD165" s="290"/>
      <c r="AE165" s="290"/>
      <c r="AF165" s="290"/>
      <c r="AG165" s="290"/>
      <c r="AH165" s="290"/>
      <c r="AI165" s="290"/>
    </row>
    <row r="166" ht="19.5" customHeight="1">
      <c r="A166" s="290"/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90"/>
      <c r="AB166" s="290"/>
      <c r="AC166" s="290"/>
      <c r="AD166" s="290"/>
      <c r="AE166" s="290"/>
      <c r="AF166" s="290"/>
      <c r="AG166" s="290"/>
      <c r="AH166" s="290"/>
      <c r="AI166" s="290"/>
    </row>
    <row r="167" ht="19.5" customHeight="1">
      <c r="A167" s="290"/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90"/>
      <c r="AB167" s="290"/>
      <c r="AC167" s="290"/>
      <c r="AD167" s="290"/>
      <c r="AE167" s="290"/>
      <c r="AF167" s="290"/>
      <c r="AG167" s="290"/>
      <c r="AH167" s="290"/>
      <c r="AI167" s="290"/>
    </row>
    <row r="168" ht="19.5" customHeight="1">
      <c r="A168" s="290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0"/>
      <c r="P168" s="290"/>
      <c r="Q168" s="290"/>
      <c r="R168" s="290"/>
      <c r="S168" s="290"/>
      <c r="T168" s="290"/>
      <c r="U168" s="290"/>
      <c r="V168" s="290"/>
      <c r="W168" s="290"/>
      <c r="X168" s="290"/>
      <c r="Y168" s="290"/>
      <c r="Z168" s="290"/>
      <c r="AA168" s="290"/>
      <c r="AB168" s="290"/>
      <c r="AC168" s="290"/>
      <c r="AD168" s="290"/>
      <c r="AE168" s="290"/>
      <c r="AF168" s="290"/>
      <c r="AG168" s="290"/>
      <c r="AH168" s="290"/>
      <c r="AI168" s="290"/>
    </row>
    <row r="169" ht="19.5" customHeight="1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0"/>
      <c r="P169" s="290"/>
      <c r="Q169" s="290"/>
      <c r="R169" s="290"/>
      <c r="S169" s="290"/>
      <c r="T169" s="290"/>
      <c r="U169" s="290"/>
      <c r="V169" s="290"/>
      <c r="W169" s="290"/>
      <c r="X169" s="290"/>
      <c r="Y169" s="290"/>
      <c r="Z169" s="290"/>
      <c r="AA169" s="290"/>
      <c r="AB169" s="290"/>
      <c r="AC169" s="290"/>
      <c r="AD169" s="290"/>
      <c r="AE169" s="290"/>
      <c r="AF169" s="290"/>
      <c r="AG169" s="290"/>
      <c r="AH169" s="290"/>
      <c r="AI169" s="290"/>
    </row>
    <row r="170" ht="19.5" customHeight="1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90"/>
      <c r="AB170" s="290"/>
      <c r="AC170" s="290"/>
      <c r="AD170" s="290"/>
      <c r="AE170" s="290"/>
      <c r="AF170" s="290"/>
      <c r="AG170" s="290"/>
      <c r="AH170" s="290"/>
      <c r="AI170" s="290"/>
    </row>
    <row r="171" ht="19.5" customHeight="1">
      <c r="A171" s="290"/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90"/>
      <c r="AB171" s="290"/>
      <c r="AC171" s="290"/>
      <c r="AD171" s="290"/>
      <c r="AE171" s="290"/>
      <c r="AF171" s="290"/>
      <c r="AG171" s="290"/>
      <c r="AH171" s="290"/>
      <c r="AI171" s="290"/>
    </row>
    <row r="172" ht="19.5" customHeight="1">
      <c r="A172" s="290"/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90"/>
      <c r="AB172" s="290"/>
      <c r="AC172" s="290"/>
      <c r="AD172" s="290"/>
      <c r="AE172" s="290"/>
      <c r="AF172" s="290"/>
      <c r="AG172" s="290"/>
      <c r="AH172" s="290"/>
      <c r="AI172" s="290"/>
    </row>
    <row r="173" ht="19.5" customHeight="1">
      <c r="A173" s="290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90"/>
      <c r="AB173" s="290"/>
      <c r="AC173" s="290"/>
      <c r="AD173" s="290"/>
      <c r="AE173" s="290"/>
      <c r="AF173" s="290"/>
      <c r="AG173" s="290"/>
      <c r="AH173" s="290"/>
      <c r="AI173" s="290"/>
    </row>
    <row r="174" ht="19.5" customHeight="1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0"/>
      <c r="P174" s="290"/>
      <c r="Q174" s="290"/>
      <c r="R174" s="290"/>
      <c r="S174" s="290"/>
      <c r="T174" s="290"/>
      <c r="U174" s="290"/>
      <c r="V174" s="290"/>
      <c r="W174" s="290"/>
      <c r="X174" s="290"/>
      <c r="Y174" s="290"/>
      <c r="Z174" s="290"/>
      <c r="AA174" s="290"/>
      <c r="AB174" s="290"/>
      <c r="AC174" s="290"/>
      <c r="AD174" s="290"/>
      <c r="AE174" s="290"/>
      <c r="AF174" s="290"/>
      <c r="AG174" s="290"/>
      <c r="AH174" s="290"/>
      <c r="AI174" s="290"/>
    </row>
    <row r="175" ht="19.5" customHeight="1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0"/>
      <c r="P175" s="290"/>
      <c r="Q175" s="290"/>
      <c r="R175" s="290"/>
      <c r="S175" s="290"/>
      <c r="T175" s="290"/>
      <c r="U175" s="290"/>
      <c r="V175" s="290"/>
      <c r="W175" s="290"/>
      <c r="X175" s="290"/>
      <c r="Y175" s="290"/>
      <c r="Z175" s="290"/>
      <c r="AA175" s="290"/>
      <c r="AB175" s="290"/>
      <c r="AC175" s="290"/>
      <c r="AD175" s="290"/>
      <c r="AE175" s="290"/>
      <c r="AF175" s="290"/>
      <c r="AG175" s="290"/>
      <c r="AH175" s="290"/>
      <c r="AI175" s="290"/>
    </row>
    <row r="176" ht="19.5" customHeight="1">
      <c r="A176" s="290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90"/>
      <c r="AB176" s="290"/>
      <c r="AC176" s="290"/>
      <c r="AD176" s="290"/>
      <c r="AE176" s="290"/>
      <c r="AF176" s="290"/>
      <c r="AG176" s="290"/>
      <c r="AH176" s="290"/>
      <c r="AI176" s="290"/>
    </row>
    <row r="177" ht="19.5" customHeight="1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90"/>
      <c r="AB177" s="290"/>
      <c r="AC177" s="290"/>
      <c r="AD177" s="290"/>
      <c r="AE177" s="290"/>
      <c r="AF177" s="290"/>
      <c r="AG177" s="290"/>
      <c r="AH177" s="290"/>
      <c r="AI177" s="290"/>
    </row>
    <row r="178" ht="19.5" customHeight="1">
      <c r="A178" s="290"/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90"/>
      <c r="AB178" s="290"/>
      <c r="AC178" s="290"/>
      <c r="AD178" s="290"/>
      <c r="AE178" s="290"/>
      <c r="AF178" s="290"/>
      <c r="AG178" s="290"/>
      <c r="AH178" s="290"/>
      <c r="AI178" s="290"/>
    </row>
    <row r="179" ht="19.5" customHeight="1">
      <c r="A179" s="290"/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90"/>
      <c r="AB179" s="290"/>
      <c r="AC179" s="290"/>
      <c r="AD179" s="290"/>
      <c r="AE179" s="290"/>
      <c r="AF179" s="290"/>
      <c r="AG179" s="290"/>
      <c r="AH179" s="290"/>
      <c r="AI179" s="290"/>
    </row>
    <row r="180" ht="19.5" customHeight="1">
      <c r="A180" s="290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90"/>
      <c r="Q180" s="290"/>
      <c r="R180" s="290"/>
      <c r="S180" s="290"/>
      <c r="T180" s="290"/>
      <c r="U180" s="290"/>
      <c r="V180" s="290"/>
      <c r="W180" s="290"/>
      <c r="X180" s="290"/>
      <c r="Y180" s="290"/>
      <c r="Z180" s="290"/>
      <c r="AA180" s="290"/>
      <c r="AB180" s="290"/>
      <c r="AC180" s="290"/>
      <c r="AD180" s="290"/>
      <c r="AE180" s="290"/>
      <c r="AF180" s="290"/>
      <c r="AG180" s="290"/>
      <c r="AH180" s="290"/>
      <c r="AI180" s="290"/>
    </row>
    <row r="181" ht="19.5" customHeight="1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0"/>
      <c r="P181" s="290"/>
      <c r="Q181" s="290"/>
      <c r="R181" s="290"/>
      <c r="S181" s="290"/>
      <c r="T181" s="290"/>
      <c r="U181" s="290"/>
      <c r="V181" s="290"/>
      <c r="W181" s="290"/>
      <c r="X181" s="290"/>
      <c r="Y181" s="290"/>
      <c r="Z181" s="290"/>
      <c r="AA181" s="290"/>
      <c r="AB181" s="290"/>
      <c r="AC181" s="290"/>
      <c r="AD181" s="290"/>
      <c r="AE181" s="290"/>
      <c r="AF181" s="290"/>
      <c r="AG181" s="290"/>
      <c r="AH181" s="290"/>
      <c r="AI181" s="290"/>
    </row>
    <row r="182" ht="19.5" customHeight="1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90"/>
      <c r="AB182" s="290"/>
      <c r="AC182" s="290"/>
      <c r="AD182" s="290"/>
      <c r="AE182" s="290"/>
      <c r="AF182" s="290"/>
      <c r="AG182" s="290"/>
      <c r="AH182" s="290"/>
      <c r="AI182" s="290"/>
    </row>
    <row r="183" ht="19.5" customHeight="1">
      <c r="A183" s="290"/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90"/>
      <c r="AB183" s="290"/>
      <c r="AC183" s="290"/>
      <c r="AD183" s="290"/>
      <c r="AE183" s="290"/>
      <c r="AF183" s="290"/>
      <c r="AG183" s="290"/>
      <c r="AH183" s="290"/>
      <c r="AI183" s="290"/>
    </row>
    <row r="184" ht="19.5" customHeight="1">
      <c r="A184" s="290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0"/>
      <c r="P184" s="290"/>
      <c r="Q184" s="290"/>
      <c r="R184" s="290"/>
      <c r="S184" s="290"/>
      <c r="T184" s="290"/>
      <c r="U184" s="290"/>
      <c r="V184" s="290"/>
      <c r="W184" s="290"/>
      <c r="X184" s="290"/>
      <c r="Y184" s="290"/>
      <c r="Z184" s="290"/>
      <c r="AA184" s="290"/>
      <c r="AB184" s="290"/>
      <c r="AC184" s="290"/>
      <c r="AD184" s="290"/>
      <c r="AE184" s="290"/>
      <c r="AF184" s="290"/>
      <c r="AG184" s="290"/>
      <c r="AH184" s="290"/>
      <c r="AI184" s="290"/>
    </row>
    <row r="185" ht="19.5" customHeight="1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0"/>
      <c r="P185" s="290"/>
      <c r="Q185" s="290"/>
      <c r="R185" s="290"/>
      <c r="S185" s="290"/>
      <c r="T185" s="290"/>
      <c r="U185" s="290"/>
      <c r="V185" s="290"/>
      <c r="W185" s="290"/>
      <c r="X185" s="290"/>
      <c r="Y185" s="290"/>
      <c r="Z185" s="290"/>
      <c r="AA185" s="290"/>
      <c r="AB185" s="290"/>
      <c r="AC185" s="290"/>
      <c r="AD185" s="290"/>
      <c r="AE185" s="290"/>
      <c r="AF185" s="290"/>
      <c r="AG185" s="290"/>
      <c r="AH185" s="290"/>
      <c r="AI185" s="290"/>
    </row>
    <row r="186" ht="19.5" customHeight="1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90"/>
      <c r="Q186" s="290"/>
      <c r="R186" s="290"/>
      <c r="S186" s="290"/>
      <c r="T186" s="290"/>
      <c r="U186" s="290"/>
      <c r="V186" s="290"/>
      <c r="W186" s="290"/>
      <c r="X186" s="290"/>
      <c r="Y186" s="290"/>
      <c r="Z186" s="290"/>
      <c r="AA186" s="290"/>
      <c r="AB186" s="290"/>
      <c r="AC186" s="290"/>
      <c r="AD186" s="290"/>
      <c r="AE186" s="290"/>
      <c r="AF186" s="290"/>
      <c r="AG186" s="290"/>
      <c r="AH186" s="290"/>
      <c r="AI186" s="290"/>
    </row>
    <row r="187" ht="19.5" customHeight="1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0"/>
      <c r="P187" s="290"/>
      <c r="Q187" s="290"/>
      <c r="R187" s="290"/>
      <c r="S187" s="290"/>
      <c r="T187" s="290"/>
      <c r="U187" s="290"/>
      <c r="V187" s="290"/>
      <c r="W187" s="290"/>
      <c r="X187" s="290"/>
      <c r="Y187" s="290"/>
      <c r="Z187" s="290"/>
      <c r="AA187" s="290"/>
      <c r="AB187" s="290"/>
      <c r="AC187" s="290"/>
      <c r="AD187" s="290"/>
      <c r="AE187" s="290"/>
      <c r="AF187" s="290"/>
      <c r="AG187" s="290"/>
      <c r="AH187" s="290"/>
      <c r="AI187" s="290"/>
    </row>
    <row r="188" ht="19.5" customHeight="1">
      <c r="A188" s="290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90"/>
      <c r="AB188" s="290"/>
      <c r="AC188" s="290"/>
      <c r="AD188" s="290"/>
      <c r="AE188" s="290"/>
      <c r="AF188" s="290"/>
      <c r="AG188" s="290"/>
      <c r="AH188" s="290"/>
      <c r="AI188" s="290"/>
    </row>
    <row r="189" ht="19.5" customHeight="1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90"/>
      <c r="AB189" s="290"/>
      <c r="AC189" s="290"/>
      <c r="AD189" s="290"/>
      <c r="AE189" s="290"/>
      <c r="AF189" s="290"/>
      <c r="AG189" s="290"/>
      <c r="AH189" s="290"/>
      <c r="AI189" s="290"/>
    </row>
    <row r="190" ht="19.5" customHeight="1">
      <c r="A190" s="290"/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90"/>
      <c r="AB190" s="290"/>
      <c r="AC190" s="290"/>
      <c r="AD190" s="290"/>
      <c r="AE190" s="290"/>
      <c r="AF190" s="290"/>
      <c r="AG190" s="290"/>
      <c r="AH190" s="290"/>
      <c r="AI190" s="290"/>
    </row>
    <row r="191" ht="19.5" customHeight="1">
      <c r="A191" s="290"/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90"/>
      <c r="AB191" s="290"/>
      <c r="AC191" s="290"/>
      <c r="AD191" s="290"/>
      <c r="AE191" s="290"/>
      <c r="AF191" s="290"/>
      <c r="AG191" s="290"/>
      <c r="AH191" s="290"/>
      <c r="AI191" s="290"/>
    </row>
    <row r="192" ht="19.5" customHeight="1">
      <c r="A192" s="290"/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90"/>
      <c r="Q192" s="290"/>
      <c r="R192" s="290"/>
      <c r="S192" s="290"/>
      <c r="T192" s="290"/>
      <c r="U192" s="290"/>
      <c r="V192" s="290"/>
      <c r="W192" s="290"/>
      <c r="X192" s="290"/>
      <c r="Y192" s="290"/>
      <c r="Z192" s="290"/>
      <c r="AA192" s="290"/>
      <c r="AB192" s="290"/>
      <c r="AC192" s="290"/>
      <c r="AD192" s="290"/>
      <c r="AE192" s="290"/>
      <c r="AF192" s="290"/>
      <c r="AG192" s="290"/>
      <c r="AH192" s="290"/>
      <c r="AI192" s="290"/>
    </row>
    <row r="193" ht="19.5" customHeight="1">
      <c r="A193" s="290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0"/>
      <c r="M193" s="290"/>
      <c r="N193" s="290"/>
      <c r="O193" s="290"/>
      <c r="P193" s="290"/>
      <c r="Q193" s="290"/>
      <c r="R193" s="290"/>
      <c r="S193" s="290"/>
      <c r="T193" s="290"/>
      <c r="U193" s="290"/>
      <c r="V193" s="290"/>
      <c r="W193" s="290"/>
      <c r="X193" s="290"/>
      <c r="Y193" s="290"/>
      <c r="Z193" s="290"/>
      <c r="AA193" s="290"/>
      <c r="AB193" s="290"/>
      <c r="AC193" s="290"/>
      <c r="AD193" s="290"/>
      <c r="AE193" s="290"/>
      <c r="AF193" s="290"/>
      <c r="AG193" s="290"/>
      <c r="AH193" s="290"/>
      <c r="AI193" s="290"/>
    </row>
    <row r="194" ht="19.5" customHeight="1">
      <c r="A194" s="290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0"/>
      <c r="P194" s="290"/>
      <c r="Q194" s="290"/>
      <c r="R194" s="290"/>
      <c r="S194" s="290"/>
      <c r="T194" s="290"/>
      <c r="U194" s="290"/>
      <c r="V194" s="290"/>
      <c r="W194" s="290"/>
      <c r="X194" s="290"/>
      <c r="Y194" s="290"/>
      <c r="Z194" s="290"/>
      <c r="AA194" s="290"/>
      <c r="AB194" s="290"/>
      <c r="AC194" s="290"/>
      <c r="AD194" s="290"/>
      <c r="AE194" s="290"/>
      <c r="AF194" s="290"/>
      <c r="AG194" s="290"/>
      <c r="AH194" s="290"/>
      <c r="AI194" s="290"/>
    </row>
    <row r="195" ht="19.5" customHeight="1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0"/>
      <c r="P195" s="290"/>
      <c r="Q195" s="290"/>
      <c r="R195" s="290"/>
      <c r="S195" s="290"/>
      <c r="T195" s="290"/>
      <c r="U195" s="290"/>
      <c r="V195" s="290"/>
      <c r="W195" s="290"/>
      <c r="X195" s="290"/>
      <c r="Y195" s="290"/>
      <c r="Z195" s="290"/>
      <c r="AA195" s="290"/>
      <c r="AB195" s="290"/>
      <c r="AC195" s="290"/>
      <c r="AD195" s="290"/>
      <c r="AE195" s="290"/>
      <c r="AF195" s="290"/>
      <c r="AG195" s="290"/>
      <c r="AH195" s="290"/>
      <c r="AI195" s="290"/>
    </row>
    <row r="196" ht="19.5" customHeight="1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90"/>
      <c r="AB196" s="290"/>
      <c r="AC196" s="290"/>
      <c r="AD196" s="290"/>
      <c r="AE196" s="290"/>
      <c r="AF196" s="290"/>
      <c r="AG196" s="290"/>
      <c r="AH196" s="290"/>
      <c r="AI196" s="290"/>
    </row>
    <row r="197" ht="19.5" customHeight="1">
      <c r="A197" s="290"/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90"/>
      <c r="AB197" s="290"/>
      <c r="AC197" s="290"/>
      <c r="AD197" s="290"/>
      <c r="AE197" s="290"/>
      <c r="AF197" s="290"/>
      <c r="AG197" s="290"/>
      <c r="AH197" s="290"/>
      <c r="AI197" s="290"/>
    </row>
    <row r="198" ht="19.5" customHeight="1">
      <c r="A198" s="290"/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90"/>
      <c r="AB198" s="290"/>
      <c r="AC198" s="290"/>
      <c r="AD198" s="290"/>
      <c r="AE198" s="290"/>
      <c r="AF198" s="290"/>
      <c r="AG198" s="290"/>
      <c r="AH198" s="290"/>
      <c r="AI198" s="290"/>
    </row>
    <row r="199" ht="19.5" customHeight="1">
      <c r="A199" s="290"/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90"/>
      <c r="AB199" s="290"/>
      <c r="AC199" s="290"/>
      <c r="AD199" s="290"/>
      <c r="AE199" s="290"/>
      <c r="AF199" s="290"/>
      <c r="AG199" s="290"/>
      <c r="AH199" s="290"/>
      <c r="AI199" s="290"/>
    </row>
    <row r="200" ht="19.5" customHeight="1">
      <c r="A200" s="290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0"/>
      <c r="P200" s="290"/>
      <c r="Q200" s="290"/>
      <c r="R200" s="290"/>
      <c r="S200" s="290"/>
      <c r="T200" s="290"/>
      <c r="U200" s="290"/>
      <c r="V200" s="290"/>
      <c r="W200" s="290"/>
      <c r="X200" s="290"/>
      <c r="Y200" s="290"/>
      <c r="Z200" s="290"/>
      <c r="AA200" s="290"/>
      <c r="AB200" s="290"/>
      <c r="AC200" s="290"/>
      <c r="AD200" s="290"/>
      <c r="AE200" s="290"/>
      <c r="AF200" s="290"/>
      <c r="AG200" s="290"/>
      <c r="AH200" s="290"/>
      <c r="AI200" s="290"/>
    </row>
    <row r="201" ht="19.5" customHeight="1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0"/>
      <c r="P201" s="290"/>
      <c r="Q201" s="290"/>
      <c r="R201" s="290"/>
      <c r="S201" s="290"/>
      <c r="T201" s="290"/>
      <c r="U201" s="290"/>
      <c r="V201" s="290"/>
      <c r="W201" s="290"/>
      <c r="X201" s="290"/>
      <c r="Y201" s="290"/>
      <c r="Z201" s="290"/>
      <c r="AA201" s="290"/>
      <c r="AB201" s="290"/>
      <c r="AC201" s="290"/>
      <c r="AD201" s="290"/>
      <c r="AE201" s="290"/>
      <c r="AF201" s="290"/>
      <c r="AG201" s="290"/>
      <c r="AH201" s="290"/>
      <c r="AI201" s="290"/>
    </row>
    <row r="202" ht="19.5" customHeight="1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90"/>
      <c r="AB202" s="290"/>
      <c r="AC202" s="290"/>
      <c r="AD202" s="290"/>
      <c r="AE202" s="290"/>
      <c r="AF202" s="290"/>
      <c r="AG202" s="290"/>
      <c r="AH202" s="290"/>
      <c r="AI202" s="290"/>
    </row>
    <row r="203" ht="19.5" customHeight="1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90"/>
      <c r="AB203" s="290"/>
      <c r="AC203" s="290"/>
      <c r="AD203" s="290"/>
      <c r="AE203" s="290"/>
      <c r="AF203" s="290"/>
      <c r="AG203" s="290"/>
      <c r="AH203" s="290"/>
      <c r="AI203" s="290"/>
    </row>
    <row r="204" ht="19.5" customHeight="1">
      <c r="A204" s="290"/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90"/>
      <c r="AB204" s="290"/>
      <c r="AC204" s="290"/>
      <c r="AD204" s="290"/>
      <c r="AE204" s="290"/>
      <c r="AF204" s="290"/>
      <c r="AG204" s="290"/>
      <c r="AH204" s="290"/>
      <c r="AI204" s="290"/>
    </row>
    <row r="205" ht="19.5" customHeight="1">
      <c r="A205" s="290"/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90"/>
      <c r="Q205" s="290"/>
      <c r="R205" s="290"/>
      <c r="S205" s="290"/>
      <c r="T205" s="290"/>
      <c r="U205" s="290"/>
      <c r="V205" s="290"/>
      <c r="W205" s="290"/>
      <c r="X205" s="290"/>
      <c r="Y205" s="290"/>
      <c r="Z205" s="290"/>
      <c r="AA205" s="290"/>
      <c r="AB205" s="290"/>
      <c r="AC205" s="290"/>
      <c r="AD205" s="290"/>
      <c r="AE205" s="290"/>
      <c r="AF205" s="290"/>
      <c r="AG205" s="290"/>
      <c r="AH205" s="290"/>
      <c r="AI205" s="290"/>
    </row>
    <row r="206" ht="19.5" customHeight="1">
      <c r="A206" s="290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0"/>
      <c r="P206" s="290"/>
      <c r="Q206" s="290"/>
      <c r="R206" s="290"/>
      <c r="S206" s="290"/>
      <c r="T206" s="290"/>
      <c r="U206" s="290"/>
      <c r="V206" s="290"/>
      <c r="W206" s="290"/>
      <c r="X206" s="290"/>
      <c r="Y206" s="290"/>
      <c r="Z206" s="290"/>
      <c r="AA206" s="290"/>
      <c r="AB206" s="290"/>
      <c r="AC206" s="290"/>
      <c r="AD206" s="290"/>
      <c r="AE206" s="290"/>
      <c r="AF206" s="290"/>
      <c r="AG206" s="290"/>
      <c r="AH206" s="290"/>
      <c r="AI206" s="290"/>
    </row>
    <row r="207" ht="19.5" customHeight="1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0"/>
      <c r="P207" s="290"/>
      <c r="Q207" s="290"/>
      <c r="R207" s="290"/>
      <c r="S207" s="290"/>
      <c r="T207" s="290"/>
      <c r="U207" s="290"/>
      <c r="V207" s="290"/>
      <c r="W207" s="290"/>
      <c r="X207" s="290"/>
      <c r="Y207" s="290"/>
      <c r="Z207" s="290"/>
      <c r="AA207" s="290"/>
      <c r="AB207" s="290"/>
      <c r="AC207" s="290"/>
      <c r="AD207" s="290"/>
      <c r="AE207" s="290"/>
      <c r="AF207" s="290"/>
      <c r="AG207" s="290"/>
      <c r="AH207" s="290"/>
      <c r="AI207" s="290"/>
    </row>
    <row r="208" ht="19.5" customHeight="1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90"/>
      <c r="AB208" s="290"/>
      <c r="AC208" s="290"/>
      <c r="AD208" s="290"/>
      <c r="AE208" s="290"/>
      <c r="AF208" s="290"/>
      <c r="AG208" s="290"/>
      <c r="AH208" s="290"/>
      <c r="AI208" s="290"/>
    </row>
    <row r="209" ht="19.5" customHeight="1">
      <c r="A209" s="290"/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90"/>
      <c r="AB209" s="290"/>
      <c r="AC209" s="290"/>
      <c r="AD209" s="290"/>
      <c r="AE209" s="290"/>
      <c r="AF209" s="290"/>
      <c r="AG209" s="290"/>
      <c r="AH209" s="290"/>
      <c r="AI209" s="290"/>
    </row>
    <row r="210" ht="19.5" customHeight="1">
      <c r="A210" s="290"/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90"/>
      <c r="AB210" s="290"/>
      <c r="AC210" s="290"/>
      <c r="AD210" s="290"/>
      <c r="AE210" s="290"/>
      <c r="AF210" s="290"/>
      <c r="AG210" s="290"/>
      <c r="AH210" s="290"/>
      <c r="AI210" s="290"/>
    </row>
    <row r="211" ht="19.5" customHeight="1">
      <c r="A211" s="290"/>
      <c r="B211" s="290"/>
      <c r="C211" s="290"/>
      <c r="D211" s="290"/>
      <c r="E211" s="290"/>
      <c r="F211" s="290"/>
      <c r="G211" s="290"/>
      <c r="H211" s="290"/>
      <c r="I211" s="290"/>
      <c r="J211" s="290"/>
      <c r="K211" s="290"/>
      <c r="L211" s="290"/>
      <c r="M211" s="290"/>
      <c r="N211" s="290"/>
      <c r="O211" s="290"/>
      <c r="P211" s="290"/>
      <c r="Q211" s="290"/>
      <c r="R211" s="290"/>
      <c r="S211" s="290"/>
      <c r="T211" s="290"/>
      <c r="U211" s="290"/>
      <c r="V211" s="290"/>
      <c r="W211" s="290"/>
      <c r="X211" s="290"/>
      <c r="Y211" s="290"/>
      <c r="Z211" s="290"/>
      <c r="AA211" s="290"/>
      <c r="AB211" s="290"/>
      <c r="AC211" s="290"/>
      <c r="AD211" s="290"/>
      <c r="AE211" s="290"/>
      <c r="AF211" s="290"/>
      <c r="AG211" s="290"/>
      <c r="AH211" s="290"/>
      <c r="AI211" s="290"/>
    </row>
    <row r="212" ht="19.5" customHeight="1">
      <c r="A212" s="290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0"/>
      <c r="P212" s="290"/>
      <c r="Q212" s="290"/>
      <c r="R212" s="290"/>
      <c r="S212" s="290"/>
      <c r="T212" s="290"/>
      <c r="U212" s="290"/>
      <c r="V212" s="290"/>
      <c r="W212" s="290"/>
      <c r="X212" s="290"/>
      <c r="Y212" s="290"/>
      <c r="Z212" s="290"/>
      <c r="AA212" s="290"/>
      <c r="AB212" s="290"/>
      <c r="AC212" s="290"/>
      <c r="AD212" s="290"/>
      <c r="AE212" s="290"/>
      <c r="AF212" s="290"/>
      <c r="AG212" s="290"/>
      <c r="AH212" s="290"/>
      <c r="AI212" s="290"/>
    </row>
    <row r="213" ht="19.5" customHeight="1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0"/>
      <c r="P213" s="290"/>
      <c r="Q213" s="290"/>
      <c r="R213" s="290"/>
      <c r="S213" s="290"/>
      <c r="T213" s="290"/>
      <c r="U213" s="290"/>
      <c r="V213" s="290"/>
      <c r="W213" s="290"/>
      <c r="X213" s="290"/>
      <c r="Y213" s="290"/>
      <c r="Z213" s="290"/>
      <c r="AA213" s="290"/>
      <c r="AB213" s="290"/>
      <c r="AC213" s="290"/>
      <c r="AD213" s="290"/>
      <c r="AE213" s="290"/>
      <c r="AF213" s="290"/>
      <c r="AG213" s="290"/>
      <c r="AH213" s="290"/>
      <c r="AI213" s="290"/>
    </row>
    <row r="214" ht="19.5" customHeight="1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90"/>
      <c r="AB214" s="290"/>
      <c r="AC214" s="290"/>
      <c r="AD214" s="290"/>
      <c r="AE214" s="290"/>
      <c r="AF214" s="290"/>
      <c r="AG214" s="290"/>
      <c r="AH214" s="290"/>
      <c r="AI214" s="290"/>
    </row>
    <row r="215" ht="19.5" customHeight="1">
      <c r="A215" s="290"/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90"/>
      <c r="AB215" s="290"/>
      <c r="AC215" s="290"/>
      <c r="AD215" s="290"/>
      <c r="AE215" s="290"/>
      <c r="AF215" s="290"/>
      <c r="AG215" s="290"/>
      <c r="AH215" s="290"/>
      <c r="AI215" s="290"/>
    </row>
    <row r="216" ht="19.5" customHeight="1">
      <c r="A216" s="290"/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90"/>
      <c r="AB216" s="290"/>
      <c r="AC216" s="290"/>
      <c r="AD216" s="290"/>
      <c r="AE216" s="290"/>
      <c r="AF216" s="290"/>
      <c r="AG216" s="290"/>
      <c r="AH216" s="290"/>
      <c r="AI216" s="290"/>
    </row>
    <row r="217" ht="19.5" customHeight="1">
      <c r="A217" s="290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0"/>
      <c r="P217" s="290"/>
      <c r="Q217" s="290"/>
      <c r="R217" s="290"/>
      <c r="S217" s="290"/>
      <c r="T217" s="290"/>
      <c r="U217" s="290"/>
      <c r="V217" s="290"/>
      <c r="W217" s="290"/>
      <c r="X217" s="290"/>
      <c r="Y217" s="290"/>
      <c r="Z217" s="290"/>
      <c r="AA217" s="290"/>
      <c r="AB217" s="290"/>
      <c r="AC217" s="290"/>
      <c r="AD217" s="290"/>
      <c r="AE217" s="290"/>
      <c r="AF217" s="290"/>
      <c r="AG217" s="290"/>
      <c r="AH217" s="290"/>
      <c r="AI217" s="290"/>
    </row>
    <row r="218" ht="19.5" customHeight="1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0"/>
      <c r="P218" s="290"/>
      <c r="Q218" s="290"/>
      <c r="R218" s="290"/>
      <c r="S218" s="290"/>
      <c r="T218" s="290"/>
      <c r="U218" s="290"/>
      <c r="V218" s="290"/>
      <c r="W218" s="290"/>
      <c r="X218" s="290"/>
      <c r="Y218" s="290"/>
      <c r="Z218" s="290"/>
      <c r="AA218" s="290"/>
      <c r="AB218" s="290"/>
      <c r="AC218" s="290"/>
      <c r="AD218" s="290"/>
      <c r="AE218" s="290"/>
      <c r="AF218" s="290"/>
      <c r="AG218" s="290"/>
      <c r="AH218" s="290"/>
      <c r="AI218" s="290"/>
    </row>
    <row r="219" ht="19.5" customHeight="1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90"/>
      <c r="AB219" s="290"/>
      <c r="AC219" s="290"/>
      <c r="AD219" s="290"/>
      <c r="AE219" s="290"/>
      <c r="AF219" s="290"/>
      <c r="AG219" s="290"/>
      <c r="AH219" s="290"/>
      <c r="AI219" s="290"/>
    </row>
    <row r="220" ht="19.5" customHeight="1">
      <c r="A220" s="290"/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90"/>
      <c r="AB220" s="290"/>
      <c r="AC220" s="290"/>
      <c r="AD220" s="290"/>
      <c r="AE220" s="290"/>
      <c r="AF220" s="290"/>
      <c r="AG220" s="290"/>
      <c r="AH220" s="290"/>
      <c r="AI220" s="290"/>
    </row>
    <row r="221" ht="19.5" customHeight="1">
      <c r="A221" s="290"/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90"/>
      <c r="AB221" s="290"/>
      <c r="AC221" s="290"/>
      <c r="AD221" s="290"/>
      <c r="AE221" s="290"/>
      <c r="AF221" s="290"/>
      <c r="AG221" s="290"/>
      <c r="AH221" s="290"/>
      <c r="AI221" s="290"/>
    </row>
    <row r="222" ht="19.5" customHeight="1">
      <c r="A222" s="290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0"/>
      <c r="P222" s="290"/>
      <c r="Q222" s="290"/>
      <c r="R222" s="290"/>
      <c r="S222" s="290"/>
      <c r="T222" s="290"/>
      <c r="U222" s="290"/>
      <c r="V222" s="290"/>
      <c r="W222" s="290"/>
      <c r="X222" s="290"/>
      <c r="Y222" s="290"/>
      <c r="Z222" s="290"/>
      <c r="AA222" s="290"/>
      <c r="AB222" s="290"/>
      <c r="AC222" s="290"/>
      <c r="AD222" s="290"/>
      <c r="AE222" s="290"/>
      <c r="AF222" s="290"/>
      <c r="AG222" s="290"/>
      <c r="AH222" s="290"/>
      <c r="AI222" s="290"/>
    </row>
    <row r="223" ht="19.5" customHeight="1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0"/>
      <c r="P223" s="290"/>
      <c r="Q223" s="290"/>
      <c r="R223" s="290"/>
      <c r="S223" s="290"/>
      <c r="T223" s="290"/>
      <c r="U223" s="290"/>
      <c r="V223" s="290"/>
      <c r="W223" s="290"/>
      <c r="X223" s="290"/>
      <c r="Y223" s="290"/>
      <c r="Z223" s="290"/>
      <c r="AA223" s="290"/>
      <c r="AB223" s="290"/>
      <c r="AC223" s="290"/>
      <c r="AD223" s="290"/>
      <c r="AE223" s="290"/>
      <c r="AF223" s="290"/>
      <c r="AG223" s="290"/>
      <c r="AH223" s="290"/>
      <c r="AI223" s="290"/>
    </row>
    <row r="224" ht="19.5" customHeight="1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0"/>
      <c r="P224" s="290"/>
      <c r="Q224" s="290"/>
      <c r="R224" s="290"/>
      <c r="S224" s="290"/>
      <c r="T224" s="290"/>
      <c r="U224" s="290"/>
      <c r="V224" s="290"/>
      <c r="W224" s="290"/>
      <c r="X224" s="290"/>
      <c r="Y224" s="290"/>
      <c r="Z224" s="290"/>
      <c r="AA224" s="290"/>
      <c r="AB224" s="290"/>
      <c r="AC224" s="290"/>
      <c r="AD224" s="290"/>
      <c r="AE224" s="290"/>
      <c r="AF224" s="290"/>
      <c r="AG224" s="290"/>
      <c r="AH224" s="290"/>
      <c r="AI224" s="290"/>
    </row>
    <row r="225" ht="19.5" customHeight="1">
      <c r="A225" s="290"/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90"/>
      <c r="AB225" s="290"/>
      <c r="AC225" s="290"/>
      <c r="AD225" s="290"/>
      <c r="AE225" s="290"/>
      <c r="AF225" s="290"/>
      <c r="AG225" s="290"/>
      <c r="AH225" s="290"/>
      <c r="AI225" s="290"/>
    </row>
    <row r="226" ht="19.5" customHeight="1">
      <c r="A226" s="290"/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90"/>
      <c r="AB226" s="290"/>
      <c r="AC226" s="290"/>
      <c r="AD226" s="290"/>
      <c r="AE226" s="290"/>
      <c r="AF226" s="290"/>
      <c r="AG226" s="290"/>
      <c r="AH226" s="290"/>
      <c r="AI226" s="290"/>
    </row>
    <row r="227" ht="19.5" customHeight="1">
      <c r="A227" s="290"/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90"/>
      <c r="AB227" s="290"/>
      <c r="AC227" s="290"/>
      <c r="AD227" s="290"/>
      <c r="AE227" s="290"/>
      <c r="AF227" s="290"/>
      <c r="AG227" s="290"/>
      <c r="AH227" s="290"/>
      <c r="AI227" s="290"/>
    </row>
    <row r="228" ht="19.5" customHeight="1">
      <c r="A228" s="290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0"/>
      <c r="P228" s="290"/>
      <c r="Q228" s="290"/>
      <c r="R228" s="290"/>
      <c r="S228" s="290"/>
      <c r="T228" s="290"/>
      <c r="U228" s="290"/>
      <c r="V228" s="290"/>
      <c r="W228" s="290"/>
      <c r="X228" s="290"/>
      <c r="Y228" s="290"/>
      <c r="Z228" s="290"/>
      <c r="AA228" s="290"/>
      <c r="AB228" s="290"/>
      <c r="AC228" s="290"/>
      <c r="AD228" s="290"/>
      <c r="AE228" s="290"/>
      <c r="AF228" s="290"/>
      <c r="AG228" s="290"/>
      <c r="AH228" s="290"/>
      <c r="AI228" s="290"/>
    </row>
    <row r="229" ht="19.5" customHeight="1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0"/>
      <c r="P229" s="290"/>
      <c r="Q229" s="290"/>
      <c r="R229" s="290"/>
      <c r="S229" s="290"/>
      <c r="T229" s="290"/>
      <c r="U229" s="290"/>
      <c r="V229" s="290"/>
      <c r="W229" s="290"/>
      <c r="X229" s="290"/>
      <c r="Y229" s="290"/>
      <c r="Z229" s="290"/>
      <c r="AA229" s="290"/>
      <c r="AB229" s="290"/>
      <c r="AC229" s="290"/>
      <c r="AD229" s="290"/>
      <c r="AE229" s="290"/>
      <c r="AF229" s="290"/>
      <c r="AG229" s="290"/>
      <c r="AH229" s="290"/>
      <c r="AI229" s="290"/>
    </row>
    <row r="230" ht="19.5" customHeight="1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0"/>
      <c r="P230" s="290"/>
      <c r="Q230" s="290"/>
      <c r="R230" s="290"/>
      <c r="S230" s="290"/>
      <c r="T230" s="290"/>
      <c r="U230" s="290"/>
      <c r="V230" s="290"/>
      <c r="W230" s="290"/>
      <c r="X230" s="290"/>
      <c r="Y230" s="290"/>
      <c r="Z230" s="290"/>
      <c r="AA230" s="290"/>
      <c r="AB230" s="290"/>
      <c r="AC230" s="290"/>
      <c r="AD230" s="290"/>
      <c r="AE230" s="290"/>
      <c r="AF230" s="290"/>
      <c r="AG230" s="290"/>
      <c r="AH230" s="290"/>
      <c r="AI230" s="290"/>
    </row>
    <row r="231" ht="19.5" customHeight="1">
      <c r="A231" s="290"/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90"/>
      <c r="AB231" s="290"/>
      <c r="AC231" s="290"/>
      <c r="AD231" s="290"/>
      <c r="AE231" s="290"/>
      <c r="AF231" s="290"/>
      <c r="AG231" s="290"/>
      <c r="AH231" s="290"/>
      <c r="AI231" s="290"/>
    </row>
    <row r="232" ht="19.5" customHeight="1">
      <c r="A232" s="290"/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90"/>
      <c r="AB232" s="290"/>
      <c r="AC232" s="290"/>
      <c r="AD232" s="290"/>
      <c r="AE232" s="290"/>
      <c r="AF232" s="290"/>
      <c r="AG232" s="290"/>
      <c r="AH232" s="290"/>
      <c r="AI232" s="290"/>
    </row>
    <row r="233" ht="19.5" customHeight="1">
      <c r="A233" s="290"/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90"/>
      <c r="AB233" s="290"/>
      <c r="AC233" s="290"/>
      <c r="AD233" s="290"/>
      <c r="AE233" s="290"/>
      <c r="AF233" s="290"/>
      <c r="AG233" s="290"/>
      <c r="AH233" s="290"/>
      <c r="AI233" s="290"/>
    </row>
    <row r="234" ht="19.5" customHeight="1">
      <c r="A234" s="290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0"/>
      <c r="P234" s="290"/>
      <c r="Q234" s="290"/>
      <c r="R234" s="290"/>
      <c r="S234" s="290"/>
      <c r="T234" s="290"/>
      <c r="U234" s="290"/>
      <c r="V234" s="290"/>
      <c r="W234" s="290"/>
      <c r="X234" s="290"/>
      <c r="Y234" s="290"/>
      <c r="Z234" s="290"/>
      <c r="AA234" s="290"/>
      <c r="AB234" s="290"/>
      <c r="AC234" s="290"/>
      <c r="AD234" s="290"/>
      <c r="AE234" s="290"/>
      <c r="AF234" s="290"/>
      <c r="AG234" s="290"/>
      <c r="AH234" s="290"/>
      <c r="AI234" s="290"/>
    </row>
    <row r="235" ht="19.5" customHeight="1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0"/>
      <c r="P235" s="290"/>
      <c r="Q235" s="290"/>
      <c r="R235" s="290"/>
      <c r="S235" s="290"/>
      <c r="T235" s="290"/>
      <c r="U235" s="290"/>
      <c r="V235" s="290"/>
      <c r="W235" s="290"/>
      <c r="X235" s="290"/>
      <c r="Y235" s="290"/>
      <c r="Z235" s="290"/>
      <c r="AA235" s="290"/>
      <c r="AB235" s="290"/>
      <c r="AC235" s="290"/>
      <c r="AD235" s="290"/>
      <c r="AE235" s="290"/>
      <c r="AF235" s="290"/>
      <c r="AG235" s="290"/>
      <c r="AH235" s="290"/>
      <c r="AI235" s="290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A9:T9"/>
    <mergeCell ref="A10:T10"/>
    <mergeCell ref="A11:A12"/>
    <mergeCell ref="B11:B12"/>
    <mergeCell ref="C11:C12"/>
    <mergeCell ref="D11:D12"/>
    <mergeCell ref="G11:G12"/>
    <mergeCell ref="G20:G21"/>
    <mergeCell ref="J20:J21"/>
    <mergeCell ref="N20:N21"/>
    <mergeCell ref="Q20:Q21"/>
    <mergeCell ref="R20:R21"/>
    <mergeCell ref="T20:T21"/>
    <mergeCell ref="A20:A21"/>
    <mergeCell ref="A29:A30"/>
    <mergeCell ref="B29:B30"/>
    <mergeCell ref="C29:C30"/>
    <mergeCell ref="D29:D30"/>
    <mergeCell ref="G29:G30"/>
    <mergeCell ref="T11:T12"/>
    <mergeCell ref="A18:T18"/>
    <mergeCell ref="A19:T19"/>
    <mergeCell ref="B20:B21"/>
    <mergeCell ref="C20:C21"/>
    <mergeCell ref="D20:D21"/>
    <mergeCell ref="A28:T28"/>
    <mergeCell ref="R29:R30"/>
    <mergeCell ref="T29:T30"/>
    <mergeCell ref="K20:K21"/>
    <mergeCell ref="L20:L21"/>
    <mergeCell ref="J29:J30"/>
    <mergeCell ref="K29:K30"/>
    <mergeCell ref="L29:L30"/>
    <mergeCell ref="N29:N30"/>
    <mergeCell ref="Q29:Q30"/>
    <mergeCell ref="K2:K3"/>
    <mergeCell ref="L2:L3"/>
    <mergeCell ref="N2:N3"/>
    <mergeCell ref="Q2:Q3"/>
    <mergeCell ref="R2:R3"/>
    <mergeCell ref="T2:T3"/>
    <mergeCell ref="A1:T1"/>
    <mergeCell ref="A2:A3"/>
    <mergeCell ref="B2:B3"/>
    <mergeCell ref="C2:C3"/>
    <mergeCell ref="D2:D3"/>
    <mergeCell ref="G2:G3"/>
    <mergeCell ref="J2:J3"/>
    <mergeCell ref="J11:J12"/>
    <mergeCell ref="K11:K12"/>
    <mergeCell ref="L11:L12"/>
    <mergeCell ref="N11:N12"/>
    <mergeCell ref="Q11:Q12"/>
    <mergeCell ref="R11:R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.88"/>
    <col customWidth="1" min="2" max="2" width="11.75"/>
    <col customWidth="1" min="3" max="3" width="7.5"/>
    <col customWidth="1" min="4" max="5" width="13.88"/>
    <col customWidth="1" min="6" max="6" width="11.0"/>
    <col customWidth="1" min="7" max="7" width="19.75"/>
    <col customWidth="1" min="8" max="8" width="7.5"/>
    <col customWidth="1" min="9" max="10" width="17.5"/>
    <col customWidth="1" min="11" max="11" width="10.88"/>
    <col customWidth="1" min="12" max="12" width="15.13"/>
    <col customWidth="1" min="13" max="15" width="9.5"/>
    <col customWidth="1" min="16" max="19" width="8.75"/>
    <col customWidth="1" min="20" max="44" width="8.25"/>
    <col customWidth="1" min="45" max="47" width="9.75"/>
  </cols>
  <sheetData>
    <row r="1" ht="15.75" customHeight="1">
      <c r="A1" s="8"/>
      <c r="B1" s="1"/>
      <c r="C1" s="3"/>
      <c r="D1" s="3"/>
      <c r="E1" s="9"/>
      <c r="F1" s="5"/>
      <c r="G1" s="7"/>
      <c r="H1" s="8"/>
      <c r="I1" s="8" t="s">
        <v>1050</v>
      </c>
      <c r="K1" s="8"/>
      <c r="L1" s="1" t="s">
        <v>1051</v>
      </c>
      <c r="M1" s="101"/>
      <c r="N1" s="101"/>
      <c r="O1" s="101"/>
      <c r="P1" s="103"/>
      <c r="Q1" s="103"/>
      <c r="R1" s="103" t="s">
        <v>1052</v>
      </c>
      <c r="T1" s="102"/>
      <c r="U1" s="102"/>
      <c r="V1" s="102"/>
      <c r="W1" s="102"/>
      <c r="X1" s="103" t="s">
        <v>395</v>
      </c>
      <c r="AF1" s="103" t="s">
        <v>396</v>
      </c>
      <c r="AQ1" s="103"/>
      <c r="AR1" s="103">
        <v>2025.0</v>
      </c>
      <c r="AS1" s="102" t="s">
        <v>399</v>
      </c>
    </row>
    <row r="2" ht="15.75" customHeight="1">
      <c r="A2" s="1" t="s">
        <v>1</v>
      </c>
      <c r="B2" s="1" t="s">
        <v>3</v>
      </c>
      <c r="C2" s="9" t="s">
        <v>6</v>
      </c>
      <c r="D2" s="3" t="s">
        <v>7</v>
      </c>
      <c r="E2" s="9" t="s">
        <v>8</v>
      </c>
      <c r="F2" s="5" t="s">
        <v>9</v>
      </c>
      <c r="G2" s="10" t="s">
        <v>14</v>
      </c>
      <c r="H2" s="9" t="s">
        <v>6</v>
      </c>
      <c r="I2" s="8" t="s">
        <v>400</v>
      </c>
      <c r="J2" s="3" t="s">
        <v>401</v>
      </c>
      <c r="K2" s="9" t="s">
        <v>403</v>
      </c>
      <c r="L2" s="11" t="s">
        <v>404</v>
      </c>
      <c r="M2" s="9" t="s">
        <v>1053</v>
      </c>
      <c r="N2" s="9" t="s">
        <v>1054</v>
      </c>
      <c r="O2" s="9" t="s">
        <v>1055</v>
      </c>
      <c r="P2" s="103" t="s">
        <v>410</v>
      </c>
      <c r="Q2" s="103" t="s">
        <v>411</v>
      </c>
      <c r="R2" s="103">
        <v>11.0</v>
      </c>
      <c r="S2" s="103">
        <v>12.0</v>
      </c>
      <c r="T2" s="102">
        <v>1.0</v>
      </c>
      <c r="U2" s="102">
        <v>2.0</v>
      </c>
      <c r="V2" s="102">
        <v>3.0</v>
      </c>
      <c r="W2" s="102">
        <v>4.0</v>
      </c>
      <c r="X2" s="102">
        <v>5.0</v>
      </c>
      <c r="Y2" s="3">
        <v>6.0</v>
      </c>
      <c r="Z2" s="3">
        <v>7.0</v>
      </c>
      <c r="AA2" s="3">
        <v>8.0</v>
      </c>
      <c r="AB2" s="3">
        <v>9.0</v>
      </c>
      <c r="AC2" s="3">
        <v>10.0</v>
      </c>
      <c r="AD2" s="3">
        <v>11.0</v>
      </c>
      <c r="AE2" s="3">
        <v>12.0</v>
      </c>
      <c r="AF2" s="9">
        <v>1.0</v>
      </c>
      <c r="AG2" s="9">
        <v>2.0</v>
      </c>
      <c r="AH2" s="9">
        <v>3.0</v>
      </c>
      <c r="AI2" s="9">
        <v>4.0</v>
      </c>
      <c r="AJ2" s="9">
        <v>5.0</v>
      </c>
      <c r="AK2" s="9">
        <v>6.0</v>
      </c>
      <c r="AL2" s="9">
        <v>7.0</v>
      </c>
      <c r="AM2" s="9">
        <v>8.0</v>
      </c>
      <c r="AN2" s="9">
        <v>9.0</v>
      </c>
      <c r="AO2" s="9">
        <v>10.0</v>
      </c>
      <c r="AP2" s="9">
        <v>11.0</v>
      </c>
      <c r="AQ2" s="9">
        <v>12.0</v>
      </c>
      <c r="AR2" s="9">
        <v>1.0</v>
      </c>
      <c r="AS2" s="3" t="s">
        <v>413</v>
      </c>
      <c r="AT2" s="3" t="s">
        <v>416</v>
      </c>
      <c r="AU2" s="3" t="s">
        <v>417</v>
      </c>
    </row>
    <row r="3" ht="26.25" customHeight="1">
      <c r="A3" s="12">
        <v>1.0</v>
      </c>
      <c r="B3" s="13" t="s">
        <v>1028</v>
      </c>
      <c r="C3" s="12">
        <v>1782.0</v>
      </c>
      <c r="D3" s="16" t="s">
        <v>756</v>
      </c>
      <c r="E3" s="16" t="s">
        <v>204</v>
      </c>
      <c r="F3" s="33" t="s">
        <v>205</v>
      </c>
      <c r="G3" s="31" t="s">
        <v>1023</v>
      </c>
      <c r="H3" s="12">
        <v>11304.0</v>
      </c>
      <c r="I3" s="40" t="s">
        <v>757</v>
      </c>
      <c r="J3" s="195" t="s">
        <v>758</v>
      </c>
      <c r="K3" s="15" t="s">
        <v>420</v>
      </c>
      <c r="L3" s="21" t="s">
        <v>446</v>
      </c>
      <c r="M3" s="301">
        <v>45353.0</v>
      </c>
      <c r="N3" s="301">
        <v>45353.0</v>
      </c>
      <c r="O3" s="301">
        <v>45713.0</v>
      </c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H3" s="114">
        <v>100000.0</v>
      </c>
      <c r="AI3" s="114" t="s">
        <v>424</v>
      </c>
      <c r="AJ3" s="114"/>
      <c r="AK3" s="114"/>
      <c r="AL3" s="114"/>
      <c r="AM3" s="114"/>
      <c r="AN3" s="114"/>
      <c r="AO3" s="114"/>
      <c r="AP3" s="114"/>
      <c r="AQ3" s="114"/>
      <c r="AR3" s="114"/>
      <c r="AS3" s="116">
        <f t="shared" ref="AS3:AS40" si="1">AU3-AT3</f>
        <v>0</v>
      </c>
      <c r="AT3" s="118">
        <v>100000.0</v>
      </c>
      <c r="AU3" s="119">
        <f t="shared" ref="AU3:AU40" si="2">SUM(R3:AR3)</f>
        <v>100000</v>
      </c>
    </row>
    <row r="4" ht="26.25" customHeight="1">
      <c r="A4" s="12">
        <f t="shared" ref="A4:A40" si="3">A3+1</f>
        <v>2</v>
      </c>
      <c r="B4" s="13" t="s">
        <v>1028</v>
      </c>
      <c r="C4" s="12">
        <v>1782.0</v>
      </c>
      <c r="D4" s="16" t="s">
        <v>756</v>
      </c>
      <c r="E4" s="16" t="s">
        <v>204</v>
      </c>
      <c r="F4" s="33" t="s">
        <v>205</v>
      </c>
      <c r="G4" s="31" t="s">
        <v>1023</v>
      </c>
      <c r="H4" s="12">
        <v>11332.0</v>
      </c>
      <c r="I4" s="150" t="s">
        <v>759</v>
      </c>
      <c r="J4" s="302" t="s">
        <v>760</v>
      </c>
      <c r="K4" s="29" t="s">
        <v>420</v>
      </c>
      <c r="L4" s="303" t="s">
        <v>446</v>
      </c>
      <c r="M4" s="304">
        <v>45324.0</v>
      </c>
      <c r="N4" s="304">
        <v>45324.0</v>
      </c>
      <c r="O4" s="304">
        <v>45690.0</v>
      </c>
      <c r="P4" s="305"/>
      <c r="Q4" s="305"/>
      <c r="R4" s="305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>
        <v>100000.0</v>
      </c>
      <c r="AH4" s="114" t="s">
        <v>424</v>
      </c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6">
        <f t="shared" si="1"/>
        <v>0</v>
      </c>
      <c r="AT4" s="118">
        <v>100000.0</v>
      </c>
      <c r="AU4" s="119">
        <f t="shared" si="2"/>
        <v>100000</v>
      </c>
    </row>
    <row r="5" ht="26.25" customHeight="1">
      <c r="A5" s="12">
        <f t="shared" si="3"/>
        <v>3</v>
      </c>
      <c r="B5" s="13" t="s">
        <v>1028</v>
      </c>
      <c r="C5" s="12">
        <v>1782.0</v>
      </c>
      <c r="D5" s="16" t="s">
        <v>756</v>
      </c>
      <c r="E5" s="16" t="s">
        <v>204</v>
      </c>
      <c r="F5" s="33" t="s">
        <v>205</v>
      </c>
      <c r="G5" s="31" t="s">
        <v>1023</v>
      </c>
      <c r="H5" s="12">
        <v>11335.0</v>
      </c>
      <c r="I5" s="53" t="s">
        <v>761</v>
      </c>
      <c r="J5" s="302" t="s">
        <v>762</v>
      </c>
      <c r="K5" s="29" t="s">
        <v>420</v>
      </c>
      <c r="L5" s="303" t="s">
        <v>446</v>
      </c>
      <c r="M5" s="304">
        <v>45345.0</v>
      </c>
      <c r="N5" s="304">
        <v>45345.0</v>
      </c>
      <c r="O5" s="304">
        <v>45709.0</v>
      </c>
      <c r="P5" s="305"/>
      <c r="Q5" s="305"/>
      <c r="R5" s="305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>
        <v>100000.0</v>
      </c>
      <c r="AH5" s="114" t="s">
        <v>424</v>
      </c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6">
        <f t="shared" si="1"/>
        <v>0</v>
      </c>
      <c r="AT5" s="118">
        <v>100000.0</v>
      </c>
      <c r="AU5" s="119">
        <f t="shared" si="2"/>
        <v>100000</v>
      </c>
    </row>
    <row r="6" ht="26.25" customHeight="1">
      <c r="A6" s="12">
        <f t="shared" si="3"/>
        <v>4</v>
      </c>
      <c r="B6" s="13" t="s">
        <v>1028</v>
      </c>
      <c r="C6" s="12">
        <v>1782.0</v>
      </c>
      <c r="D6" s="16" t="s">
        <v>756</v>
      </c>
      <c r="E6" s="16" t="s">
        <v>204</v>
      </c>
      <c r="F6" s="33" t="s">
        <v>205</v>
      </c>
      <c r="G6" s="31" t="s">
        <v>1023</v>
      </c>
      <c r="H6" s="306">
        <v>12599.0</v>
      </c>
      <c r="I6" s="53" t="s">
        <v>763</v>
      </c>
      <c r="J6" s="302" t="s">
        <v>763</v>
      </c>
      <c r="K6" s="29" t="s">
        <v>420</v>
      </c>
      <c r="L6" s="303" t="s">
        <v>446</v>
      </c>
      <c r="M6" s="304">
        <v>45481.0</v>
      </c>
      <c r="N6" s="304">
        <v>45481.0</v>
      </c>
      <c r="O6" s="304">
        <v>45846.0</v>
      </c>
      <c r="P6" s="305"/>
      <c r="Q6" s="305"/>
      <c r="R6" s="305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>
        <v>100000.0</v>
      </c>
      <c r="AM6" s="114" t="s">
        <v>424</v>
      </c>
      <c r="AN6" s="114"/>
      <c r="AO6" s="114"/>
      <c r="AP6" s="114"/>
      <c r="AQ6" s="114"/>
      <c r="AR6" s="114"/>
      <c r="AS6" s="116">
        <f t="shared" si="1"/>
        <v>0</v>
      </c>
      <c r="AT6" s="118">
        <v>100000.0</v>
      </c>
      <c r="AU6" s="119">
        <f t="shared" si="2"/>
        <v>100000</v>
      </c>
    </row>
    <row r="7" ht="26.25" customHeight="1">
      <c r="A7" s="12">
        <f t="shared" si="3"/>
        <v>5</v>
      </c>
      <c r="B7" s="13" t="s">
        <v>1028</v>
      </c>
      <c r="C7" s="12">
        <v>1782.0</v>
      </c>
      <c r="D7" s="16" t="s">
        <v>756</v>
      </c>
      <c r="E7" s="16" t="s">
        <v>204</v>
      </c>
      <c r="F7" s="33" t="s">
        <v>205</v>
      </c>
      <c r="G7" s="31" t="s">
        <v>1023</v>
      </c>
      <c r="H7" s="306">
        <v>12557.0</v>
      </c>
      <c r="I7" s="53" t="s">
        <v>764</v>
      </c>
      <c r="J7" s="302" t="s">
        <v>765</v>
      </c>
      <c r="K7" s="29" t="s">
        <v>420</v>
      </c>
      <c r="L7" s="303" t="s">
        <v>446</v>
      </c>
      <c r="M7" s="304">
        <v>45481.0</v>
      </c>
      <c r="N7" s="304">
        <v>45481.0</v>
      </c>
      <c r="O7" s="304">
        <v>45842.0</v>
      </c>
      <c r="P7" s="305"/>
      <c r="Q7" s="305"/>
      <c r="R7" s="305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>
        <v>100000.0</v>
      </c>
      <c r="AM7" s="114" t="s">
        <v>424</v>
      </c>
      <c r="AN7" s="114"/>
      <c r="AO7" s="114"/>
      <c r="AP7" s="114"/>
      <c r="AQ7" s="114"/>
      <c r="AR7" s="114"/>
      <c r="AS7" s="116">
        <f t="shared" si="1"/>
        <v>0</v>
      </c>
      <c r="AT7" s="118">
        <v>100000.0</v>
      </c>
      <c r="AU7" s="119">
        <f t="shared" si="2"/>
        <v>100000</v>
      </c>
    </row>
    <row r="8" ht="26.25" customHeight="1">
      <c r="A8" s="12">
        <f t="shared" si="3"/>
        <v>6</v>
      </c>
      <c r="B8" s="13" t="s">
        <v>1028</v>
      </c>
      <c r="C8" s="12">
        <v>1782.0</v>
      </c>
      <c r="D8" s="16" t="s">
        <v>756</v>
      </c>
      <c r="E8" s="16" t="s">
        <v>204</v>
      </c>
      <c r="F8" s="33" t="s">
        <v>205</v>
      </c>
      <c r="G8" s="31" t="s">
        <v>1023</v>
      </c>
      <c r="H8" s="306">
        <v>12748.0</v>
      </c>
      <c r="I8" s="53" t="s">
        <v>766</v>
      </c>
      <c r="J8" s="302" t="s">
        <v>767</v>
      </c>
      <c r="K8" s="29" t="s">
        <v>420</v>
      </c>
      <c r="L8" s="303" t="s">
        <v>446</v>
      </c>
      <c r="M8" s="304">
        <v>45484.0</v>
      </c>
      <c r="N8" s="304">
        <v>45484.0</v>
      </c>
      <c r="O8" s="304">
        <v>45857.0</v>
      </c>
      <c r="P8" s="305"/>
      <c r="Q8" s="305"/>
      <c r="R8" s="305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>
        <v>100000.0</v>
      </c>
      <c r="AM8" s="114" t="s">
        <v>424</v>
      </c>
      <c r="AN8" s="114"/>
      <c r="AO8" s="114"/>
      <c r="AP8" s="114"/>
      <c r="AQ8" s="114"/>
      <c r="AR8" s="114"/>
      <c r="AS8" s="116">
        <f t="shared" si="1"/>
        <v>0</v>
      </c>
      <c r="AT8" s="118">
        <v>100000.0</v>
      </c>
      <c r="AU8" s="119">
        <f t="shared" si="2"/>
        <v>100000</v>
      </c>
    </row>
    <row r="9" ht="26.25" customHeight="1">
      <c r="A9" s="12">
        <f t="shared" si="3"/>
        <v>7</v>
      </c>
      <c r="B9" s="13" t="s">
        <v>1028</v>
      </c>
      <c r="C9" s="12">
        <v>1782.0</v>
      </c>
      <c r="D9" s="16" t="s">
        <v>756</v>
      </c>
      <c r="E9" s="16" t="s">
        <v>204</v>
      </c>
      <c r="F9" s="33" t="s">
        <v>205</v>
      </c>
      <c r="G9" s="31" t="s">
        <v>1023</v>
      </c>
      <c r="H9" s="33" t="s">
        <v>768</v>
      </c>
      <c r="I9" s="53" t="s">
        <v>769</v>
      </c>
      <c r="J9" s="302" t="s">
        <v>769</v>
      </c>
      <c r="K9" s="29" t="s">
        <v>420</v>
      </c>
      <c r="L9" s="303" t="s">
        <v>446</v>
      </c>
      <c r="M9" s="304">
        <v>45589.0</v>
      </c>
      <c r="N9" s="304">
        <v>45589.0</v>
      </c>
      <c r="O9" s="304">
        <v>45954.0</v>
      </c>
      <c r="P9" s="305"/>
      <c r="Q9" s="305"/>
      <c r="R9" s="305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>
        <v>100000.0</v>
      </c>
      <c r="AP9" s="114" t="s">
        <v>424</v>
      </c>
      <c r="AQ9" s="114"/>
      <c r="AR9" s="114"/>
      <c r="AS9" s="116">
        <f t="shared" si="1"/>
        <v>0</v>
      </c>
      <c r="AT9" s="118">
        <v>100000.0</v>
      </c>
      <c r="AU9" s="119">
        <f t="shared" si="2"/>
        <v>100000</v>
      </c>
    </row>
    <row r="10" ht="26.25" customHeight="1">
      <c r="A10" s="12">
        <f t="shared" si="3"/>
        <v>8</v>
      </c>
      <c r="B10" s="13" t="s">
        <v>1028</v>
      </c>
      <c r="C10" s="12">
        <v>1782.0</v>
      </c>
      <c r="D10" s="16" t="s">
        <v>756</v>
      </c>
      <c r="E10" s="16" t="s">
        <v>204</v>
      </c>
      <c r="F10" s="33"/>
      <c r="G10" s="31"/>
      <c r="H10" s="25">
        <v>14006.0</v>
      </c>
      <c r="I10" s="150" t="s">
        <v>770</v>
      </c>
      <c r="J10" s="150" t="s">
        <v>771</v>
      </c>
      <c r="K10" s="29" t="s">
        <v>420</v>
      </c>
      <c r="L10" s="303" t="s">
        <v>446</v>
      </c>
      <c r="M10" s="301"/>
      <c r="N10" s="301"/>
      <c r="O10" s="301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37">
        <v>100000.0</v>
      </c>
      <c r="AR10" s="114" t="s">
        <v>424</v>
      </c>
      <c r="AS10" s="116">
        <f t="shared" si="1"/>
        <v>100000</v>
      </c>
      <c r="AT10" s="118">
        <v>0.0</v>
      </c>
      <c r="AU10" s="119">
        <f t="shared" si="2"/>
        <v>100000</v>
      </c>
    </row>
    <row r="11" ht="26.25" customHeight="1">
      <c r="A11" s="12">
        <f t="shared" si="3"/>
        <v>9</v>
      </c>
      <c r="B11" s="13" t="s">
        <v>1028</v>
      </c>
      <c r="C11" s="15">
        <v>6343.0</v>
      </c>
      <c r="D11" s="16" t="s">
        <v>213</v>
      </c>
      <c r="E11" s="16" t="s">
        <v>214</v>
      </c>
      <c r="F11" s="33" t="s">
        <v>215</v>
      </c>
      <c r="G11" s="31" t="s">
        <v>1056</v>
      </c>
      <c r="H11" s="12">
        <v>11295.0</v>
      </c>
      <c r="I11" s="40" t="s">
        <v>777</v>
      </c>
      <c r="J11" s="40" t="s">
        <v>778</v>
      </c>
      <c r="K11" s="15" t="s">
        <v>420</v>
      </c>
      <c r="L11" s="21" t="s">
        <v>443</v>
      </c>
      <c r="M11" s="301">
        <v>45463.0</v>
      </c>
      <c r="N11" s="301">
        <v>45343.0</v>
      </c>
      <c r="O11" s="301">
        <v>45494.0</v>
      </c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>
        <v>8333.0</v>
      </c>
      <c r="AH11" s="113">
        <v>8333.0</v>
      </c>
      <c r="AI11" s="113">
        <v>8333.0</v>
      </c>
      <c r="AJ11" s="113">
        <v>8333.0</v>
      </c>
      <c r="AK11" s="113">
        <v>8333.0</v>
      </c>
      <c r="AL11" s="114" t="s">
        <v>440</v>
      </c>
      <c r="AM11" s="114" t="s">
        <v>440</v>
      </c>
      <c r="AN11" s="114" t="s">
        <v>440</v>
      </c>
      <c r="AO11" s="114" t="s">
        <v>440</v>
      </c>
      <c r="AP11" s="114" t="s">
        <v>440</v>
      </c>
      <c r="AQ11" s="114" t="s">
        <v>440</v>
      </c>
      <c r="AR11" s="114"/>
      <c r="AS11" s="116">
        <f t="shared" si="1"/>
        <v>33332</v>
      </c>
      <c r="AT11" s="118">
        <f t="shared" ref="AT11:AT12" si="4">AG11</f>
        <v>8333</v>
      </c>
      <c r="AU11" s="119">
        <f t="shared" si="2"/>
        <v>41665</v>
      </c>
    </row>
    <row r="12" ht="26.25" customHeight="1">
      <c r="A12" s="12">
        <f t="shared" si="3"/>
        <v>10</v>
      </c>
      <c r="B12" s="13" t="s">
        <v>1028</v>
      </c>
      <c r="C12" s="15">
        <v>6343.0</v>
      </c>
      <c r="D12" s="16" t="s">
        <v>213</v>
      </c>
      <c r="E12" s="16" t="s">
        <v>214</v>
      </c>
      <c r="F12" s="33" t="s">
        <v>215</v>
      </c>
      <c r="G12" s="31" t="s">
        <v>1056</v>
      </c>
      <c r="H12" s="12">
        <v>11295.0</v>
      </c>
      <c r="I12" s="40" t="s">
        <v>777</v>
      </c>
      <c r="J12" s="40" t="s">
        <v>779</v>
      </c>
      <c r="K12" s="15" t="s">
        <v>420</v>
      </c>
      <c r="L12" s="21" t="s">
        <v>443</v>
      </c>
      <c r="M12" s="301">
        <v>45615.0</v>
      </c>
      <c r="N12" s="301">
        <v>45343.0</v>
      </c>
      <c r="O12" s="301">
        <v>45645.0</v>
      </c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>
        <v>8333.0</v>
      </c>
      <c r="AH12" s="113">
        <v>8333.0</v>
      </c>
      <c r="AI12" s="113">
        <v>8333.0</v>
      </c>
      <c r="AJ12" s="113">
        <v>8333.0</v>
      </c>
      <c r="AK12" s="113">
        <v>8333.0</v>
      </c>
      <c r="AL12" s="113">
        <v>8333.0</v>
      </c>
      <c r="AM12" s="113">
        <v>8333.0</v>
      </c>
      <c r="AN12" s="113">
        <v>8333.0</v>
      </c>
      <c r="AO12" s="113">
        <v>8333.0</v>
      </c>
      <c r="AP12" s="113">
        <v>8333.0</v>
      </c>
      <c r="AQ12" s="113">
        <v>8333.0</v>
      </c>
      <c r="AR12" s="113"/>
      <c r="AS12" s="116">
        <f t="shared" si="1"/>
        <v>83330</v>
      </c>
      <c r="AT12" s="118">
        <f t="shared" si="4"/>
        <v>8333</v>
      </c>
      <c r="AU12" s="119">
        <f t="shared" si="2"/>
        <v>91663</v>
      </c>
    </row>
    <row r="13" ht="26.25" customHeight="1">
      <c r="A13" s="12">
        <f t="shared" si="3"/>
        <v>11</v>
      </c>
      <c r="B13" s="13" t="s">
        <v>1028</v>
      </c>
      <c r="C13" s="15">
        <v>6343.0</v>
      </c>
      <c r="D13" s="16" t="s">
        <v>213</v>
      </c>
      <c r="E13" s="16" t="s">
        <v>214</v>
      </c>
      <c r="F13" s="33" t="s">
        <v>215</v>
      </c>
      <c r="G13" s="31" t="s">
        <v>1056</v>
      </c>
      <c r="H13" s="12">
        <v>11703.0</v>
      </c>
      <c r="I13" s="40" t="s">
        <v>780</v>
      </c>
      <c r="J13" s="40" t="s">
        <v>780</v>
      </c>
      <c r="K13" s="15" t="s">
        <v>420</v>
      </c>
      <c r="L13" s="21" t="s">
        <v>448</v>
      </c>
      <c r="M13" s="301">
        <v>45595.0</v>
      </c>
      <c r="N13" s="301">
        <v>45379.0</v>
      </c>
      <c r="O13" s="301">
        <v>45631.0</v>
      </c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3"/>
      <c r="AH13" s="113">
        <v>12500.0</v>
      </c>
      <c r="AI13" s="114" t="s">
        <v>128</v>
      </c>
      <c r="AJ13" s="113">
        <v>12500.0</v>
      </c>
      <c r="AK13" s="113">
        <v>12500.0</v>
      </c>
      <c r="AL13" s="113">
        <v>12500.0</v>
      </c>
      <c r="AM13" s="113">
        <v>12500.0</v>
      </c>
      <c r="AN13" s="113">
        <v>12500.0</v>
      </c>
      <c r="AO13" s="113">
        <v>12500.0</v>
      </c>
      <c r="AP13" s="113">
        <v>12500.0</v>
      </c>
      <c r="AQ13" s="113">
        <v>12500.0</v>
      </c>
      <c r="AR13" s="113"/>
      <c r="AS13" s="116">
        <f t="shared" si="1"/>
        <v>112500</v>
      </c>
      <c r="AT13" s="118">
        <v>0.0</v>
      </c>
      <c r="AU13" s="119">
        <f t="shared" si="2"/>
        <v>112500</v>
      </c>
    </row>
    <row r="14" ht="26.25" customHeight="1">
      <c r="A14" s="12">
        <f t="shared" si="3"/>
        <v>12</v>
      </c>
      <c r="B14" s="13" t="s">
        <v>1028</v>
      </c>
      <c r="C14" s="15">
        <v>6343.0</v>
      </c>
      <c r="D14" s="16" t="s">
        <v>213</v>
      </c>
      <c r="E14" s="16" t="s">
        <v>214</v>
      </c>
      <c r="F14" s="33" t="s">
        <v>215</v>
      </c>
      <c r="G14" s="31" t="s">
        <v>1056</v>
      </c>
      <c r="H14" s="12">
        <v>12109.0</v>
      </c>
      <c r="I14" s="40" t="s">
        <v>781</v>
      </c>
      <c r="J14" s="40" t="s">
        <v>782</v>
      </c>
      <c r="K14" s="15" t="s">
        <v>420</v>
      </c>
      <c r="L14" s="21" t="s">
        <v>448</v>
      </c>
      <c r="M14" s="301">
        <v>45422.0</v>
      </c>
      <c r="N14" s="301">
        <v>45422.0</v>
      </c>
      <c r="O14" s="301">
        <v>45466.0</v>
      </c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3"/>
      <c r="AH14" s="113"/>
      <c r="AI14" s="113"/>
      <c r="AJ14" s="113">
        <v>12500.0</v>
      </c>
      <c r="AK14" s="114" t="s">
        <v>440</v>
      </c>
      <c r="AL14" s="114" t="s">
        <v>440</v>
      </c>
      <c r="AM14" s="114" t="s">
        <v>440</v>
      </c>
      <c r="AN14" s="114" t="s">
        <v>440</v>
      </c>
      <c r="AO14" s="114" t="s">
        <v>440</v>
      </c>
      <c r="AP14" s="114" t="s">
        <v>440</v>
      </c>
      <c r="AQ14" s="114" t="s">
        <v>440</v>
      </c>
      <c r="AR14" s="114"/>
      <c r="AS14" s="116">
        <f t="shared" si="1"/>
        <v>12500</v>
      </c>
      <c r="AT14" s="118">
        <v>0.0</v>
      </c>
      <c r="AU14" s="119">
        <f t="shared" si="2"/>
        <v>12500</v>
      </c>
    </row>
    <row r="15" ht="26.25" customHeight="1">
      <c r="A15" s="12">
        <f t="shared" si="3"/>
        <v>13</v>
      </c>
      <c r="B15" s="13" t="s">
        <v>1028</v>
      </c>
      <c r="C15" s="15">
        <v>989.0</v>
      </c>
      <c r="D15" s="16" t="s">
        <v>219</v>
      </c>
      <c r="E15" s="16" t="s">
        <v>220</v>
      </c>
      <c r="F15" s="33" t="s">
        <v>221</v>
      </c>
      <c r="G15" s="31" t="s">
        <v>1024</v>
      </c>
      <c r="H15" s="12">
        <v>11954.0</v>
      </c>
      <c r="I15" s="224" t="s">
        <v>807</v>
      </c>
      <c r="J15" s="224" t="s">
        <v>808</v>
      </c>
      <c r="K15" s="15" t="s">
        <v>420</v>
      </c>
      <c r="L15" s="21" t="s">
        <v>421</v>
      </c>
      <c r="M15" s="301">
        <v>45422.0</v>
      </c>
      <c r="N15" s="301">
        <v>45422.0</v>
      </c>
      <c r="O15" s="301">
        <v>45782.0</v>
      </c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3"/>
      <c r="AH15" s="113"/>
      <c r="AI15" s="113"/>
      <c r="AJ15" s="113">
        <v>150000.0</v>
      </c>
      <c r="AK15" s="114" t="s">
        <v>424</v>
      </c>
      <c r="AL15" s="114"/>
      <c r="AM15" s="114"/>
      <c r="AN15" s="114"/>
      <c r="AO15" s="114"/>
      <c r="AP15" s="114"/>
      <c r="AQ15" s="114"/>
      <c r="AR15" s="114"/>
      <c r="AS15" s="116">
        <f t="shared" si="1"/>
        <v>150000</v>
      </c>
      <c r="AT15" s="118">
        <v>0.0</v>
      </c>
      <c r="AU15" s="119">
        <f t="shared" si="2"/>
        <v>150000</v>
      </c>
    </row>
    <row r="16" ht="26.25" customHeight="1">
      <c r="A16" s="12">
        <f t="shared" si="3"/>
        <v>14</v>
      </c>
      <c r="B16" s="13" t="s">
        <v>1028</v>
      </c>
      <c r="C16" s="15">
        <v>989.0</v>
      </c>
      <c r="D16" s="16" t="s">
        <v>219</v>
      </c>
      <c r="E16" s="16" t="s">
        <v>220</v>
      </c>
      <c r="F16" s="33" t="s">
        <v>221</v>
      </c>
      <c r="G16" s="31" t="s">
        <v>1024</v>
      </c>
      <c r="H16" s="25" t="s">
        <v>809</v>
      </c>
      <c r="I16" s="53" t="s">
        <v>810</v>
      </c>
      <c r="J16" s="53" t="s">
        <v>811</v>
      </c>
      <c r="K16" s="15" t="s">
        <v>420</v>
      </c>
      <c r="L16" s="21" t="s">
        <v>421</v>
      </c>
      <c r="M16" s="301">
        <v>45540.0</v>
      </c>
      <c r="N16" s="301">
        <v>45534.0</v>
      </c>
      <c r="O16" s="301">
        <v>45965.0</v>
      </c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3"/>
      <c r="AH16" s="113"/>
      <c r="AI16" s="113"/>
      <c r="AJ16" s="113"/>
      <c r="AK16" s="114"/>
      <c r="AL16" s="114"/>
      <c r="AM16" s="137">
        <v>150000.0</v>
      </c>
      <c r="AN16" s="114" t="s">
        <v>424</v>
      </c>
      <c r="AO16" s="114"/>
      <c r="AP16" s="114"/>
      <c r="AQ16" s="114"/>
      <c r="AR16" s="114"/>
      <c r="AS16" s="116">
        <f t="shared" si="1"/>
        <v>150000</v>
      </c>
      <c r="AT16" s="118">
        <v>0.0</v>
      </c>
      <c r="AU16" s="119">
        <f t="shared" si="2"/>
        <v>150000</v>
      </c>
    </row>
    <row r="17" ht="26.25" customHeight="1">
      <c r="A17" s="12">
        <f t="shared" si="3"/>
        <v>15</v>
      </c>
      <c r="B17" s="13" t="s">
        <v>1028</v>
      </c>
      <c r="C17" s="15">
        <v>989.0</v>
      </c>
      <c r="D17" s="16" t="s">
        <v>219</v>
      </c>
      <c r="E17" s="16" t="s">
        <v>220</v>
      </c>
      <c r="F17" s="33" t="s">
        <v>221</v>
      </c>
      <c r="G17" s="31" t="s">
        <v>1024</v>
      </c>
      <c r="H17" s="25">
        <v>13503.0</v>
      </c>
      <c r="I17" s="53" t="s">
        <v>812</v>
      </c>
      <c r="J17" s="53" t="s">
        <v>813</v>
      </c>
      <c r="K17" s="15" t="s">
        <v>420</v>
      </c>
      <c r="L17" s="21" t="s">
        <v>439</v>
      </c>
      <c r="M17" s="301">
        <v>45574.0</v>
      </c>
      <c r="N17" s="301">
        <v>45574.0</v>
      </c>
      <c r="O17" s="301">
        <v>45765.0</v>
      </c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3"/>
      <c r="AH17" s="113"/>
      <c r="AI17" s="113"/>
      <c r="AJ17" s="113"/>
      <c r="AK17" s="114"/>
      <c r="AL17" s="114"/>
      <c r="AM17" s="114"/>
      <c r="AN17" s="114"/>
      <c r="AO17" s="137">
        <f>12500*6</f>
        <v>75000</v>
      </c>
      <c r="AP17" s="114" t="s">
        <v>128</v>
      </c>
      <c r="AQ17" s="114" t="s">
        <v>128</v>
      </c>
      <c r="AR17" s="114"/>
      <c r="AS17" s="116">
        <f t="shared" si="1"/>
        <v>75000</v>
      </c>
      <c r="AT17" s="118">
        <v>0.0</v>
      </c>
      <c r="AU17" s="119">
        <f t="shared" si="2"/>
        <v>75000</v>
      </c>
    </row>
    <row r="18" ht="26.25" customHeight="1">
      <c r="A18" s="12">
        <f t="shared" si="3"/>
        <v>16</v>
      </c>
      <c r="B18" s="13" t="s">
        <v>1028</v>
      </c>
      <c r="C18" s="15"/>
      <c r="D18" s="16" t="s">
        <v>227</v>
      </c>
      <c r="E18" s="16" t="s">
        <v>1032</v>
      </c>
      <c r="F18" s="33" t="s">
        <v>1057</v>
      </c>
      <c r="G18" s="32"/>
      <c r="H18" s="12">
        <v>9080.0</v>
      </c>
      <c r="I18" s="30" t="s">
        <v>830</v>
      </c>
      <c r="J18" s="30" t="s">
        <v>831</v>
      </c>
      <c r="K18" s="15" t="s">
        <v>420</v>
      </c>
      <c r="L18" s="21" t="s">
        <v>443</v>
      </c>
      <c r="M18" s="301">
        <v>45417.0</v>
      </c>
      <c r="N18" s="301">
        <v>45082.0</v>
      </c>
      <c r="O18" s="301">
        <v>45448.0</v>
      </c>
      <c r="P18" s="206"/>
      <c r="Q18" s="206"/>
      <c r="R18" s="206"/>
      <c r="S18" s="206"/>
      <c r="T18" s="206"/>
      <c r="U18" s="206"/>
      <c r="V18" s="206"/>
      <c r="W18" s="206"/>
      <c r="X18" s="206"/>
      <c r="Y18" s="113">
        <v>8333.0</v>
      </c>
      <c r="Z18" s="113">
        <v>8333.0</v>
      </c>
      <c r="AA18" s="113">
        <v>8333.0</v>
      </c>
      <c r="AB18" s="113">
        <v>8333.0</v>
      </c>
      <c r="AC18" s="113">
        <v>8333.0</v>
      </c>
      <c r="AD18" s="113">
        <v>8333.0</v>
      </c>
      <c r="AE18" s="113">
        <v>8333.0</v>
      </c>
      <c r="AF18" s="113">
        <v>8333.0</v>
      </c>
      <c r="AG18" s="113">
        <v>8333.0</v>
      </c>
      <c r="AH18" s="113">
        <v>8333.0</v>
      </c>
      <c r="AI18" s="113">
        <v>8333.0</v>
      </c>
      <c r="AJ18" s="113">
        <v>8333.0</v>
      </c>
      <c r="AK18" s="114" t="s">
        <v>424</v>
      </c>
      <c r="AL18" s="137"/>
      <c r="AM18" s="137"/>
      <c r="AN18" s="137"/>
      <c r="AO18" s="137"/>
      <c r="AP18" s="137"/>
      <c r="AQ18" s="137"/>
      <c r="AR18" s="137"/>
      <c r="AS18" s="116">
        <f t="shared" si="1"/>
        <v>99996</v>
      </c>
      <c r="AT18" s="118">
        <v>0.0</v>
      </c>
      <c r="AU18" s="119">
        <f t="shared" si="2"/>
        <v>99996</v>
      </c>
    </row>
    <row r="19" ht="26.25" customHeight="1">
      <c r="A19" s="12">
        <f t="shared" si="3"/>
        <v>17</v>
      </c>
      <c r="B19" s="13" t="s">
        <v>1028</v>
      </c>
      <c r="C19" s="15">
        <v>6509.0</v>
      </c>
      <c r="D19" s="51" t="s">
        <v>836</v>
      </c>
      <c r="E19" s="284" t="s">
        <v>837</v>
      </c>
      <c r="F19" s="37" t="s">
        <v>231</v>
      </c>
      <c r="G19" s="19"/>
      <c r="H19" s="12">
        <v>9074.0</v>
      </c>
      <c r="I19" s="30" t="s">
        <v>838</v>
      </c>
      <c r="J19" s="30" t="s">
        <v>839</v>
      </c>
      <c r="K19" s="15" t="s">
        <v>420</v>
      </c>
      <c r="L19" s="21" t="s">
        <v>421</v>
      </c>
      <c r="M19" s="301">
        <v>45429.0</v>
      </c>
      <c r="N19" s="301">
        <v>45072.0</v>
      </c>
      <c r="O19" s="301">
        <v>45798.0</v>
      </c>
      <c r="P19" s="114"/>
      <c r="Q19" s="114"/>
      <c r="R19" s="114"/>
      <c r="S19" s="114"/>
      <c r="T19" s="114"/>
      <c r="U19" s="114"/>
      <c r="V19" s="114"/>
      <c r="W19" s="114"/>
      <c r="X19" s="137">
        <v>150000.0</v>
      </c>
      <c r="Y19" s="114" t="s">
        <v>424</v>
      </c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14"/>
      <c r="AK19" s="114"/>
      <c r="AL19" s="114"/>
      <c r="AM19" s="114"/>
      <c r="AN19" s="114"/>
      <c r="AO19" s="114"/>
      <c r="AP19" s="114"/>
      <c r="AQ19" s="114"/>
      <c r="AR19" s="114"/>
      <c r="AS19" s="116">
        <f t="shared" si="1"/>
        <v>150000</v>
      </c>
      <c r="AT19" s="118">
        <v>0.0</v>
      </c>
      <c r="AU19" s="119">
        <f t="shared" si="2"/>
        <v>150000</v>
      </c>
    </row>
    <row r="20" ht="26.25" customHeight="1">
      <c r="A20" s="12">
        <f t="shared" si="3"/>
        <v>18</v>
      </c>
      <c r="B20" s="13" t="s">
        <v>1028</v>
      </c>
      <c r="C20" s="15">
        <v>6509.0</v>
      </c>
      <c r="D20" s="51" t="s">
        <v>836</v>
      </c>
      <c r="E20" s="284" t="s">
        <v>837</v>
      </c>
      <c r="F20" s="37" t="s">
        <v>231</v>
      </c>
      <c r="G20" s="19"/>
      <c r="H20" s="12">
        <v>9815.0</v>
      </c>
      <c r="I20" s="30" t="s">
        <v>840</v>
      </c>
      <c r="J20" s="30" t="s">
        <v>841</v>
      </c>
      <c r="K20" s="15" t="s">
        <v>420</v>
      </c>
      <c r="L20" s="21" t="s">
        <v>448</v>
      </c>
      <c r="M20" s="301">
        <v>45463.0</v>
      </c>
      <c r="N20" s="301">
        <v>45161.0</v>
      </c>
      <c r="O20" s="301">
        <v>45493.0</v>
      </c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3">
        <v>12500.0</v>
      </c>
      <c r="AB20" s="113">
        <v>12500.0</v>
      </c>
      <c r="AC20" s="113">
        <v>12500.0</v>
      </c>
      <c r="AD20" s="113">
        <v>12500.0</v>
      </c>
      <c r="AE20" s="113">
        <v>12500.0</v>
      </c>
      <c r="AF20" s="113">
        <v>12500.0</v>
      </c>
      <c r="AG20" s="113">
        <v>12500.0</v>
      </c>
      <c r="AH20" s="113">
        <v>12500.0</v>
      </c>
      <c r="AI20" s="113">
        <v>12500.0</v>
      </c>
      <c r="AJ20" s="113">
        <v>12500.0</v>
      </c>
      <c r="AK20" s="113">
        <v>12500.0</v>
      </c>
      <c r="AL20" s="113">
        <v>12500.0</v>
      </c>
      <c r="AM20" s="114" t="s">
        <v>424</v>
      </c>
      <c r="AN20" s="113"/>
      <c r="AO20" s="113"/>
      <c r="AP20" s="113"/>
      <c r="AQ20" s="113"/>
      <c r="AR20" s="113"/>
      <c r="AS20" s="116">
        <f t="shared" si="1"/>
        <v>150000</v>
      </c>
      <c r="AT20" s="118">
        <v>0.0</v>
      </c>
      <c r="AU20" s="119">
        <f t="shared" si="2"/>
        <v>150000</v>
      </c>
    </row>
    <row r="21" ht="26.25" customHeight="1">
      <c r="A21" s="12">
        <f t="shared" si="3"/>
        <v>19</v>
      </c>
      <c r="B21" s="13" t="s">
        <v>1028</v>
      </c>
      <c r="C21" s="15">
        <v>6509.0</v>
      </c>
      <c r="D21" s="51" t="s">
        <v>836</v>
      </c>
      <c r="E21" s="284" t="s">
        <v>837</v>
      </c>
      <c r="F21" s="37" t="s">
        <v>231</v>
      </c>
      <c r="G21" s="19"/>
      <c r="H21" s="12">
        <v>9815.0</v>
      </c>
      <c r="I21" s="30" t="s">
        <v>840</v>
      </c>
      <c r="J21" s="30" t="s">
        <v>842</v>
      </c>
      <c r="K21" s="15" t="s">
        <v>420</v>
      </c>
      <c r="L21" s="21" t="s">
        <v>448</v>
      </c>
      <c r="M21" s="301">
        <v>45463.0</v>
      </c>
      <c r="N21" s="301">
        <v>45161.0</v>
      </c>
      <c r="O21" s="301">
        <v>45493.0</v>
      </c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3">
        <v>12500.0</v>
      </c>
      <c r="AB21" s="113">
        <v>12500.0</v>
      </c>
      <c r="AC21" s="113">
        <v>12500.0</v>
      </c>
      <c r="AD21" s="113">
        <v>12500.0</v>
      </c>
      <c r="AE21" s="113">
        <v>12500.0</v>
      </c>
      <c r="AF21" s="113">
        <v>12500.0</v>
      </c>
      <c r="AG21" s="113">
        <v>12500.0</v>
      </c>
      <c r="AH21" s="113">
        <v>12500.0</v>
      </c>
      <c r="AI21" s="113">
        <v>12500.0</v>
      </c>
      <c r="AJ21" s="113">
        <v>12500.0</v>
      </c>
      <c r="AK21" s="113">
        <v>12500.0</v>
      </c>
      <c r="AL21" s="113">
        <v>12500.0</v>
      </c>
      <c r="AM21" s="114" t="s">
        <v>424</v>
      </c>
      <c r="AN21" s="113"/>
      <c r="AO21" s="113"/>
      <c r="AP21" s="113"/>
      <c r="AQ21" s="113"/>
      <c r="AR21" s="113"/>
      <c r="AS21" s="116">
        <f t="shared" si="1"/>
        <v>150000</v>
      </c>
      <c r="AT21" s="118">
        <v>0.0</v>
      </c>
      <c r="AU21" s="119">
        <f t="shared" si="2"/>
        <v>150000</v>
      </c>
    </row>
    <row r="22" ht="26.25" customHeight="1">
      <c r="A22" s="12">
        <f t="shared" si="3"/>
        <v>20</v>
      </c>
      <c r="B22" s="13" t="s">
        <v>1028</v>
      </c>
      <c r="C22" s="15">
        <v>6509.0</v>
      </c>
      <c r="D22" s="51" t="s">
        <v>836</v>
      </c>
      <c r="E22" s="284" t="s">
        <v>837</v>
      </c>
      <c r="F22" s="37" t="s">
        <v>231</v>
      </c>
      <c r="G22" s="19"/>
      <c r="H22" s="12">
        <v>9902.0</v>
      </c>
      <c r="I22" s="30" t="s">
        <v>843</v>
      </c>
      <c r="J22" s="30" t="s">
        <v>843</v>
      </c>
      <c r="K22" s="15" t="s">
        <v>420</v>
      </c>
      <c r="L22" s="21" t="s">
        <v>443</v>
      </c>
      <c r="M22" s="301">
        <v>45466.0</v>
      </c>
      <c r="N22" s="301">
        <v>45171.0</v>
      </c>
      <c r="O22" s="301">
        <v>45504.0</v>
      </c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3">
        <v>8333.0</v>
      </c>
      <c r="AC22" s="137" t="s">
        <v>128</v>
      </c>
      <c r="AD22" s="113">
        <v>8333.0</v>
      </c>
      <c r="AE22" s="113">
        <v>8333.0</v>
      </c>
      <c r="AF22" s="113">
        <v>8333.0</v>
      </c>
      <c r="AG22" s="113">
        <v>8333.0</v>
      </c>
      <c r="AH22" s="113">
        <v>8333.0</v>
      </c>
      <c r="AI22" s="113">
        <v>8333.0</v>
      </c>
      <c r="AJ22" s="113">
        <v>8333.0</v>
      </c>
      <c r="AK22" s="113">
        <v>8333.0</v>
      </c>
      <c r="AL22" s="113">
        <v>8333.0</v>
      </c>
      <c r="AM22" s="113">
        <v>8333.0</v>
      </c>
      <c r="AN22" s="114" t="s">
        <v>424</v>
      </c>
      <c r="AO22" s="113"/>
      <c r="AP22" s="113"/>
      <c r="AQ22" s="113"/>
      <c r="AR22" s="113"/>
      <c r="AS22" s="116">
        <f t="shared" si="1"/>
        <v>91663</v>
      </c>
      <c r="AT22" s="118">
        <v>0.0</v>
      </c>
      <c r="AU22" s="119">
        <f t="shared" si="2"/>
        <v>91663</v>
      </c>
    </row>
    <row r="23" ht="26.25" customHeight="1">
      <c r="A23" s="12">
        <f t="shared" si="3"/>
        <v>21</v>
      </c>
      <c r="B23" s="13" t="s">
        <v>1028</v>
      </c>
      <c r="C23" s="15">
        <v>6509.0</v>
      </c>
      <c r="D23" s="51" t="s">
        <v>836</v>
      </c>
      <c r="E23" s="284" t="s">
        <v>837</v>
      </c>
      <c r="F23" s="37" t="s">
        <v>231</v>
      </c>
      <c r="G23" s="19"/>
      <c r="H23" s="12">
        <v>10043.0</v>
      </c>
      <c r="I23" s="30" t="s">
        <v>844</v>
      </c>
      <c r="J23" s="30" t="s">
        <v>844</v>
      </c>
      <c r="K23" s="15" t="s">
        <v>420</v>
      </c>
      <c r="L23" s="21" t="s">
        <v>421</v>
      </c>
      <c r="M23" s="301">
        <v>45188.0</v>
      </c>
      <c r="N23" s="301">
        <v>45188.0</v>
      </c>
      <c r="O23" s="301">
        <v>45550.0</v>
      </c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37">
        <v>150000.0</v>
      </c>
      <c r="AC23" s="114" t="s">
        <v>424</v>
      </c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14"/>
      <c r="AO23" s="137"/>
      <c r="AP23" s="137"/>
      <c r="AQ23" s="137"/>
      <c r="AR23" s="137"/>
      <c r="AS23" s="116">
        <f t="shared" si="1"/>
        <v>150000</v>
      </c>
      <c r="AT23" s="118">
        <v>0.0</v>
      </c>
      <c r="AU23" s="119">
        <f t="shared" si="2"/>
        <v>150000</v>
      </c>
    </row>
    <row r="24" ht="26.25" customHeight="1">
      <c r="A24" s="12">
        <f t="shared" si="3"/>
        <v>22</v>
      </c>
      <c r="B24" s="13" t="s">
        <v>1028</v>
      </c>
      <c r="C24" s="15">
        <v>6509.0</v>
      </c>
      <c r="D24" s="51" t="s">
        <v>836</v>
      </c>
      <c r="E24" s="284" t="s">
        <v>837</v>
      </c>
      <c r="F24" s="37" t="s">
        <v>231</v>
      </c>
      <c r="G24" s="19"/>
      <c r="H24" s="12">
        <v>10856.0</v>
      </c>
      <c r="I24" s="30" t="s">
        <v>845</v>
      </c>
      <c r="J24" s="30" t="s">
        <v>846</v>
      </c>
      <c r="K24" s="15" t="s">
        <v>420</v>
      </c>
      <c r="L24" s="21" t="s">
        <v>443</v>
      </c>
      <c r="M24" s="301">
        <v>45442.0</v>
      </c>
      <c r="N24" s="301">
        <v>45293.0</v>
      </c>
      <c r="O24" s="301">
        <v>45473.0</v>
      </c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3">
        <v>8333.0</v>
      </c>
      <c r="AG24" s="113">
        <v>8333.0</v>
      </c>
      <c r="AH24" s="113">
        <v>8333.0</v>
      </c>
      <c r="AI24" s="113">
        <v>8333.0</v>
      </c>
      <c r="AJ24" s="113">
        <v>8333.0</v>
      </c>
      <c r="AK24" s="113">
        <v>8333.0</v>
      </c>
      <c r="AL24" s="113">
        <v>8333.0</v>
      </c>
      <c r="AM24" s="114" t="s">
        <v>440</v>
      </c>
      <c r="AN24" s="114" t="s">
        <v>440</v>
      </c>
      <c r="AO24" s="114" t="s">
        <v>440</v>
      </c>
      <c r="AP24" s="114" t="s">
        <v>440</v>
      </c>
      <c r="AQ24" s="114" t="s">
        <v>440</v>
      </c>
      <c r="AR24" s="113"/>
      <c r="AS24" s="116">
        <f t="shared" si="1"/>
        <v>58331</v>
      </c>
      <c r="AT24" s="118">
        <v>0.0</v>
      </c>
      <c r="AU24" s="119">
        <f t="shared" si="2"/>
        <v>58331</v>
      </c>
    </row>
    <row r="25" ht="26.25" customHeight="1">
      <c r="A25" s="12">
        <f t="shared" si="3"/>
        <v>23</v>
      </c>
      <c r="B25" s="13" t="s">
        <v>1028</v>
      </c>
      <c r="C25" s="22">
        <v>8645.0</v>
      </c>
      <c r="D25" s="53" t="s">
        <v>1058</v>
      </c>
      <c r="E25" s="53" t="s">
        <v>237</v>
      </c>
      <c r="F25" s="55" t="s">
        <v>238</v>
      </c>
      <c r="G25" s="28" t="s">
        <v>1059</v>
      </c>
      <c r="H25" s="22">
        <v>12254.0</v>
      </c>
      <c r="I25" s="53" t="s">
        <v>848</v>
      </c>
      <c r="J25" s="53" t="s">
        <v>849</v>
      </c>
      <c r="K25" s="29" t="s">
        <v>420</v>
      </c>
      <c r="L25" s="21" t="s">
        <v>421</v>
      </c>
      <c r="M25" s="301"/>
      <c r="N25" s="301"/>
      <c r="O25" s="301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3"/>
      <c r="AG25" s="113"/>
      <c r="AH25" s="113"/>
      <c r="AI25" s="113"/>
      <c r="AJ25" s="114">
        <v>150000.0</v>
      </c>
      <c r="AK25" s="114" t="s">
        <v>424</v>
      </c>
      <c r="AL25" s="113"/>
      <c r="AM25" s="114"/>
      <c r="AN25" s="114"/>
      <c r="AO25" s="114"/>
      <c r="AP25" s="114"/>
      <c r="AQ25" s="113"/>
      <c r="AR25" s="113"/>
      <c r="AS25" s="116">
        <f t="shared" si="1"/>
        <v>0</v>
      </c>
      <c r="AT25" s="118">
        <f>sum(AJ25)</f>
        <v>150000</v>
      </c>
      <c r="AU25" s="119">
        <f t="shared" si="2"/>
        <v>150000</v>
      </c>
    </row>
    <row r="26" ht="26.25" customHeight="1">
      <c r="A26" s="12">
        <f t="shared" si="3"/>
        <v>24</v>
      </c>
      <c r="B26" s="20" t="s">
        <v>1028</v>
      </c>
      <c r="C26" s="22">
        <v>8645.0</v>
      </c>
      <c r="D26" s="53" t="s">
        <v>1058</v>
      </c>
      <c r="E26" s="53" t="s">
        <v>237</v>
      </c>
      <c r="F26" s="55" t="s">
        <v>238</v>
      </c>
      <c r="G26" s="28" t="s">
        <v>1059</v>
      </c>
      <c r="H26" s="33" t="s">
        <v>850</v>
      </c>
      <c r="I26" s="69" t="s">
        <v>851</v>
      </c>
      <c r="J26" s="69" t="s">
        <v>852</v>
      </c>
      <c r="K26" s="29" t="s">
        <v>420</v>
      </c>
      <c r="L26" s="21" t="s">
        <v>439</v>
      </c>
      <c r="M26" s="307"/>
      <c r="N26" s="307"/>
      <c r="O26" s="307"/>
      <c r="P26" s="208"/>
      <c r="Q26" s="208"/>
      <c r="R26" s="208"/>
      <c r="S26" s="208"/>
      <c r="T26" s="208"/>
      <c r="U26" s="208"/>
      <c r="V26" s="208"/>
      <c r="W26" s="208"/>
      <c r="X26" s="208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4"/>
      <c r="AL26" s="208"/>
      <c r="AM26" s="208"/>
      <c r="AN26" s="208"/>
      <c r="AO26" s="208"/>
      <c r="AP26" s="208"/>
      <c r="AQ26" s="114">
        <f>12500*6</f>
        <v>75000</v>
      </c>
      <c r="AR26" s="114"/>
      <c r="AS26" s="116">
        <f t="shared" si="1"/>
        <v>0</v>
      </c>
      <c r="AT26" s="118">
        <f>sum(AQ26)</f>
        <v>75000</v>
      </c>
      <c r="AU26" s="119">
        <f t="shared" si="2"/>
        <v>75000</v>
      </c>
    </row>
    <row r="27" ht="26.25" customHeight="1">
      <c r="A27" s="12">
        <f t="shared" si="3"/>
        <v>25</v>
      </c>
      <c r="B27" s="13" t="s">
        <v>1028</v>
      </c>
      <c r="C27" s="22">
        <v>8645.0</v>
      </c>
      <c r="D27" s="53" t="s">
        <v>1058</v>
      </c>
      <c r="E27" s="53" t="s">
        <v>237</v>
      </c>
      <c r="F27" s="55" t="s">
        <v>238</v>
      </c>
      <c r="G27" s="28" t="s">
        <v>1059</v>
      </c>
      <c r="H27" s="22">
        <v>13849.0</v>
      </c>
      <c r="I27" s="150" t="s">
        <v>853</v>
      </c>
      <c r="J27" s="150" t="s">
        <v>854</v>
      </c>
      <c r="K27" s="29" t="s">
        <v>420</v>
      </c>
      <c r="L27" s="21" t="s">
        <v>421</v>
      </c>
      <c r="M27" s="301"/>
      <c r="N27" s="301"/>
      <c r="O27" s="301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3"/>
      <c r="AG27" s="113"/>
      <c r="AH27" s="113"/>
      <c r="AI27" s="113"/>
      <c r="AJ27" s="113"/>
      <c r="AK27" s="113"/>
      <c r="AL27" s="113"/>
      <c r="AM27" s="114"/>
      <c r="AN27" s="114"/>
      <c r="AO27" s="114"/>
      <c r="AP27" s="114">
        <v>150000.0</v>
      </c>
      <c r="AQ27" s="114" t="s">
        <v>424</v>
      </c>
      <c r="AR27" s="114"/>
      <c r="AS27" s="116">
        <f t="shared" si="1"/>
        <v>0</v>
      </c>
      <c r="AT27" s="118">
        <f t="shared" ref="AT27:AT28" si="5">sum(AP27)</f>
        <v>150000</v>
      </c>
      <c r="AU27" s="119">
        <f t="shared" si="2"/>
        <v>150000</v>
      </c>
    </row>
    <row r="28" ht="26.25" customHeight="1">
      <c r="A28" s="12">
        <f t="shared" si="3"/>
        <v>26</v>
      </c>
      <c r="B28" s="13" t="s">
        <v>1028</v>
      </c>
      <c r="C28" s="12"/>
      <c r="D28" s="53" t="s">
        <v>1060</v>
      </c>
      <c r="E28" s="53" t="s">
        <v>1061</v>
      </c>
      <c r="F28" s="55" t="s">
        <v>1062</v>
      </c>
      <c r="G28" s="212" t="s">
        <v>1063</v>
      </c>
      <c r="H28" s="141">
        <v>13940.0</v>
      </c>
      <c r="I28" s="143" t="s">
        <v>814</v>
      </c>
      <c r="J28" s="143" t="s">
        <v>815</v>
      </c>
      <c r="K28" s="15" t="s">
        <v>432</v>
      </c>
      <c r="L28" s="21" t="s">
        <v>421</v>
      </c>
      <c r="M28" s="301"/>
      <c r="N28" s="301"/>
      <c r="O28" s="301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3"/>
      <c r="AG28" s="113"/>
      <c r="AH28" s="113"/>
      <c r="AI28" s="113"/>
      <c r="AJ28" s="113"/>
      <c r="AK28" s="113"/>
      <c r="AL28" s="113"/>
      <c r="AM28" s="114"/>
      <c r="AN28" s="114"/>
      <c r="AO28" s="114"/>
      <c r="AP28" s="114"/>
      <c r="AQ28" s="137">
        <v>181720.0</v>
      </c>
      <c r="AR28" s="114" t="s">
        <v>424</v>
      </c>
      <c r="AS28" s="116">
        <f t="shared" si="1"/>
        <v>181720</v>
      </c>
      <c r="AT28" s="118">
        <f t="shared" si="5"/>
        <v>0</v>
      </c>
      <c r="AU28" s="119">
        <f t="shared" si="2"/>
        <v>181720</v>
      </c>
    </row>
    <row r="29" ht="26.25" customHeight="1">
      <c r="A29" s="12">
        <f t="shared" si="3"/>
        <v>27</v>
      </c>
      <c r="B29" s="13" t="s">
        <v>22</v>
      </c>
      <c r="C29" s="250"/>
      <c r="D29" s="16" t="s">
        <v>867</v>
      </c>
      <c r="E29" s="16" t="s">
        <v>253</v>
      </c>
      <c r="F29" s="33" t="s">
        <v>254</v>
      </c>
      <c r="G29" s="63" t="s">
        <v>1064</v>
      </c>
      <c r="H29" s="12">
        <v>9701.0</v>
      </c>
      <c r="I29" s="30" t="s">
        <v>868</v>
      </c>
      <c r="J29" s="214" t="s">
        <v>869</v>
      </c>
      <c r="K29" s="15" t="s">
        <v>420</v>
      </c>
      <c r="L29" s="21" t="s">
        <v>421</v>
      </c>
      <c r="M29" s="301">
        <v>45140.0</v>
      </c>
      <c r="N29" s="301">
        <v>45140.0</v>
      </c>
      <c r="O29" s="301">
        <v>45510.0</v>
      </c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AA29" s="137">
        <v>150000.0</v>
      </c>
      <c r="AB29" s="114" t="s">
        <v>424</v>
      </c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37"/>
      <c r="AN29" s="137"/>
      <c r="AO29" s="137"/>
      <c r="AP29" s="137"/>
      <c r="AQ29" s="137"/>
      <c r="AR29" s="137"/>
      <c r="AS29" s="116">
        <f t="shared" si="1"/>
        <v>150000</v>
      </c>
      <c r="AT29" s="118">
        <v>0.0</v>
      </c>
      <c r="AU29" s="119">
        <f t="shared" si="2"/>
        <v>150000</v>
      </c>
    </row>
    <row r="30" ht="26.25" customHeight="1">
      <c r="A30" s="12">
        <f t="shared" si="3"/>
        <v>28</v>
      </c>
      <c r="B30" s="13" t="s">
        <v>22</v>
      </c>
      <c r="C30" s="250"/>
      <c r="D30" s="16" t="s">
        <v>867</v>
      </c>
      <c r="E30" s="16" t="s">
        <v>253</v>
      </c>
      <c r="F30" s="33" t="s">
        <v>254</v>
      </c>
      <c r="G30" s="63" t="s">
        <v>1064</v>
      </c>
      <c r="H30" s="12">
        <v>10487.0</v>
      </c>
      <c r="I30" s="30" t="s">
        <v>870</v>
      </c>
      <c r="J30" s="214" t="s">
        <v>871</v>
      </c>
      <c r="K30" s="15" t="s">
        <v>420</v>
      </c>
      <c r="L30" s="21" t="s">
        <v>448</v>
      </c>
      <c r="M30" s="301">
        <v>45604.0</v>
      </c>
      <c r="N30" s="301">
        <v>45225.0</v>
      </c>
      <c r="O30" s="301">
        <v>45634.0</v>
      </c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37">
        <v>12500.0</v>
      </c>
      <c r="AD30" s="137" t="s">
        <v>128</v>
      </c>
      <c r="AE30" s="137">
        <v>12500.0</v>
      </c>
      <c r="AF30" s="137">
        <v>12500.0</v>
      </c>
      <c r="AG30" s="137">
        <v>12500.0</v>
      </c>
      <c r="AH30" s="137">
        <v>12500.0</v>
      </c>
      <c r="AI30" s="137">
        <v>12500.0</v>
      </c>
      <c r="AJ30" s="137">
        <v>12500.0</v>
      </c>
      <c r="AK30" s="137">
        <v>12500.0</v>
      </c>
      <c r="AL30" s="137">
        <v>12500.0</v>
      </c>
      <c r="AM30" s="137">
        <v>12500.0</v>
      </c>
      <c r="AN30" s="137">
        <v>12500.0</v>
      </c>
      <c r="AO30" s="114" t="s">
        <v>424</v>
      </c>
      <c r="AS30" s="116">
        <f t="shared" si="1"/>
        <v>137500</v>
      </c>
      <c r="AT30" s="118">
        <v>0.0</v>
      </c>
      <c r="AU30" s="119">
        <f t="shared" si="2"/>
        <v>137500</v>
      </c>
    </row>
    <row r="31" ht="26.25" customHeight="1">
      <c r="A31" s="12">
        <f t="shared" si="3"/>
        <v>29</v>
      </c>
      <c r="B31" s="13" t="s">
        <v>22</v>
      </c>
      <c r="C31" s="15">
        <v>10717.0</v>
      </c>
      <c r="D31" s="16" t="s">
        <v>260</v>
      </c>
      <c r="E31" s="213" t="s">
        <v>884</v>
      </c>
      <c r="F31" s="172" t="s">
        <v>262</v>
      </c>
      <c r="G31" s="63" t="s">
        <v>266</v>
      </c>
      <c r="H31" s="12">
        <v>10762.0</v>
      </c>
      <c r="I31" s="30" t="s">
        <v>885</v>
      </c>
      <c r="J31" s="30" t="s">
        <v>885</v>
      </c>
      <c r="K31" s="15" t="s">
        <v>420</v>
      </c>
      <c r="L31" s="21" t="s">
        <v>446</v>
      </c>
      <c r="M31" s="301">
        <v>45308.0</v>
      </c>
      <c r="N31" s="301">
        <v>45308.0</v>
      </c>
      <c r="O31" s="301">
        <v>45668.0</v>
      </c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>
        <v>100000.0</v>
      </c>
      <c r="AG31" s="114" t="s">
        <v>424</v>
      </c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6">
        <f t="shared" si="1"/>
        <v>0</v>
      </c>
      <c r="AT31" s="118">
        <f>sum(AF31:AK31)</f>
        <v>100000</v>
      </c>
      <c r="AU31" s="119">
        <f t="shared" si="2"/>
        <v>100000</v>
      </c>
    </row>
    <row r="32" ht="26.25" customHeight="1">
      <c r="A32" s="12">
        <f t="shared" si="3"/>
        <v>30</v>
      </c>
      <c r="B32" s="13" t="s">
        <v>22</v>
      </c>
      <c r="C32" s="15">
        <v>10717.0</v>
      </c>
      <c r="D32" s="16" t="s">
        <v>260</v>
      </c>
      <c r="E32" s="16" t="s">
        <v>884</v>
      </c>
      <c r="F32" s="69" t="s">
        <v>262</v>
      </c>
      <c r="G32" s="63" t="s">
        <v>1065</v>
      </c>
      <c r="H32" s="12">
        <v>12254.0</v>
      </c>
      <c r="I32" s="40" t="s">
        <v>848</v>
      </c>
      <c r="J32" s="40" t="s">
        <v>849</v>
      </c>
      <c r="K32" s="15" t="s">
        <v>420</v>
      </c>
      <c r="L32" s="21" t="s">
        <v>421</v>
      </c>
      <c r="M32" s="301">
        <v>45440.0</v>
      </c>
      <c r="N32" s="301">
        <v>45440.0</v>
      </c>
      <c r="O32" s="301">
        <v>45812.0</v>
      </c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>
        <v>150000.0</v>
      </c>
      <c r="AK32" s="114" t="s">
        <v>424</v>
      </c>
      <c r="AL32" s="114"/>
      <c r="AM32" s="114"/>
      <c r="AN32" s="114"/>
      <c r="AO32" s="114"/>
      <c r="AP32" s="114"/>
      <c r="AQ32" s="114"/>
      <c r="AR32" s="114"/>
      <c r="AS32" s="116">
        <f t="shared" si="1"/>
        <v>0</v>
      </c>
      <c r="AT32" s="118">
        <v>150000.0</v>
      </c>
      <c r="AU32" s="119">
        <f t="shared" si="2"/>
        <v>150000</v>
      </c>
    </row>
    <row r="33" ht="26.25" customHeight="1">
      <c r="A33" s="12">
        <f t="shared" si="3"/>
        <v>31</v>
      </c>
      <c r="B33" s="13" t="s">
        <v>43</v>
      </c>
      <c r="C33" s="15">
        <v>5836.0</v>
      </c>
      <c r="D33" s="16" t="s">
        <v>268</v>
      </c>
      <c r="E33" s="16" t="s">
        <v>269</v>
      </c>
      <c r="F33" s="33" t="s">
        <v>270</v>
      </c>
      <c r="G33" s="16" t="s">
        <v>273</v>
      </c>
      <c r="H33" s="12">
        <v>10227.0</v>
      </c>
      <c r="I33" s="30" t="s">
        <v>886</v>
      </c>
      <c r="J33" s="214" t="s">
        <v>887</v>
      </c>
      <c r="K33" s="15" t="s">
        <v>420</v>
      </c>
      <c r="L33" s="21" t="s">
        <v>421</v>
      </c>
      <c r="M33" s="301">
        <v>45207.0</v>
      </c>
      <c r="N33" s="301">
        <v>45200.0</v>
      </c>
      <c r="O33" s="301">
        <v>45569.0</v>
      </c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37">
        <v>150000.0</v>
      </c>
      <c r="AD33" s="114" t="s">
        <v>424</v>
      </c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6">
        <f t="shared" si="1"/>
        <v>150000</v>
      </c>
      <c r="AT33" s="118">
        <f>sum(AF33:AK33)</f>
        <v>0</v>
      </c>
      <c r="AU33" s="119">
        <f t="shared" si="2"/>
        <v>150000</v>
      </c>
    </row>
    <row r="34" ht="26.25" customHeight="1">
      <c r="A34" s="12">
        <f t="shared" si="3"/>
        <v>32</v>
      </c>
      <c r="B34" s="13" t="s">
        <v>43</v>
      </c>
      <c r="C34" s="15">
        <v>4896.0</v>
      </c>
      <c r="D34" s="16" t="s">
        <v>274</v>
      </c>
      <c r="E34" s="16" t="s">
        <v>275</v>
      </c>
      <c r="F34" s="33" t="s">
        <v>356</v>
      </c>
      <c r="G34" s="63" t="s">
        <v>1066</v>
      </c>
      <c r="H34" s="12">
        <v>10725.0</v>
      </c>
      <c r="I34" s="30" t="s">
        <v>888</v>
      </c>
      <c r="J34" s="214" t="s">
        <v>889</v>
      </c>
      <c r="K34" s="15" t="s">
        <v>420</v>
      </c>
      <c r="L34" s="21" t="s">
        <v>443</v>
      </c>
      <c r="M34" s="301">
        <v>45461.0</v>
      </c>
      <c r="N34" s="301">
        <v>45258.0</v>
      </c>
      <c r="O34" s="301">
        <v>45491.0</v>
      </c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113">
        <v>8333.0</v>
      </c>
      <c r="AE34" s="114" t="s">
        <v>128</v>
      </c>
      <c r="AF34" s="113">
        <v>8333.0</v>
      </c>
      <c r="AG34" s="113">
        <v>8333.0</v>
      </c>
      <c r="AH34" s="113">
        <v>8333.0</v>
      </c>
      <c r="AI34" s="113">
        <v>8333.0</v>
      </c>
      <c r="AJ34" s="113">
        <v>8333.0</v>
      </c>
      <c r="AK34" s="113">
        <v>8333.0</v>
      </c>
      <c r="AL34" s="113">
        <v>8333.0</v>
      </c>
      <c r="AM34" s="113">
        <v>8333.0</v>
      </c>
      <c r="AN34" s="113">
        <v>8333.0</v>
      </c>
      <c r="AO34" s="113">
        <v>8333.0</v>
      </c>
      <c r="AP34" s="114" t="s">
        <v>424</v>
      </c>
      <c r="AQ34" s="114"/>
      <c r="AR34" s="114"/>
      <c r="AS34" s="116">
        <f t="shared" si="1"/>
        <v>91663</v>
      </c>
      <c r="AT34" s="118">
        <v>0.0</v>
      </c>
      <c r="AU34" s="119">
        <f t="shared" si="2"/>
        <v>91663</v>
      </c>
    </row>
    <row r="35" ht="26.25" customHeight="1">
      <c r="A35" s="12">
        <f t="shared" si="3"/>
        <v>33</v>
      </c>
      <c r="B35" s="13" t="s">
        <v>43</v>
      </c>
      <c r="C35" s="15">
        <v>7233.0</v>
      </c>
      <c r="D35" s="16" t="s">
        <v>280</v>
      </c>
      <c r="E35" s="16" t="s">
        <v>281</v>
      </c>
      <c r="F35" s="33" t="s">
        <v>282</v>
      </c>
      <c r="G35" s="32"/>
      <c r="H35" s="12">
        <v>11930.0</v>
      </c>
      <c r="I35" s="30" t="s">
        <v>890</v>
      </c>
      <c r="J35" s="213" t="s">
        <v>891</v>
      </c>
      <c r="K35" s="15" t="s">
        <v>420</v>
      </c>
      <c r="L35" s="21" t="s">
        <v>421</v>
      </c>
      <c r="M35" s="301">
        <v>45415.0</v>
      </c>
      <c r="N35" s="301">
        <v>45405.0</v>
      </c>
      <c r="O35" s="301">
        <v>45779.0</v>
      </c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114"/>
      <c r="AE35" s="114"/>
      <c r="AF35" s="114"/>
      <c r="AG35" s="114"/>
      <c r="AH35" s="114"/>
      <c r="AI35" s="114">
        <v>150000.0</v>
      </c>
      <c r="AJ35" s="114" t="s">
        <v>424</v>
      </c>
      <c r="AK35" s="114"/>
      <c r="AL35" s="114"/>
      <c r="AM35" s="114"/>
      <c r="AN35" s="114"/>
      <c r="AO35" s="114"/>
      <c r="AP35" s="114"/>
      <c r="AQ35" s="114"/>
      <c r="AR35" s="114"/>
      <c r="AS35" s="116">
        <f t="shared" si="1"/>
        <v>0</v>
      </c>
      <c r="AT35" s="118">
        <f>sum(AF35:AK35)</f>
        <v>150000</v>
      </c>
      <c r="AU35" s="119">
        <f t="shared" si="2"/>
        <v>150000</v>
      </c>
    </row>
    <row r="36" ht="26.25" customHeight="1">
      <c r="A36" s="12">
        <f t="shared" si="3"/>
        <v>34</v>
      </c>
      <c r="B36" s="13" t="s">
        <v>43</v>
      </c>
      <c r="C36" s="15">
        <v>2700.0</v>
      </c>
      <c r="D36" s="16" t="s">
        <v>286</v>
      </c>
      <c r="E36" s="16" t="s">
        <v>287</v>
      </c>
      <c r="F36" s="33" t="s">
        <v>288</v>
      </c>
      <c r="G36" s="65" t="s">
        <v>297</v>
      </c>
      <c r="H36" s="12">
        <v>8412.0</v>
      </c>
      <c r="I36" s="30" t="s">
        <v>892</v>
      </c>
      <c r="J36" s="214" t="s">
        <v>893</v>
      </c>
      <c r="K36" s="15" t="s">
        <v>420</v>
      </c>
      <c r="L36" s="21" t="s">
        <v>443</v>
      </c>
      <c r="M36" s="301">
        <v>45168.0</v>
      </c>
      <c r="N36" s="301">
        <v>44997.0</v>
      </c>
      <c r="O36" s="301">
        <v>45199.0</v>
      </c>
      <c r="P36" s="159"/>
      <c r="Q36" s="159"/>
      <c r="R36" s="159"/>
      <c r="S36" s="159"/>
      <c r="T36" s="159"/>
      <c r="U36" s="159"/>
      <c r="V36" s="126">
        <v>8333.0</v>
      </c>
      <c r="W36" s="126">
        <v>8333.0</v>
      </c>
      <c r="X36" s="126">
        <v>8333.0</v>
      </c>
      <c r="Y36" s="114">
        <v>8333.0</v>
      </c>
      <c r="Z36" s="113" t="s">
        <v>440</v>
      </c>
      <c r="AA36" s="114">
        <v>8333.0</v>
      </c>
      <c r="AB36" s="114">
        <v>8333.0</v>
      </c>
      <c r="AC36" s="113" t="s">
        <v>440</v>
      </c>
      <c r="AD36" s="113" t="s">
        <v>440</v>
      </c>
      <c r="AE36" s="113" t="s">
        <v>440</v>
      </c>
      <c r="AF36" s="113">
        <v>8333.0</v>
      </c>
      <c r="AG36" s="113">
        <v>8333.0</v>
      </c>
      <c r="AH36" s="114" t="s">
        <v>424</v>
      </c>
      <c r="AI36" s="113"/>
      <c r="AJ36" s="113"/>
      <c r="AK36" s="113"/>
      <c r="AL36" s="113"/>
      <c r="AM36" s="114"/>
      <c r="AN36" s="114"/>
      <c r="AO36" s="114"/>
      <c r="AP36" s="114"/>
      <c r="AQ36" s="114"/>
      <c r="AR36" s="114"/>
      <c r="AS36" s="116">
        <f t="shared" si="1"/>
        <v>24999</v>
      </c>
      <c r="AT36" s="118">
        <f>sum(V36:AA36)</f>
        <v>41665</v>
      </c>
      <c r="AU36" s="119">
        <f t="shared" si="2"/>
        <v>66664</v>
      </c>
    </row>
    <row r="37" ht="26.25" customHeight="1">
      <c r="A37" s="12">
        <f t="shared" si="3"/>
        <v>35</v>
      </c>
      <c r="B37" s="13" t="s">
        <v>43</v>
      </c>
      <c r="C37" s="15">
        <v>2700.0</v>
      </c>
      <c r="D37" s="16" t="s">
        <v>286</v>
      </c>
      <c r="E37" s="16" t="s">
        <v>287</v>
      </c>
      <c r="F37" s="33" t="s">
        <v>288</v>
      </c>
      <c r="G37" s="65" t="s">
        <v>297</v>
      </c>
      <c r="H37" s="12">
        <v>7537.0</v>
      </c>
      <c r="I37" s="30" t="s">
        <v>894</v>
      </c>
      <c r="J37" s="30" t="s">
        <v>286</v>
      </c>
      <c r="K37" s="15" t="s">
        <v>420</v>
      </c>
      <c r="L37" s="21" t="s">
        <v>443</v>
      </c>
      <c r="M37" s="301">
        <v>45224.0</v>
      </c>
      <c r="N37" s="301">
        <v>44893.0</v>
      </c>
      <c r="O37" s="301">
        <v>45254.0</v>
      </c>
      <c r="P37" s="126"/>
      <c r="Q37" s="126"/>
      <c r="R37" s="126">
        <v>8333.0</v>
      </c>
      <c r="S37" s="126">
        <v>8333.0</v>
      </c>
      <c r="T37" s="126">
        <v>8333.0</v>
      </c>
      <c r="U37" s="126">
        <v>8333.0</v>
      </c>
      <c r="V37" s="126">
        <v>8333.0</v>
      </c>
      <c r="W37" s="126">
        <v>8333.0</v>
      </c>
      <c r="X37" s="159">
        <v>8333.0</v>
      </c>
      <c r="Y37" s="114">
        <v>8333.0</v>
      </c>
      <c r="Z37" s="114">
        <v>8333.0</v>
      </c>
      <c r="AA37" s="114">
        <v>8333.0</v>
      </c>
      <c r="AB37" s="114">
        <v>8333.0</v>
      </c>
      <c r="AC37" s="114">
        <v>8333.0</v>
      </c>
      <c r="AD37" s="114" t="s">
        <v>424</v>
      </c>
      <c r="AE37" s="137"/>
      <c r="AF37" s="137"/>
      <c r="AG37" s="137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6">
        <f t="shared" si="1"/>
        <v>0</v>
      </c>
      <c r="AT37" s="118">
        <f t="shared" ref="AT37:AT38" si="6">sum(R37:AC37)</f>
        <v>99996</v>
      </c>
      <c r="AU37" s="119">
        <f t="shared" si="2"/>
        <v>99996</v>
      </c>
    </row>
    <row r="38" ht="26.25" customHeight="1">
      <c r="A38" s="12">
        <f t="shared" si="3"/>
        <v>36</v>
      </c>
      <c r="B38" s="13" t="s">
        <v>43</v>
      </c>
      <c r="C38" s="15">
        <v>2700.0</v>
      </c>
      <c r="D38" s="16" t="s">
        <v>286</v>
      </c>
      <c r="E38" s="16" t="s">
        <v>287</v>
      </c>
      <c r="F38" s="33" t="s">
        <v>288</v>
      </c>
      <c r="G38" s="65" t="s">
        <v>297</v>
      </c>
      <c r="H38" s="12">
        <v>7425.0</v>
      </c>
      <c r="I38" s="30" t="s">
        <v>895</v>
      </c>
      <c r="J38" s="30" t="s">
        <v>896</v>
      </c>
      <c r="K38" s="15" t="s">
        <v>420</v>
      </c>
      <c r="L38" s="21" t="s">
        <v>443</v>
      </c>
      <c r="M38" s="301">
        <v>45211.0</v>
      </c>
      <c r="N38" s="301">
        <v>44881.0</v>
      </c>
      <c r="O38" s="301">
        <v>45241.0</v>
      </c>
      <c r="P38" s="126"/>
      <c r="Q38" s="126"/>
      <c r="R38" s="126">
        <v>8333.0</v>
      </c>
      <c r="S38" s="126">
        <v>8333.0</v>
      </c>
      <c r="T38" s="126">
        <v>8333.0</v>
      </c>
      <c r="U38" s="126">
        <v>8333.0</v>
      </c>
      <c r="V38" s="126">
        <v>8333.0</v>
      </c>
      <c r="W38" s="126">
        <v>8333.0</v>
      </c>
      <c r="X38" s="126">
        <v>8333.0</v>
      </c>
      <c r="Y38" s="114">
        <v>8333.0</v>
      </c>
      <c r="Z38" s="114">
        <v>8333.0</v>
      </c>
      <c r="AA38" s="114">
        <v>8333.0</v>
      </c>
      <c r="AB38" s="114">
        <v>8333.0</v>
      </c>
      <c r="AC38" s="114">
        <v>8333.0</v>
      </c>
      <c r="AD38" s="114" t="s">
        <v>424</v>
      </c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6">
        <f t="shared" si="1"/>
        <v>0</v>
      </c>
      <c r="AT38" s="118">
        <f t="shared" si="6"/>
        <v>99996</v>
      </c>
      <c r="AU38" s="119">
        <f t="shared" si="2"/>
        <v>99996</v>
      </c>
    </row>
    <row r="39" ht="26.25" customHeight="1">
      <c r="A39" s="12">
        <f t="shared" si="3"/>
        <v>37</v>
      </c>
      <c r="B39" s="13" t="s">
        <v>43</v>
      </c>
      <c r="C39" s="15">
        <v>2700.0</v>
      </c>
      <c r="D39" s="16" t="s">
        <v>286</v>
      </c>
      <c r="E39" s="16" t="s">
        <v>287</v>
      </c>
      <c r="F39" s="33" t="s">
        <v>288</v>
      </c>
      <c r="G39" s="65" t="s">
        <v>297</v>
      </c>
      <c r="H39" s="12">
        <v>8412.0</v>
      </c>
      <c r="I39" s="30" t="s">
        <v>892</v>
      </c>
      <c r="J39" s="30" t="s">
        <v>897</v>
      </c>
      <c r="K39" s="15" t="s">
        <v>420</v>
      </c>
      <c r="L39" s="21" t="s">
        <v>443</v>
      </c>
      <c r="M39" s="301">
        <v>45589.0</v>
      </c>
      <c r="N39" s="301">
        <v>45109.0</v>
      </c>
      <c r="O39" s="301">
        <v>45620.0</v>
      </c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14">
        <v>8333.0</v>
      </c>
      <c r="AA39" s="114">
        <v>8333.0</v>
      </c>
      <c r="AB39" s="114">
        <v>8333.0</v>
      </c>
      <c r="AC39" s="114">
        <v>8333.0</v>
      </c>
      <c r="AD39" s="113">
        <v>8333.0</v>
      </c>
      <c r="AE39" s="113">
        <v>8333.0</v>
      </c>
      <c r="AF39" s="113">
        <v>8333.0</v>
      </c>
      <c r="AG39" s="113">
        <v>8333.0</v>
      </c>
      <c r="AH39" s="113">
        <v>8333.0</v>
      </c>
      <c r="AI39" s="113">
        <v>8333.0</v>
      </c>
      <c r="AJ39" s="113">
        <v>8333.0</v>
      </c>
      <c r="AK39" s="113">
        <v>8333.0</v>
      </c>
      <c r="AL39" s="114" t="s">
        <v>424</v>
      </c>
      <c r="AM39" s="113"/>
      <c r="AN39" s="113"/>
      <c r="AO39" s="113"/>
      <c r="AP39" s="113"/>
      <c r="AQ39" s="113"/>
      <c r="AR39" s="113"/>
      <c r="AS39" s="116">
        <f t="shared" si="1"/>
        <v>66664</v>
      </c>
      <c r="AT39" s="118">
        <f>sum(Z39:AC39)</f>
        <v>33332</v>
      </c>
      <c r="AU39" s="119">
        <f t="shared" si="2"/>
        <v>99996</v>
      </c>
    </row>
    <row r="40" ht="26.25" customHeight="1">
      <c r="A40" s="12">
        <f t="shared" si="3"/>
        <v>38</v>
      </c>
      <c r="B40" s="13" t="s">
        <v>43</v>
      </c>
      <c r="C40" s="250"/>
      <c r="D40" s="215" t="s">
        <v>292</v>
      </c>
      <c r="E40" s="215" t="s">
        <v>1067</v>
      </c>
      <c r="F40" s="33" t="s">
        <v>294</v>
      </c>
      <c r="G40" s="308"/>
      <c r="H40" s="25" t="s">
        <v>898</v>
      </c>
      <c r="I40" s="150" t="s">
        <v>899</v>
      </c>
      <c r="J40" s="150" t="s">
        <v>607</v>
      </c>
      <c r="K40" s="15" t="s">
        <v>420</v>
      </c>
      <c r="L40" s="21" t="s">
        <v>421</v>
      </c>
      <c r="M40" s="301">
        <v>45523.0</v>
      </c>
      <c r="N40" s="301">
        <v>45519.0</v>
      </c>
      <c r="O40" s="301">
        <v>45892.0</v>
      </c>
      <c r="P40" s="159"/>
      <c r="Q40" s="159"/>
      <c r="R40" s="159"/>
      <c r="S40" s="206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>
        <v>150000.0</v>
      </c>
      <c r="AN40" s="114" t="s">
        <v>424</v>
      </c>
      <c r="AO40" s="114"/>
      <c r="AP40" s="114"/>
      <c r="AQ40" s="114"/>
      <c r="AR40" s="114"/>
      <c r="AS40" s="116">
        <f t="shared" si="1"/>
        <v>0</v>
      </c>
      <c r="AT40" s="118">
        <f>AM40</f>
        <v>150000</v>
      </c>
      <c r="AU40" s="119">
        <f t="shared" si="2"/>
        <v>150000</v>
      </c>
    </row>
    <row r="41" ht="27.0" customHeight="1">
      <c r="A41" s="94"/>
      <c r="B41" s="94"/>
      <c r="C41" s="239"/>
      <c r="D41" s="240">
        <f t="array" ref="D41">sum(1/countif(D3:D40,D3:D40))</f>
        <v>13</v>
      </c>
      <c r="E41" s="241"/>
      <c r="F41" s="309"/>
      <c r="G41" s="310"/>
      <c r="H41" s="309"/>
      <c r="I41" s="311">
        <f t="array" ref="I41">sum(1/countif(I3:I40,I3:I40))</f>
        <v>34</v>
      </c>
      <c r="J41" s="98" t="s">
        <v>1002</v>
      </c>
      <c r="K41" s="98"/>
      <c r="L41" s="98"/>
      <c r="M41" s="246"/>
      <c r="N41" s="246"/>
      <c r="O41" s="246"/>
      <c r="P41" s="247"/>
      <c r="Q41" s="247"/>
      <c r="R41" s="247">
        <f t="shared" ref="R41:AP41" si="7">sum(R3:R40)</f>
        <v>16666</v>
      </c>
      <c r="S41" s="247">
        <f t="shared" si="7"/>
        <v>16666</v>
      </c>
      <c r="T41" s="247">
        <f t="shared" si="7"/>
        <v>16666</v>
      </c>
      <c r="U41" s="247">
        <f t="shared" si="7"/>
        <v>16666</v>
      </c>
      <c r="V41" s="247">
        <f t="shared" si="7"/>
        <v>24999</v>
      </c>
      <c r="W41" s="247">
        <f t="shared" si="7"/>
        <v>24999</v>
      </c>
      <c r="X41" s="247">
        <f t="shared" si="7"/>
        <v>174999</v>
      </c>
      <c r="Y41" s="247">
        <f t="shared" si="7"/>
        <v>33332</v>
      </c>
      <c r="Z41" s="247">
        <f t="shared" si="7"/>
        <v>33332</v>
      </c>
      <c r="AA41" s="247">
        <f t="shared" si="7"/>
        <v>216665</v>
      </c>
      <c r="AB41" s="247">
        <f t="shared" si="7"/>
        <v>224998</v>
      </c>
      <c r="AC41" s="247">
        <f t="shared" si="7"/>
        <v>220832</v>
      </c>
      <c r="AD41" s="247">
        <f t="shared" si="7"/>
        <v>58332</v>
      </c>
      <c r="AE41" s="247">
        <f t="shared" si="7"/>
        <v>62499</v>
      </c>
      <c r="AF41" s="247">
        <f t="shared" si="7"/>
        <v>187498</v>
      </c>
      <c r="AG41" s="247">
        <f t="shared" si="7"/>
        <v>304164</v>
      </c>
      <c r="AH41" s="247">
        <f t="shared" si="7"/>
        <v>208331</v>
      </c>
      <c r="AI41" s="247">
        <f t="shared" si="7"/>
        <v>245831</v>
      </c>
      <c r="AJ41" s="247">
        <f t="shared" si="7"/>
        <v>570831</v>
      </c>
      <c r="AK41" s="247">
        <f t="shared" si="7"/>
        <v>99998</v>
      </c>
      <c r="AL41" s="247">
        <f t="shared" si="7"/>
        <v>383332</v>
      </c>
      <c r="AM41" s="247">
        <f t="shared" si="7"/>
        <v>349999</v>
      </c>
      <c r="AN41" s="247">
        <f t="shared" si="7"/>
        <v>41666</v>
      </c>
      <c r="AO41" s="247">
        <f t="shared" si="7"/>
        <v>204166</v>
      </c>
      <c r="AP41" s="247">
        <f t="shared" si="7"/>
        <v>170833</v>
      </c>
      <c r="AQ41" s="247"/>
      <c r="AR41" s="247"/>
      <c r="AS41" s="247">
        <f t="shared" ref="AS41:AU41" si="8">sum(AS3:AS40)</f>
        <v>2369198</v>
      </c>
      <c r="AT41" s="247">
        <f t="shared" si="8"/>
        <v>1916655</v>
      </c>
      <c r="AU41" s="247">
        <f t="shared" si="8"/>
        <v>4285853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I1:J1"/>
    <mergeCell ref="R1:S1"/>
    <mergeCell ref="X1:AE1"/>
    <mergeCell ref="AF1:AP1"/>
    <mergeCell ref="AS1:AU1"/>
  </mergeCells>
  <dataValidations>
    <dataValidation type="list" allowBlank="1" showErrorMessage="1" sqref="L3:L40">
      <formula1>"Basic 1 Bulan,Bisnis 1 Bulan,Basic 3 Bulan,Bisnis 3 Bulan,Basic 6 Bulan,Bisnis 6 Bulan,Basic 12 Bulan,Bisnis 12 Bulan"</formula1>
    </dataValidation>
    <dataValidation type="list" allowBlank="1" showErrorMessage="1" sqref="B3:B40">
      <formula1>"FRANCHISE (Jual Brand Usaha),REFERAL (Berlangganan),AFILIASI (Perlengkapan  Ex. Mesin,Parfum,Dll)"</formula1>
    </dataValidation>
    <dataValidation type="list" allowBlank="1" sqref="K3:K40">
      <formula1>"Referral,Corporate Paket Basic,Corporate Paket Bisnis,Corporate Paket Bundling Bisnis,Corporate Paket UMKM,Corporate Paket Enterpreneur"</formula1>
    </dataValidation>
  </dataValidations>
  <hyperlinks>
    <hyperlink r:id="rId2" ref="E19"/>
    <hyperlink r:id="rId3" ref="E20"/>
    <hyperlink r:id="rId4" ref="E21"/>
    <hyperlink r:id="rId5" ref="E22"/>
    <hyperlink r:id="rId6" ref="E23"/>
    <hyperlink r:id="rId7" ref="E24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8"/>
  <legacy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25"/>
    <col customWidth="1" min="2" max="2" width="14.38"/>
    <col customWidth="1" min="3" max="3" width="8.0"/>
    <col customWidth="1" min="4" max="5" width="14.0"/>
    <col customWidth="1" min="6" max="6" width="25.38"/>
    <col customWidth="1" min="7" max="8" width="10.88"/>
    <col customWidth="1" min="9" max="9" width="14.13"/>
    <col customWidth="1" min="10" max="10" width="19.5"/>
    <col customWidth="1" min="11" max="11" width="11.75"/>
    <col customWidth="1" min="12" max="12" width="15.13"/>
    <col customWidth="1" min="13" max="14" width="10.75"/>
    <col customWidth="1" min="15" max="29" width="8.25"/>
    <col customWidth="1" min="30" max="32" width="9.75"/>
  </cols>
  <sheetData>
    <row r="1" ht="15.75" customHeight="1">
      <c r="A1" s="8"/>
      <c r="B1" s="1"/>
      <c r="C1" s="3"/>
      <c r="D1" s="3"/>
      <c r="E1" s="9"/>
      <c r="F1" s="9"/>
      <c r="G1" s="5"/>
      <c r="H1" s="8" t="s">
        <v>1050</v>
      </c>
      <c r="K1" s="8"/>
      <c r="L1" s="1"/>
      <c r="M1" s="1"/>
      <c r="N1" s="1"/>
      <c r="O1" s="103"/>
      <c r="P1" s="103"/>
      <c r="Q1" s="103" t="s">
        <v>396</v>
      </c>
      <c r="AA1" s="103"/>
      <c r="AB1" s="103"/>
      <c r="AC1" s="10" t="s">
        <v>397</v>
      </c>
      <c r="AD1" s="102" t="s">
        <v>399</v>
      </c>
    </row>
    <row r="2" ht="15.75" customHeight="1">
      <c r="A2" s="312" t="s">
        <v>1</v>
      </c>
      <c r="B2" s="312" t="s">
        <v>3</v>
      </c>
      <c r="C2" s="313" t="s">
        <v>6</v>
      </c>
      <c r="D2" s="314" t="s">
        <v>7</v>
      </c>
      <c r="E2" s="313" t="s">
        <v>8</v>
      </c>
      <c r="F2" s="313" t="s">
        <v>14</v>
      </c>
      <c r="G2" s="315" t="s">
        <v>9</v>
      </c>
      <c r="H2" s="313" t="s">
        <v>6</v>
      </c>
      <c r="I2" s="316" t="s">
        <v>400</v>
      </c>
      <c r="J2" s="314" t="s">
        <v>401</v>
      </c>
      <c r="K2" s="313" t="s">
        <v>403</v>
      </c>
      <c r="L2" s="317" t="s">
        <v>404</v>
      </c>
      <c r="M2" s="318" t="s">
        <v>408</v>
      </c>
      <c r="N2" s="318" t="s">
        <v>1068</v>
      </c>
      <c r="O2" s="103" t="s">
        <v>410</v>
      </c>
      <c r="P2" s="103" t="s">
        <v>411</v>
      </c>
      <c r="Q2" s="319">
        <v>1.0</v>
      </c>
      <c r="R2" s="319">
        <v>2.0</v>
      </c>
      <c r="S2" s="319">
        <v>3.0</v>
      </c>
      <c r="T2" s="319">
        <v>4.0</v>
      </c>
      <c r="U2" s="319">
        <v>5.0</v>
      </c>
      <c r="V2" s="314">
        <v>6.0</v>
      </c>
      <c r="W2" s="314">
        <v>7.0</v>
      </c>
      <c r="X2" s="319">
        <v>8.0</v>
      </c>
      <c r="Y2" s="314">
        <v>9.0</v>
      </c>
      <c r="Z2" s="314">
        <v>10.0</v>
      </c>
      <c r="AA2" s="313">
        <v>11.0</v>
      </c>
      <c r="AB2" s="313">
        <v>12.0</v>
      </c>
      <c r="AC2" s="313">
        <v>1.0</v>
      </c>
      <c r="AD2" s="314" t="s">
        <v>413</v>
      </c>
      <c r="AE2" s="314" t="s">
        <v>416</v>
      </c>
      <c r="AF2" s="314" t="s">
        <v>417</v>
      </c>
    </row>
    <row r="3" ht="24.0" customHeight="1">
      <c r="A3" s="12">
        <v>1.0</v>
      </c>
      <c r="B3" s="13" t="s">
        <v>43</v>
      </c>
      <c r="C3" s="15">
        <v>1694.0</v>
      </c>
      <c r="D3" s="30" t="s">
        <v>340</v>
      </c>
      <c r="E3" s="30" t="s">
        <v>341</v>
      </c>
      <c r="F3" s="16" t="s">
        <v>1069</v>
      </c>
      <c r="G3" s="73" t="s">
        <v>342</v>
      </c>
      <c r="H3" s="12">
        <v>11117.0</v>
      </c>
      <c r="I3" s="16" t="s">
        <v>945</v>
      </c>
      <c r="J3" s="16" t="s">
        <v>946</v>
      </c>
      <c r="K3" s="15" t="s">
        <v>420</v>
      </c>
      <c r="L3" s="21" t="s">
        <v>421</v>
      </c>
      <c r="M3" s="301">
        <v>45322.0</v>
      </c>
      <c r="N3" s="301">
        <v>45685.0</v>
      </c>
      <c r="O3" s="114"/>
      <c r="P3" s="114"/>
      <c r="Q3" s="114">
        <v>150000.0</v>
      </c>
      <c r="R3" s="114" t="s">
        <v>424</v>
      </c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6">
        <f t="shared" ref="AD3:AD8" si="2">AF3-AE3</f>
        <v>0</v>
      </c>
      <c r="AE3" s="118">
        <f>sum(Q3:W3)</f>
        <v>150000</v>
      </c>
      <c r="AF3" s="119">
        <f t="shared" ref="AF3:AF8" si="3">sum(Q3:AC3)</f>
        <v>150000</v>
      </c>
    </row>
    <row r="4" ht="24.0" customHeight="1">
      <c r="A4" s="12">
        <v>2.0</v>
      </c>
      <c r="B4" s="13" t="s">
        <v>43</v>
      </c>
      <c r="C4" s="15">
        <v>1694.0</v>
      </c>
      <c r="D4" s="30" t="s">
        <v>340</v>
      </c>
      <c r="E4" s="30" t="s">
        <v>341</v>
      </c>
      <c r="F4" s="16" t="s">
        <v>1069</v>
      </c>
      <c r="G4" s="73" t="s">
        <v>342</v>
      </c>
      <c r="H4" s="12">
        <v>11117.0</v>
      </c>
      <c r="I4" s="16" t="s">
        <v>945</v>
      </c>
      <c r="J4" s="16" t="s">
        <v>947</v>
      </c>
      <c r="K4" s="15" t="s">
        <v>420</v>
      </c>
      <c r="L4" s="21" t="s">
        <v>448</v>
      </c>
      <c r="M4" s="301">
        <v>45627.0</v>
      </c>
      <c r="N4" s="301">
        <v>45536.0</v>
      </c>
      <c r="O4" s="114"/>
      <c r="P4" s="114"/>
      <c r="Q4" s="114">
        <v>12500.0</v>
      </c>
      <c r="R4" s="114" t="s">
        <v>128</v>
      </c>
      <c r="S4" s="114">
        <v>12500.0</v>
      </c>
      <c r="T4" s="114">
        <v>12500.0</v>
      </c>
      <c r="U4" s="114">
        <v>12500.0</v>
      </c>
      <c r="V4" s="114">
        <v>12500.0</v>
      </c>
      <c r="W4" s="114">
        <v>12500.0</v>
      </c>
      <c r="X4" s="114">
        <v>12500.0</v>
      </c>
      <c r="Y4" s="114">
        <v>12500.0</v>
      </c>
      <c r="Z4" s="114">
        <v>12500.0</v>
      </c>
      <c r="AA4" s="137">
        <f t="shared" ref="AA4:AC4" si="1">12500</f>
        <v>12500</v>
      </c>
      <c r="AB4" s="137">
        <f t="shared" si="1"/>
        <v>12500</v>
      </c>
      <c r="AC4" s="137">
        <f t="shared" si="1"/>
        <v>12500</v>
      </c>
      <c r="AD4" s="116">
        <f t="shared" si="2"/>
        <v>37500</v>
      </c>
      <c r="AE4" s="118">
        <f>sum(Q4:Z4)</f>
        <v>112500</v>
      </c>
      <c r="AF4" s="119">
        <f t="shared" si="3"/>
        <v>150000</v>
      </c>
    </row>
    <row r="5" ht="24.0" customHeight="1">
      <c r="A5" s="12">
        <v>3.0</v>
      </c>
      <c r="B5" s="13" t="s">
        <v>43</v>
      </c>
      <c r="C5" s="22">
        <v>6058.0</v>
      </c>
      <c r="D5" s="23" t="s">
        <v>53</v>
      </c>
      <c r="E5" s="23" t="s">
        <v>54</v>
      </c>
      <c r="F5" s="28" t="s">
        <v>1070</v>
      </c>
      <c r="G5" s="25" t="s">
        <v>1071</v>
      </c>
      <c r="H5" s="25">
        <v>13501.0</v>
      </c>
      <c r="I5" s="150" t="s">
        <v>948</v>
      </c>
      <c r="J5" s="320" t="s">
        <v>949</v>
      </c>
      <c r="K5" s="15" t="s">
        <v>420</v>
      </c>
      <c r="L5" s="21" t="s">
        <v>673</v>
      </c>
      <c r="M5" s="301">
        <v>45577.0</v>
      </c>
      <c r="N5" s="301">
        <v>45645.0</v>
      </c>
      <c r="O5" s="137"/>
      <c r="P5" s="137"/>
      <c r="Q5" s="137"/>
      <c r="R5" s="114"/>
      <c r="S5" s="137"/>
      <c r="T5" s="137"/>
      <c r="U5" s="137"/>
      <c r="V5" s="137"/>
      <c r="W5" s="137"/>
      <c r="X5" s="137"/>
      <c r="Y5" s="137"/>
      <c r="Z5" s="137">
        <f>12500*3</f>
        <v>37500</v>
      </c>
      <c r="AA5" s="137" t="s">
        <v>128</v>
      </c>
      <c r="AB5" s="137" t="s">
        <v>128</v>
      </c>
      <c r="AC5" s="137" t="s">
        <v>128</v>
      </c>
      <c r="AD5" s="116">
        <f t="shared" si="2"/>
        <v>37500</v>
      </c>
      <c r="AE5" s="118">
        <v>0.0</v>
      </c>
      <c r="AF5" s="119">
        <f t="shared" si="3"/>
        <v>37500</v>
      </c>
    </row>
    <row r="6" ht="24.0" customHeight="1">
      <c r="A6" s="12">
        <v>4.0</v>
      </c>
      <c r="B6" s="13" t="s">
        <v>43</v>
      </c>
      <c r="C6" s="75">
        <v>4134.0</v>
      </c>
      <c r="D6" s="269" t="s">
        <v>348</v>
      </c>
      <c r="E6" s="213" t="s">
        <v>349</v>
      </c>
      <c r="F6" s="78" t="s">
        <v>353</v>
      </c>
      <c r="G6" s="77" t="s">
        <v>350</v>
      </c>
      <c r="H6" s="75">
        <v>13058.0</v>
      </c>
      <c r="I6" s="224" t="s">
        <v>951</v>
      </c>
      <c r="J6" s="321" t="s">
        <v>951</v>
      </c>
      <c r="K6" s="15" t="s">
        <v>420</v>
      </c>
      <c r="L6" s="21" t="s">
        <v>439</v>
      </c>
      <c r="M6" s="301">
        <v>45714.0</v>
      </c>
      <c r="N6" s="301"/>
      <c r="O6" s="137"/>
      <c r="P6" s="137"/>
      <c r="Q6" s="137"/>
      <c r="R6" s="114"/>
      <c r="S6" s="137"/>
      <c r="T6" s="137"/>
      <c r="U6" s="137"/>
      <c r="V6" s="137"/>
      <c r="W6" s="137"/>
      <c r="X6" s="137">
        <f>12500*6</f>
        <v>75000</v>
      </c>
      <c r="Y6" s="137" t="s">
        <v>128</v>
      </c>
      <c r="Z6" s="137" t="s">
        <v>128</v>
      </c>
      <c r="AA6" s="137" t="s">
        <v>128</v>
      </c>
      <c r="AB6" s="137" t="s">
        <v>128</v>
      </c>
      <c r="AC6" s="137" t="s">
        <v>128</v>
      </c>
      <c r="AD6" s="116">
        <f t="shared" si="2"/>
        <v>75000</v>
      </c>
      <c r="AE6" s="118">
        <v>0.0</v>
      </c>
      <c r="AF6" s="119">
        <f t="shared" si="3"/>
        <v>75000</v>
      </c>
    </row>
    <row r="7" ht="24.0" customHeight="1">
      <c r="A7" s="12">
        <v>5.0</v>
      </c>
      <c r="B7" s="13" t="s">
        <v>1028</v>
      </c>
      <c r="C7" s="322">
        <v>8881.0</v>
      </c>
      <c r="D7" s="30" t="s">
        <v>354</v>
      </c>
      <c r="E7" s="23" t="s">
        <v>355</v>
      </c>
      <c r="F7" s="212" t="s">
        <v>360</v>
      </c>
      <c r="G7" s="261" t="s">
        <v>356</v>
      </c>
      <c r="H7" s="12">
        <v>13526.0</v>
      </c>
      <c r="I7" s="30" t="s">
        <v>959</v>
      </c>
      <c r="J7" s="30" t="s">
        <v>960</v>
      </c>
      <c r="K7" s="15" t="s">
        <v>961</v>
      </c>
      <c r="L7" s="21" t="s">
        <v>511</v>
      </c>
      <c r="M7" s="301">
        <v>45766.0</v>
      </c>
      <c r="N7" s="301"/>
      <c r="O7" s="137"/>
      <c r="P7" s="137"/>
      <c r="Q7" s="137"/>
      <c r="R7" s="114"/>
      <c r="S7" s="137"/>
      <c r="T7" s="137"/>
      <c r="U7" s="137"/>
      <c r="V7" s="137"/>
      <c r="W7" s="137"/>
      <c r="X7" s="137"/>
      <c r="Y7" s="137"/>
      <c r="Z7" s="114">
        <f>120120/2</f>
        <v>60060</v>
      </c>
      <c r="AA7" s="114" t="s">
        <v>128</v>
      </c>
      <c r="AB7" s="114" t="s">
        <v>128</v>
      </c>
      <c r="AC7" s="114" t="s">
        <v>128</v>
      </c>
      <c r="AD7" s="116">
        <f t="shared" si="2"/>
        <v>0</v>
      </c>
      <c r="AE7" s="118">
        <f t="shared" ref="AE7:AE8" si="4">sum(Q7:Z7)</f>
        <v>60060</v>
      </c>
      <c r="AF7" s="119">
        <f t="shared" si="3"/>
        <v>60060</v>
      </c>
    </row>
    <row r="8" ht="24.0" customHeight="1">
      <c r="A8" s="12">
        <v>6.0</v>
      </c>
      <c r="B8" s="13" t="s">
        <v>1028</v>
      </c>
      <c r="C8" s="322">
        <v>8881.0</v>
      </c>
      <c r="D8" s="30" t="s">
        <v>354</v>
      </c>
      <c r="E8" s="23" t="s">
        <v>355</v>
      </c>
      <c r="F8" s="212" t="s">
        <v>360</v>
      </c>
      <c r="G8" s="261" t="s">
        <v>356</v>
      </c>
      <c r="H8" s="12">
        <v>13566.0</v>
      </c>
      <c r="I8" s="30" t="s">
        <v>959</v>
      </c>
      <c r="J8" s="30" t="s">
        <v>960</v>
      </c>
      <c r="K8" s="15" t="s">
        <v>432</v>
      </c>
      <c r="L8" s="21" t="s">
        <v>439</v>
      </c>
      <c r="M8" s="301">
        <v>45771.0</v>
      </c>
      <c r="N8" s="301"/>
      <c r="O8" s="137"/>
      <c r="P8" s="137"/>
      <c r="Q8" s="137"/>
      <c r="R8" s="114"/>
      <c r="S8" s="137"/>
      <c r="T8" s="137"/>
      <c r="U8" s="137"/>
      <c r="V8" s="137"/>
      <c r="W8" s="137"/>
      <c r="X8" s="137"/>
      <c r="Y8" s="137"/>
      <c r="Z8" s="114">
        <f>181720/2</f>
        <v>90860</v>
      </c>
      <c r="AA8" s="114" t="s">
        <v>128</v>
      </c>
      <c r="AB8" s="114" t="s">
        <v>128</v>
      </c>
      <c r="AC8" s="114" t="s">
        <v>128</v>
      </c>
      <c r="AD8" s="116">
        <f t="shared" si="2"/>
        <v>0</v>
      </c>
      <c r="AE8" s="118">
        <f t="shared" si="4"/>
        <v>90860</v>
      </c>
      <c r="AF8" s="119">
        <f t="shared" si="3"/>
        <v>90860</v>
      </c>
    </row>
    <row r="9" ht="24.0" customHeight="1">
      <c r="A9" s="323" t="s">
        <v>1072</v>
      </c>
      <c r="K9" s="323"/>
      <c r="L9" s="323"/>
      <c r="M9" s="323"/>
      <c r="N9" s="323"/>
      <c r="O9" s="324"/>
      <c r="P9" s="324"/>
      <c r="Q9" s="324">
        <f t="shared" ref="Q9:AF9" si="5">SUM(Q3:Q8)</f>
        <v>162500</v>
      </c>
      <c r="R9" s="324">
        <f t="shared" si="5"/>
        <v>0</v>
      </c>
      <c r="S9" s="324">
        <f t="shared" si="5"/>
        <v>12500</v>
      </c>
      <c r="T9" s="324">
        <f t="shared" si="5"/>
        <v>12500</v>
      </c>
      <c r="U9" s="324">
        <f t="shared" si="5"/>
        <v>12500</v>
      </c>
      <c r="V9" s="324">
        <f t="shared" si="5"/>
        <v>12500</v>
      </c>
      <c r="W9" s="324">
        <f t="shared" si="5"/>
        <v>12500</v>
      </c>
      <c r="X9" s="324">
        <f t="shared" si="5"/>
        <v>87500</v>
      </c>
      <c r="Y9" s="324">
        <f t="shared" si="5"/>
        <v>12500</v>
      </c>
      <c r="Z9" s="324">
        <f t="shared" si="5"/>
        <v>200920</v>
      </c>
      <c r="AA9" s="324">
        <f t="shared" si="5"/>
        <v>12500</v>
      </c>
      <c r="AB9" s="324">
        <f t="shared" si="5"/>
        <v>12500</v>
      </c>
      <c r="AC9" s="324">
        <f t="shared" si="5"/>
        <v>12500</v>
      </c>
      <c r="AD9" s="324">
        <f t="shared" si="5"/>
        <v>150000</v>
      </c>
      <c r="AE9" s="324">
        <f t="shared" si="5"/>
        <v>413420</v>
      </c>
      <c r="AF9" s="324">
        <f t="shared" si="5"/>
        <v>563420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:J1"/>
    <mergeCell ref="Q1:Z1"/>
    <mergeCell ref="AD1:AF1"/>
    <mergeCell ref="A9:J9"/>
  </mergeCells>
  <dataValidations>
    <dataValidation type="list" allowBlank="1" showErrorMessage="1" sqref="L3:L8">
      <formula1>"Basic 1 Bulan,Bisnis 1 Bulan,Basic 3 Bulan,Bisnis 3 Bulan,Basic 6 Bulan,Bisnis 6 Bulan,Basic 12 Bulan,Bisnis 12 Bulan"</formula1>
    </dataValidation>
    <dataValidation type="list" allowBlank="1" showErrorMessage="1" sqref="B3:B8">
      <formula1>"FRANCHISE (Jual Brand Usaha),REFERAL (Berlangganan),AFILIASI (Perlengkapan  Ex. Mesin,Parfum,Dll),CORPORATE (Rekomendasi &amp; Akuisisi)"</formula1>
    </dataValidation>
    <dataValidation type="list" allowBlank="1" sqref="K3:K8">
      <formula1>"Referral,Corporate Paket Basic,Corporate Paket Bisnis,Corporate Paket Bundling Bisnis,Corporate Paket UMKM,Corporate Paket Enterpreneur"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0"/>
    <col customWidth="1" min="2" max="2" width="12.13"/>
    <col customWidth="1" min="3" max="3" width="6.38"/>
    <col customWidth="1" min="4" max="5" width="14.63"/>
    <col customWidth="1" min="6" max="6" width="11.0"/>
    <col customWidth="1" min="7" max="7" width="19.63"/>
    <col customWidth="1" min="8" max="8" width="6.38"/>
    <col customWidth="1" min="9" max="10" width="16.0"/>
    <col customWidth="1" min="11" max="11" width="12.88"/>
    <col customWidth="1" min="12" max="13" width="15.13"/>
    <col customWidth="1" min="14" max="15" width="10.75"/>
    <col customWidth="1" min="16" max="21" width="8.25"/>
    <col customWidth="1" min="22" max="24" width="9.75"/>
  </cols>
  <sheetData>
    <row r="1" ht="15.75" customHeight="1">
      <c r="A1" s="8"/>
      <c r="B1" s="1"/>
      <c r="C1" s="3"/>
      <c r="D1" s="3"/>
      <c r="E1" s="9"/>
      <c r="F1" s="5"/>
      <c r="G1" s="7"/>
      <c r="H1" s="8" t="s">
        <v>1050</v>
      </c>
      <c r="K1" s="8"/>
      <c r="L1" s="8"/>
      <c r="M1" s="8"/>
      <c r="N1" s="1"/>
      <c r="O1" s="1"/>
      <c r="P1" s="103"/>
      <c r="Q1" s="103"/>
      <c r="R1" s="103" t="s">
        <v>396</v>
      </c>
      <c r="U1" s="103" t="s">
        <v>1073</v>
      </c>
      <c r="V1" s="102" t="s">
        <v>399</v>
      </c>
    </row>
    <row r="2" ht="15.75" customHeight="1">
      <c r="A2" s="312" t="s">
        <v>1</v>
      </c>
      <c r="B2" s="312" t="s">
        <v>3</v>
      </c>
      <c r="C2" s="313" t="s">
        <v>6</v>
      </c>
      <c r="D2" s="314" t="s">
        <v>7</v>
      </c>
      <c r="E2" s="313" t="s">
        <v>8</v>
      </c>
      <c r="F2" s="315" t="s">
        <v>9</v>
      </c>
      <c r="G2" s="325" t="s">
        <v>14</v>
      </c>
      <c r="H2" s="313" t="s">
        <v>6</v>
      </c>
      <c r="I2" s="316" t="s">
        <v>400</v>
      </c>
      <c r="J2" s="314" t="s">
        <v>401</v>
      </c>
      <c r="K2" s="9" t="s">
        <v>403</v>
      </c>
      <c r="L2" s="1" t="s">
        <v>1051</v>
      </c>
      <c r="M2" s="1" t="s">
        <v>410</v>
      </c>
      <c r="N2" s="318" t="s">
        <v>408</v>
      </c>
      <c r="O2" s="318" t="s">
        <v>1068</v>
      </c>
      <c r="P2" s="103" t="s">
        <v>410</v>
      </c>
      <c r="Q2" s="103" t="s">
        <v>411</v>
      </c>
      <c r="R2" s="313">
        <v>10.0</v>
      </c>
      <c r="S2" s="313">
        <v>11.0</v>
      </c>
      <c r="T2" s="313">
        <v>12.0</v>
      </c>
      <c r="U2" s="313">
        <v>1.0</v>
      </c>
      <c r="V2" s="314" t="s">
        <v>413</v>
      </c>
      <c r="W2" s="314" t="s">
        <v>416</v>
      </c>
      <c r="X2" s="314" t="s">
        <v>417</v>
      </c>
    </row>
    <row r="3" ht="27.0" customHeight="1">
      <c r="A3" s="12">
        <v>1.0</v>
      </c>
      <c r="B3" s="13" t="s">
        <v>43</v>
      </c>
      <c r="C3" s="326">
        <v>4323.0</v>
      </c>
      <c r="D3" s="212" t="s">
        <v>147</v>
      </c>
      <c r="E3" s="327" t="s">
        <v>148</v>
      </c>
      <c r="F3" s="326" t="s">
        <v>1074</v>
      </c>
      <c r="G3" s="31" t="s">
        <v>1075</v>
      </c>
      <c r="H3" s="326" t="s">
        <v>990</v>
      </c>
      <c r="I3" s="212" t="s">
        <v>991</v>
      </c>
      <c r="J3" s="28" t="s">
        <v>992</v>
      </c>
      <c r="K3" s="15" t="s">
        <v>420</v>
      </c>
      <c r="L3" s="21" t="s">
        <v>421</v>
      </c>
      <c r="M3" s="21"/>
      <c r="N3" s="301">
        <v>45579.0</v>
      </c>
      <c r="O3" s="301">
        <v>46030.0</v>
      </c>
      <c r="P3" s="137"/>
      <c r="Q3" s="137"/>
      <c r="R3" s="137">
        <v>150000.0</v>
      </c>
      <c r="S3" s="114" t="s">
        <v>424</v>
      </c>
      <c r="T3" s="21"/>
      <c r="U3" s="21"/>
      <c r="V3" s="116">
        <f t="shared" ref="V3:V7" si="1">SUM(X3-W3)</f>
        <v>150000</v>
      </c>
      <c r="W3" s="118">
        <v>0.0</v>
      </c>
      <c r="X3" s="119">
        <f t="shared" ref="X3:X7" si="2">sum(R3:U3)</f>
        <v>150000</v>
      </c>
    </row>
    <row r="4" ht="27.0" customHeight="1">
      <c r="A4" s="12">
        <v>2.0</v>
      </c>
      <c r="B4" s="13" t="s">
        <v>43</v>
      </c>
      <c r="C4" s="326">
        <v>4323.0</v>
      </c>
      <c r="D4" s="212" t="s">
        <v>147</v>
      </c>
      <c r="E4" s="327" t="s">
        <v>148</v>
      </c>
      <c r="F4" s="326" t="s">
        <v>1074</v>
      </c>
      <c r="G4" s="31" t="s">
        <v>1075</v>
      </c>
      <c r="H4" s="326" t="s">
        <v>990</v>
      </c>
      <c r="I4" s="212" t="s">
        <v>991</v>
      </c>
      <c r="J4" s="213" t="s">
        <v>993</v>
      </c>
      <c r="K4" s="15" t="s">
        <v>420</v>
      </c>
      <c r="L4" s="328" t="s">
        <v>421</v>
      </c>
      <c r="M4" s="21"/>
      <c r="N4" s="301">
        <v>45582.0</v>
      </c>
      <c r="O4" s="301">
        <v>46032.0</v>
      </c>
      <c r="P4" s="137"/>
      <c r="Q4" s="137"/>
      <c r="R4" s="137">
        <v>150000.0</v>
      </c>
      <c r="S4" s="114" t="s">
        <v>424</v>
      </c>
      <c r="T4" s="21"/>
      <c r="U4" s="21"/>
      <c r="V4" s="116">
        <f t="shared" si="1"/>
        <v>150000</v>
      </c>
      <c r="W4" s="118">
        <v>0.0</v>
      </c>
      <c r="X4" s="119">
        <f t="shared" si="2"/>
        <v>150000</v>
      </c>
    </row>
    <row r="5" ht="27.0" customHeight="1">
      <c r="A5" s="12">
        <v>3.0</v>
      </c>
      <c r="B5" s="13" t="s">
        <v>1034</v>
      </c>
      <c r="C5" s="15"/>
      <c r="D5" s="83" t="s">
        <v>362</v>
      </c>
      <c r="E5" s="83" t="s">
        <v>362</v>
      </c>
      <c r="F5" s="329" t="s">
        <v>363</v>
      </c>
      <c r="G5" s="212" t="s">
        <v>367</v>
      </c>
      <c r="H5" s="330">
        <v>13512.0</v>
      </c>
      <c r="I5" s="264" t="s">
        <v>994</v>
      </c>
      <c r="J5" s="213" t="s">
        <v>995</v>
      </c>
      <c r="K5" s="15" t="s">
        <v>996</v>
      </c>
      <c r="L5" s="303" t="s">
        <v>446</v>
      </c>
      <c r="M5" s="331">
        <v>45695.0</v>
      </c>
      <c r="N5" s="301"/>
      <c r="O5" s="301"/>
      <c r="P5" s="113"/>
      <c r="Q5" s="113"/>
      <c r="R5" s="114">
        <v>269910.0</v>
      </c>
      <c r="S5" s="114" t="s">
        <v>424</v>
      </c>
      <c r="T5" s="114"/>
      <c r="U5" s="210"/>
      <c r="V5" s="116">
        <f t="shared" si="1"/>
        <v>0</v>
      </c>
      <c r="W5" s="118">
        <f>R5</f>
        <v>269910</v>
      </c>
      <c r="X5" s="119">
        <f t="shared" si="2"/>
        <v>269910</v>
      </c>
    </row>
    <row r="6" ht="27.0" customHeight="1">
      <c r="A6" s="12">
        <v>4.0</v>
      </c>
      <c r="B6" s="13" t="s">
        <v>1034</v>
      </c>
      <c r="C6" s="35"/>
      <c r="D6" s="83" t="s">
        <v>362</v>
      </c>
      <c r="E6" s="83" t="s">
        <v>362</v>
      </c>
      <c r="F6" s="329" t="s">
        <v>363</v>
      </c>
      <c r="G6" s="212" t="s">
        <v>367</v>
      </c>
      <c r="H6" s="330">
        <v>14327.0</v>
      </c>
      <c r="I6" s="23" t="s">
        <v>997</v>
      </c>
      <c r="J6" s="23" t="s">
        <v>998</v>
      </c>
      <c r="K6" s="15" t="s">
        <v>420</v>
      </c>
      <c r="L6" s="303" t="s">
        <v>421</v>
      </c>
      <c r="M6" s="331">
        <v>45695.0</v>
      </c>
      <c r="N6" s="301"/>
      <c r="O6" s="301"/>
      <c r="P6" s="114"/>
      <c r="Q6" s="114"/>
      <c r="R6" s="114"/>
      <c r="S6" s="114"/>
      <c r="T6" s="114"/>
      <c r="U6" s="114">
        <v>150000.0</v>
      </c>
      <c r="V6" s="116">
        <f t="shared" si="1"/>
        <v>0</v>
      </c>
      <c r="W6" s="118">
        <f t="shared" ref="W6:W7" si="3">U6</f>
        <v>150000</v>
      </c>
      <c r="X6" s="119">
        <f t="shared" si="2"/>
        <v>150000</v>
      </c>
    </row>
    <row r="7" ht="27.0" customHeight="1">
      <c r="A7" s="12">
        <v>5.0</v>
      </c>
      <c r="B7" s="13" t="s">
        <v>1034</v>
      </c>
      <c r="C7" s="35"/>
      <c r="D7" s="83" t="s">
        <v>362</v>
      </c>
      <c r="E7" s="83" t="s">
        <v>362</v>
      </c>
      <c r="F7" s="329" t="s">
        <v>363</v>
      </c>
      <c r="G7" s="212" t="s">
        <v>367</v>
      </c>
      <c r="H7" s="330">
        <v>14369.0</v>
      </c>
      <c r="I7" s="150" t="s">
        <v>999</v>
      </c>
      <c r="J7" s="23" t="s">
        <v>1000</v>
      </c>
      <c r="K7" s="15" t="s">
        <v>1076</v>
      </c>
      <c r="L7" s="303" t="s">
        <v>421</v>
      </c>
      <c r="M7" s="331">
        <v>45695.0</v>
      </c>
      <c r="N7" s="301"/>
      <c r="O7" s="301"/>
      <c r="P7" s="114"/>
      <c r="Q7" s="114"/>
      <c r="R7" s="114"/>
      <c r="S7" s="114"/>
      <c r="T7" s="114"/>
      <c r="U7" s="114">
        <v>239850.0</v>
      </c>
      <c r="V7" s="116">
        <f t="shared" si="1"/>
        <v>0</v>
      </c>
      <c r="W7" s="118">
        <f t="shared" si="3"/>
        <v>239850</v>
      </c>
      <c r="X7" s="119">
        <f t="shared" si="2"/>
        <v>239850</v>
      </c>
    </row>
    <row r="8" ht="27.0" customHeight="1">
      <c r="A8" s="94"/>
      <c r="B8" s="94"/>
      <c r="C8" s="239"/>
      <c r="D8" s="311"/>
      <c r="E8" s="332"/>
      <c r="F8" s="309"/>
      <c r="G8" s="310"/>
      <c r="H8" s="309"/>
      <c r="I8" s="333"/>
      <c r="J8" s="98" t="s">
        <v>1002</v>
      </c>
      <c r="M8" s="98"/>
      <c r="N8" s="247"/>
      <c r="O8" s="247"/>
      <c r="P8" s="247"/>
      <c r="Q8" s="247"/>
      <c r="R8" s="247">
        <f t="shared" ref="R8:X8" si="4">sum(R3:R7)</f>
        <v>569910</v>
      </c>
      <c r="S8" s="247">
        <f t="shared" si="4"/>
        <v>0</v>
      </c>
      <c r="T8" s="247">
        <f t="shared" si="4"/>
        <v>0</v>
      </c>
      <c r="U8" s="247">
        <f t="shared" si="4"/>
        <v>389850</v>
      </c>
      <c r="V8" s="247">
        <f t="shared" si="4"/>
        <v>300000</v>
      </c>
      <c r="W8" s="247">
        <f t="shared" si="4"/>
        <v>659760</v>
      </c>
      <c r="X8" s="247">
        <f t="shared" si="4"/>
        <v>959760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:J1"/>
    <mergeCell ref="R1:T1"/>
    <mergeCell ref="V1:X1"/>
    <mergeCell ref="J8:L8"/>
  </mergeCells>
  <dataValidations>
    <dataValidation type="list" allowBlank="1" showErrorMessage="1" sqref="L3:L7">
      <formula1>"Basic 1 Bulan,Bisnis 1 Bulan,Basic 3 Bulan,Bisnis 3 Bulan,Basic 6 Bulan,Bisnis 6 Bulan,Basic 12 Bulan,Bisnis 12 Bulan"</formula1>
    </dataValidation>
    <dataValidation type="list" allowBlank="1" showErrorMessage="1" sqref="B3:B7">
      <formula1>"FRANCHISE (Jual Brand Usaha),REFERAL (Berlangganan),AFILIASI (Perlengkapan  Ex. Mesin,Rak,Dll)"""</formula1>
    </dataValidation>
    <dataValidation type="list" allowBlank="1" sqref="K3:K7">
      <formula1>"Referral,Corporate Paket Basic,Corporate Paket Bisnis,Corporate Paket Bundling Bisnis (Jagoan),Corporate Paket UMKM,Corporate Paket Enterpreneur"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3.0" ySplit="2.0" topLeftCell="N3" activePane="bottomRight" state="frozen"/>
      <selection activeCell="N1" sqref="N1" pane="topRight"/>
      <selection activeCell="A3" sqref="A3" pane="bottomLeft"/>
      <selection activeCell="N3" sqref="N3" pane="bottomRight"/>
    </sheetView>
  </sheetViews>
  <sheetFormatPr customHeight="1" defaultColWidth="12.63" defaultRowHeight="15.0"/>
  <cols>
    <col customWidth="1" min="1" max="1" width="4.0"/>
    <col customWidth="1" min="2" max="2" width="16.75"/>
    <col customWidth="1" min="3" max="3" width="7.13"/>
    <col customWidth="1" min="4" max="4" width="13.13"/>
    <col customWidth="1" min="5" max="5" width="15.0"/>
    <col customWidth="1" hidden="1" min="6" max="6" width="10.5"/>
    <col customWidth="1" hidden="1" min="7" max="7" width="26.0"/>
    <col customWidth="1" min="8" max="8" width="7.13"/>
    <col customWidth="1" min="9" max="10" width="17.88"/>
    <col customWidth="1" min="11" max="11" width="15.13"/>
    <col customWidth="1" min="12" max="13" width="9.75"/>
    <col customWidth="1" min="14" max="14" width="8.25"/>
    <col customWidth="1" min="15" max="15" width="8.88"/>
    <col customWidth="1" min="16" max="35" width="8.25"/>
    <col customWidth="1" min="36" max="38" width="9.75"/>
  </cols>
  <sheetData>
    <row r="1" ht="15.75" customHeight="1">
      <c r="A1" s="8"/>
      <c r="B1" s="1"/>
      <c r="C1" s="3"/>
      <c r="D1" s="3"/>
      <c r="E1" s="9"/>
      <c r="F1" s="5"/>
      <c r="G1" s="7"/>
      <c r="H1" s="8" t="s">
        <v>1050</v>
      </c>
      <c r="I1" s="8"/>
      <c r="J1" s="8"/>
      <c r="K1" s="8"/>
      <c r="L1" s="101"/>
      <c r="M1" s="101"/>
      <c r="N1" s="102" t="s">
        <v>394</v>
      </c>
      <c r="P1" s="102"/>
      <c r="Q1" s="102"/>
      <c r="R1" s="102"/>
      <c r="S1" s="102"/>
      <c r="T1" s="102" t="s">
        <v>395</v>
      </c>
      <c r="AB1" s="103" t="s">
        <v>396</v>
      </c>
      <c r="AG1" s="103"/>
      <c r="AH1" s="103"/>
      <c r="AI1" s="103"/>
      <c r="AJ1" s="102" t="s">
        <v>399</v>
      </c>
    </row>
    <row r="2" ht="15.75" customHeight="1">
      <c r="A2" s="1" t="s">
        <v>1</v>
      </c>
      <c r="B2" s="1" t="s">
        <v>3</v>
      </c>
      <c r="C2" s="9" t="s">
        <v>6</v>
      </c>
      <c r="D2" s="3" t="s">
        <v>7</v>
      </c>
      <c r="E2" s="9" t="s">
        <v>8</v>
      </c>
      <c r="F2" s="5" t="s">
        <v>9</v>
      </c>
      <c r="G2" s="10" t="s">
        <v>14</v>
      </c>
      <c r="H2" s="9" t="s">
        <v>6</v>
      </c>
      <c r="I2" s="8" t="s">
        <v>400</v>
      </c>
      <c r="J2" s="3" t="s">
        <v>401</v>
      </c>
      <c r="K2" s="11" t="s">
        <v>404</v>
      </c>
      <c r="L2" s="106" t="s">
        <v>408</v>
      </c>
      <c r="M2" s="106" t="s">
        <v>1068</v>
      </c>
      <c r="N2" s="102">
        <v>11.0</v>
      </c>
      <c r="O2" s="102">
        <v>12.0</v>
      </c>
      <c r="P2" s="102">
        <v>1.0</v>
      </c>
      <c r="Q2" s="102">
        <v>2.0</v>
      </c>
      <c r="R2" s="102">
        <v>3.0</v>
      </c>
      <c r="S2" s="102">
        <v>4.0</v>
      </c>
      <c r="T2" s="102">
        <v>5.0</v>
      </c>
      <c r="U2" s="3">
        <v>6.0</v>
      </c>
      <c r="V2" s="3">
        <v>7.0</v>
      </c>
      <c r="W2" s="3">
        <v>8.0</v>
      </c>
      <c r="X2" s="3">
        <v>9.0</v>
      </c>
      <c r="Y2" s="3">
        <v>10.0</v>
      </c>
      <c r="Z2" s="3">
        <v>11.0</v>
      </c>
      <c r="AA2" s="3">
        <v>12.0</v>
      </c>
      <c r="AB2" s="9">
        <v>1.0</v>
      </c>
      <c r="AC2" s="9">
        <v>2.0</v>
      </c>
      <c r="AD2" s="9">
        <v>3.0</v>
      </c>
      <c r="AE2" s="9">
        <v>4.0</v>
      </c>
      <c r="AF2" s="9">
        <v>5.0</v>
      </c>
      <c r="AG2" s="9">
        <v>6.0</v>
      </c>
      <c r="AH2" s="9">
        <v>7.0</v>
      </c>
      <c r="AI2" s="9">
        <v>8.0</v>
      </c>
      <c r="AJ2" s="3" t="s">
        <v>413</v>
      </c>
      <c r="AK2" s="3" t="s">
        <v>416</v>
      </c>
      <c r="AL2" s="3" t="s">
        <v>417</v>
      </c>
    </row>
    <row r="3" ht="27.0" customHeight="1">
      <c r="A3" s="12">
        <v>36.0</v>
      </c>
      <c r="B3" s="13" t="s">
        <v>1028</v>
      </c>
      <c r="C3" s="16"/>
      <c r="D3" s="38" t="s">
        <v>194</v>
      </c>
      <c r="E3" s="334" t="s">
        <v>1026</v>
      </c>
      <c r="F3" s="18" t="s">
        <v>196</v>
      </c>
      <c r="G3" s="31" t="s">
        <v>200</v>
      </c>
      <c r="H3" s="12">
        <v>8159.0</v>
      </c>
      <c r="I3" s="40" t="s">
        <v>571</v>
      </c>
      <c r="J3" s="30" t="s">
        <v>572</v>
      </c>
      <c r="K3" s="21" t="s">
        <v>443</v>
      </c>
      <c r="L3" s="166"/>
      <c r="M3" s="166"/>
      <c r="N3" s="113"/>
      <c r="O3" s="113"/>
      <c r="P3" s="113"/>
      <c r="Q3" s="114">
        <v>8333.0</v>
      </c>
      <c r="R3" s="114">
        <v>8333.0</v>
      </c>
      <c r="S3" s="114">
        <v>8333.0</v>
      </c>
      <c r="T3" s="114">
        <v>8333.0</v>
      </c>
      <c r="U3" s="114">
        <v>8333.0</v>
      </c>
      <c r="V3" s="114">
        <v>8333.0</v>
      </c>
      <c r="W3" s="114">
        <v>8333.0</v>
      </c>
      <c r="X3" s="114">
        <v>8333.0</v>
      </c>
      <c r="Y3" s="114">
        <v>8333.0</v>
      </c>
      <c r="Z3" s="114">
        <v>8333.0</v>
      </c>
      <c r="AA3" s="114">
        <v>8333.0</v>
      </c>
      <c r="AB3" s="113">
        <v>8333.0</v>
      </c>
      <c r="AC3" s="114" t="s">
        <v>424</v>
      </c>
      <c r="AD3" s="138"/>
      <c r="AE3" s="138"/>
      <c r="AF3" s="138"/>
      <c r="AG3" s="138"/>
      <c r="AH3" s="138"/>
      <c r="AI3" s="138"/>
      <c r="AJ3" s="116">
        <f t="shared" ref="AJ3:AJ22" si="1">AL3-AK3</f>
        <v>8333</v>
      </c>
      <c r="AK3" s="118">
        <f>SUM(Q3:AA3)</f>
        <v>91663</v>
      </c>
      <c r="AL3" s="119">
        <f t="shared" ref="AL3:AL13" si="2">SUM(N3:AI3)</f>
        <v>99996</v>
      </c>
    </row>
    <row r="4" ht="27.0" customHeight="1">
      <c r="A4" s="12">
        <v>46.0</v>
      </c>
      <c r="B4" s="13" t="s">
        <v>1028</v>
      </c>
      <c r="C4" s="16"/>
      <c r="D4" s="38" t="s">
        <v>194</v>
      </c>
      <c r="E4" s="334" t="s">
        <v>1026</v>
      </c>
      <c r="F4" s="18" t="s">
        <v>196</v>
      </c>
      <c r="G4" s="31" t="s">
        <v>200</v>
      </c>
      <c r="H4" s="12">
        <v>8995.0</v>
      </c>
      <c r="I4" s="40" t="s">
        <v>585</v>
      </c>
      <c r="J4" s="30" t="s">
        <v>586</v>
      </c>
      <c r="K4" s="21" t="s">
        <v>448</v>
      </c>
      <c r="L4" s="166"/>
      <c r="M4" s="166"/>
      <c r="N4" s="113"/>
      <c r="O4" s="113"/>
      <c r="P4" s="113"/>
      <c r="Q4" s="138"/>
      <c r="R4" s="138"/>
      <c r="S4" s="138"/>
      <c r="T4" s="114">
        <v>12500.0</v>
      </c>
      <c r="U4" s="114">
        <v>12500.0</v>
      </c>
      <c r="V4" s="114">
        <v>12500.0</v>
      </c>
      <c r="W4" s="114">
        <v>12500.0</v>
      </c>
      <c r="X4" s="114">
        <v>12500.0</v>
      </c>
      <c r="Y4" s="114">
        <v>12500.0</v>
      </c>
      <c r="Z4" s="114">
        <v>12500.0</v>
      </c>
      <c r="AA4" s="114">
        <v>12500.0</v>
      </c>
      <c r="AB4" s="113">
        <v>12500.0</v>
      </c>
      <c r="AC4" s="113">
        <v>12500.0</v>
      </c>
      <c r="AD4" s="113">
        <v>12500.0</v>
      </c>
      <c r="AE4" s="113">
        <v>12500.0</v>
      </c>
      <c r="AF4" s="114" t="s">
        <v>424</v>
      </c>
      <c r="AG4" s="138"/>
      <c r="AH4" s="138"/>
      <c r="AI4" s="138"/>
      <c r="AJ4" s="116">
        <f t="shared" si="1"/>
        <v>50000</v>
      </c>
      <c r="AK4" s="118">
        <f t="shared" ref="AK4:AK6" si="3">sum(T4:AA4)</f>
        <v>100000</v>
      </c>
      <c r="AL4" s="119">
        <f t="shared" si="2"/>
        <v>150000</v>
      </c>
    </row>
    <row r="5" ht="27.0" customHeight="1">
      <c r="A5" s="12">
        <v>48.0</v>
      </c>
      <c r="B5" s="13" t="s">
        <v>1028</v>
      </c>
      <c r="C5" s="16"/>
      <c r="D5" s="38" t="s">
        <v>194</v>
      </c>
      <c r="E5" s="334" t="s">
        <v>1026</v>
      </c>
      <c r="F5" s="18" t="s">
        <v>196</v>
      </c>
      <c r="G5" s="31" t="s">
        <v>200</v>
      </c>
      <c r="H5" s="12">
        <v>9111.0</v>
      </c>
      <c r="I5" s="40" t="s">
        <v>589</v>
      </c>
      <c r="J5" s="30" t="s">
        <v>590</v>
      </c>
      <c r="K5" s="21" t="s">
        <v>443</v>
      </c>
      <c r="L5" s="166"/>
      <c r="M5" s="166"/>
      <c r="N5" s="113"/>
      <c r="O5" s="113"/>
      <c r="P5" s="113"/>
      <c r="Q5" s="138"/>
      <c r="R5" s="138"/>
      <c r="S5" s="138"/>
      <c r="T5" s="114">
        <v>8333.0</v>
      </c>
      <c r="U5" s="114" t="s">
        <v>440</v>
      </c>
      <c r="V5" s="114">
        <v>8333.0</v>
      </c>
      <c r="W5" s="114">
        <v>8333.0</v>
      </c>
      <c r="X5" s="114">
        <v>8333.0</v>
      </c>
      <c r="Y5" s="114">
        <v>8333.0</v>
      </c>
      <c r="Z5" s="114">
        <v>8333.0</v>
      </c>
      <c r="AA5" s="114">
        <v>8333.0</v>
      </c>
      <c r="AB5" s="113">
        <v>8333.0</v>
      </c>
      <c r="AC5" s="113">
        <v>8333.0</v>
      </c>
      <c r="AD5" s="113">
        <v>8333.0</v>
      </c>
      <c r="AE5" s="113">
        <v>8333.0</v>
      </c>
      <c r="AF5" s="114" t="s">
        <v>424</v>
      </c>
      <c r="AG5" s="138"/>
      <c r="AH5" s="138"/>
      <c r="AI5" s="138"/>
      <c r="AJ5" s="116">
        <f t="shared" si="1"/>
        <v>33332</v>
      </c>
      <c r="AK5" s="118">
        <f t="shared" si="3"/>
        <v>58331</v>
      </c>
      <c r="AL5" s="119">
        <f t="shared" si="2"/>
        <v>91663</v>
      </c>
    </row>
    <row r="6" ht="27.0" customHeight="1">
      <c r="A6" s="12">
        <v>50.0</v>
      </c>
      <c r="B6" s="13" t="s">
        <v>1028</v>
      </c>
      <c r="C6" s="16"/>
      <c r="D6" s="38" t="s">
        <v>194</v>
      </c>
      <c r="E6" s="334" t="s">
        <v>1026</v>
      </c>
      <c r="F6" s="18" t="s">
        <v>196</v>
      </c>
      <c r="G6" s="31" t="s">
        <v>200</v>
      </c>
      <c r="H6" s="12">
        <v>9299.0</v>
      </c>
      <c r="I6" s="40" t="s">
        <v>592</v>
      </c>
      <c r="J6" s="16" t="s">
        <v>593</v>
      </c>
      <c r="K6" s="21" t="s">
        <v>443</v>
      </c>
      <c r="L6" s="166"/>
      <c r="M6" s="166"/>
      <c r="N6" s="113"/>
      <c r="O6" s="113"/>
      <c r="P6" s="113"/>
      <c r="Q6" s="138"/>
      <c r="R6" s="138"/>
      <c r="S6" s="162"/>
      <c r="T6" s="162"/>
      <c r="U6" s="114">
        <v>8333.0</v>
      </c>
      <c r="V6" s="114">
        <v>8333.0</v>
      </c>
      <c r="W6" s="114">
        <v>8333.0</v>
      </c>
      <c r="X6" s="114">
        <v>8333.0</v>
      </c>
      <c r="Y6" s="114">
        <v>8333.0</v>
      </c>
      <c r="Z6" s="114">
        <v>8333.0</v>
      </c>
      <c r="AA6" s="114">
        <v>8333.0</v>
      </c>
      <c r="AB6" s="113">
        <v>8333.0</v>
      </c>
      <c r="AC6" s="113">
        <v>8333.0</v>
      </c>
      <c r="AD6" s="113">
        <v>8333.0</v>
      </c>
      <c r="AE6" s="113">
        <v>8333.0</v>
      </c>
      <c r="AF6" s="113">
        <v>8333.0</v>
      </c>
      <c r="AG6" s="114" t="s">
        <v>424</v>
      </c>
      <c r="AH6" s="114"/>
      <c r="AI6" s="114"/>
      <c r="AJ6" s="116">
        <f t="shared" si="1"/>
        <v>41665</v>
      </c>
      <c r="AK6" s="118">
        <f t="shared" si="3"/>
        <v>58331</v>
      </c>
      <c r="AL6" s="119">
        <f t="shared" si="2"/>
        <v>99996</v>
      </c>
    </row>
    <row r="7" ht="27.0" customHeight="1">
      <c r="A7" s="12">
        <v>53.0</v>
      </c>
      <c r="B7" s="13" t="s">
        <v>1028</v>
      </c>
      <c r="C7" s="16"/>
      <c r="D7" s="38" t="s">
        <v>194</v>
      </c>
      <c r="E7" s="334" t="s">
        <v>1026</v>
      </c>
      <c r="F7" s="18" t="s">
        <v>196</v>
      </c>
      <c r="G7" s="31" t="s">
        <v>200</v>
      </c>
      <c r="H7" s="12">
        <v>9393.0</v>
      </c>
      <c r="I7" s="40" t="s">
        <v>598</v>
      </c>
      <c r="J7" s="16" t="s">
        <v>1077</v>
      </c>
      <c r="K7" s="21" t="s">
        <v>443</v>
      </c>
      <c r="L7" s="166"/>
      <c r="M7" s="166"/>
      <c r="N7" s="113"/>
      <c r="O7" s="113"/>
      <c r="P7" s="113"/>
      <c r="Q7" s="138"/>
      <c r="R7" s="138"/>
      <c r="S7" s="162"/>
      <c r="T7" s="162"/>
      <c r="U7" s="114">
        <v>8333.0</v>
      </c>
      <c r="V7" s="114">
        <v>8333.0</v>
      </c>
      <c r="W7" s="114">
        <v>8333.0</v>
      </c>
      <c r="X7" s="126" t="s">
        <v>128</v>
      </c>
      <c r="Y7" s="114">
        <v>8333.0</v>
      </c>
      <c r="Z7" s="114">
        <v>8333.0</v>
      </c>
      <c r="AA7" s="114">
        <v>8333.0</v>
      </c>
      <c r="AB7" s="113">
        <v>8333.0</v>
      </c>
      <c r="AC7" s="113">
        <v>8333.0</v>
      </c>
      <c r="AD7" s="113">
        <v>8333.0</v>
      </c>
      <c r="AE7" s="113">
        <v>8333.0</v>
      </c>
      <c r="AF7" s="113">
        <v>8333.0</v>
      </c>
      <c r="AG7" s="114" t="s">
        <v>424</v>
      </c>
      <c r="AH7" s="114"/>
      <c r="AI7" s="114"/>
      <c r="AJ7" s="116">
        <f t="shared" si="1"/>
        <v>41665</v>
      </c>
      <c r="AK7" s="118">
        <f>sum(U7:AA7)</f>
        <v>49998</v>
      </c>
      <c r="AL7" s="119">
        <f t="shared" si="2"/>
        <v>91663</v>
      </c>
    </row>
    <row r="8" ht="27.0" customHeight="1">
      <c r="A8" s="12">
        <v>54.0</v>
      </c>
      <c r="B8" s="13" t="s">
        <v>1028</v>
      </c>
      <c r="C8" s="16"/>
      <c r="D8" s="38" t="s">
        <v>194</v>
      </c>
      <c r="E8" s="334" t="s">
        <v>1026</v>
      </c>
      <c r="F8" s="18" t="s">
        <v>196</v>
      </c>
      <c r="G8" s="31" t="s">
        <v>200</v>
      </c>
      <c r="H8" s="12">
        <v>9386.0</v>
      </c>
      <c r="I8" s="40" t="s">
        <v>600</v>
      </c>
      <c r="J8" s="16" t="s">
        <v>601</v>
      </c>
      <c r="K8" s="21" t="s">
        <v>448</v>
      </c>
      <c r="L8" s="166"/>
      <c r="M8" s="166"/>
      <c r="N8" s="113"/>
      <c r="O8" s="113"/>
      <c r="P8" s="113"/>
      <c r="Q8" s="138"/>
      <c r="R8" s="138"/>
      <c r="S8" s="138"/>
      <c r="T8" s="138"/>
      <c r="U8" s="167"/>
      <c r="V8" s="114">
        <v>12500.0</v>
      </c>
      <c r="W8" s="114">
        <v>12500.0</v>
      </c>
      <c r="X8" s="114">
        <v>12500.0</v>
      </c>
      <c r="Y8" s="114">
        <v>12500.0</v>
      </c>
      <c r="Z8" s="114">
        <v>12500.0</v>
      </c>
      <c r="AA8" s="114">
        <v>12500.0</v>
      </c>
      <c r="AB8" s="113">
        <v>12500.0</v>
      </c>
      <c r="AC8" s="113">
        <v>12500.0</v>
      </c>
      <c r="AD8" s="113">
        <v>12500.0</v>
      </c>
      <c r="AE8" s="113">
        <v>12500.0</v>
      </c>
      <c r="AF8" s="113">
        <v>12500.0</v>
      </c>
      <c r="AG8" s="126" t="s">
        <v>128</v>
      </c>
      <c r="AH8" s="114" t="s">
        <v>424</v>
      </c>
      <c r="AI8" s="114"/>
      <c r="AJ8" s="116">
        <f t="shared" si="1"/>
        <v>62500</v>
      </c>
      <c r="AK8" s="118">
        <f>sum(V8:AA8)</f>
        <v>75000</v>
      </c>
      <c r="AL8" s="119">
        <f t="shared" si="2"/>
        <v>137500</v>
      </c>
    </row>
    <row r="9" ht="27.0" customHeight="1">
      <c r="A9" s="12">
        <v>61.0</v>
      </c>
      <c r="B9" s="13" t="s">
        <v>1028</v>
      </c>
      <c r="C9" s="16"/>
      <c r="D9" s="38" t="s">
        <v>194</v>
      </c>
      <c r="E9" s="334" t="s">
        <v>1026</v>
      </c>
      <c r="F9" s="18" t="s">
        <v>196</v>
      </c>
      <c r="G9" s="31" t="s">
        <v>200</v>
      </c>
      <c r="H9" s="12">
        <v>10027.0</v>
      </c>
      <c r="I9" s="40" t="s">
        <v>614</v>
      </c>
      <c r="J9" s="16" t="s">
        <v>615</v>
      </c>
      <c r="K9" s="21" t="s">
        <v>443</v>
      </c>
      <c r="L9" s="166"/>
      <c r="M9" s="166"/>
      <c r="N9" s="113"/>
      <c r="O9" s="113"/>
      <c r="P9" s="113"/>
      <c r="Q9" s="138"/>
      <c r="R9" s="138"/>
      <c r="S9" s="138"/>
      <c r="T9" s="138"/>
      <c r="U9" s="167"/>
      <c r="V9" s="167"/>
      <c r="W9" s="167"/>
      <c r="X9" s="114">
        <v>8333.0</v>
      </c>
      <c r="Y9" s="114">
        <v>8333.0</v>
      </c>
      <c r="Z9" s="114">
        <v>8333.0</v>
      </c>
      <c r="AA9" s="114">
        <v>8333.0</v>
      </c>
      <c r="AB9" s="113">
        <v>8333.0</v>
      </c>
      <c r="AC9" s="113">
        <v>8333.0</v>
      </c>
      <c r="AD9" s="113">
        <v>8333.0</v>
      </c>
      <c r="AE9" s="113">
        <v>8333.0</v>
      </c>
      <c r="AF9" s="113">
        <v>8333.0</v>
      </c>
      <c r="AG9" s="113">
        <v>8333.0</v>
      </c>
      <c r="AH9" s="113">
        <v>8333.0</v>
      </c>
      <c r="AI9" s="113"/>
      <c r="AJ9" s="116">
        <f t="shared" si="1"/>
        <v>58331</v>
      </c>
      <c r="AK9" s="118">
        <f>sum(X9:AA9)</f>
        <v>33332</v>
      </c>
      <c r="AL9" s="119">
        <f t="shared" si="2"/>
        <v>91663</v>
      </c>
    </row>
    <row r="10" ht="27.0" customHeight="1">
      <c r="A10" s="12">
        <v>62.0</v>
      </c>
      <c r="B10" s="13" t="s">
        <v>1028</v>
      </c>
      <c r="C10" s="16"/>
      <c r="D10" s="38" t="s">
        <v>194</v>
      </c>
      <c r="E10" s="334" t="s">
        <v>1026</v>
      </c>
      <c r="F10" s="18" t="s">
        <v>196</v>
      </c>
      <c r="G10" s="31" t="s">
        <v>200</v>
      </c>
      <c r="H10" s="12">
        <v>10142.0</v>
      </c>
      <c r="I10" s="40" t="s">
        <v>616</v>
      </c>
      <c r="J10" s="16" t="s">
        <v>617</v>
      </c>
      <c r="K10" s="21" t="s">
        <v>439</v>
      </c>
      <c r="L10" s="166"/>
      <c r="M10" s="166"/>
      <c r="N10" s="113"/>
      <c r="O10" s="113"/>
      <c r="P10" s="113"/>
      <c r="Q10" s="138"/>
      <c r="R10" s="138"/>
      <c r="S10" s="138"/>
      <c r="T10" s="138"/>
      <c r="U10" s="167"/>
      <c r="V10" s="167"/>
      <c r="W10" s="167"/>
      <c r="X10" s="167"/>
      <c r="Y10" s="114">
        <v>75000.0</v>
      </c>
      <c r="Z10" s="114" t="s">
        <v>128</v>
      </c>
      <c r="AA10" s="114" t="s">
        <v>128</v>
      </c>
      <c r="AB10" s="114" t="s">
        <v>128</v>
      </c>
      <c r="AC10" s="114" t="s">
        <v>128</v>
      </c>
      <c r="AD10" s="114" t="s">
        <v>128</v>
      </c>
      <c r="AE10" s="114" t="s">
        <v>128</v>
      </c>
      <c r="AF10" s="137">
        <v>75000.0</v>
      </c>
      <c r="AG10" s="114" t="s">
        <v>128</v>
      </c>
      <c r="AH10" s="114" t="s">
        <v>128</v>
      </c>
      <c r="AI10" s="114" t="s">
        <v>128</v>
      </c>
      <c r="AJ10" s="116">
        <f t="shared" si="1"/>
        <v>75000</v>
      </c>
      <c r="AK10" s="118">
        <f>sum(Y10)</f>
        <v>75000</v>
      </c>
      <c r="AL10" s="119">
        <f t="shared" si="2"/>
        <v>150000</v>
      </c>
    </row>
    <row r="11" ht="27.0" customHeight="1">
      <c r="A11" s="12">
        <v>63.0</v>
      </c>
      <c r="B11" s="13" t="s">
        <v>1028</v>
      </c>
      <c r="C11" s="16"/>
      <c r="D11" s="38" t="s">
        <v>194</v>
      </c>
      <c r="E11" s="334" t="s">
        <v>1026</v>
      </c>
      <c r="F11" s="18" t="s">
        <v>196</v>
      </c>
      <c r="G11" s="31" t="s">
        <v>200</v>
      </c>
      <c r="H11" s="12">
        <v>10213.0</v>
      </c>
      <c r="I11" s="40" t="s">
        <v>618</v>
      </c>
      <c r="J11" s="30" t="s">
        <v>1078</v>
      </c>
      <c r="K11" s="21" t="s">
        <v>443</v>
      </c>
      <c r="L11" s="166"/>
      <c r="M11" s="166"/>
      <c r="N11" s="113"/>
      <c r="O11" s="113"/>
      <c r="P11" s="113"/>
      <c r="Q11" s="138"/>
      <c r="R11" s="138"/>
      <c r="S11" s="138"/>
      <c r="T11" s="138"/>
      <c r="U11" s="167"/>
      <c r="V11" s="167"/>
      <c r="W11" s="167"/>
      <c r="X11" s="167"/>
      <c r="Y11" s="114">
        <v>8333.0</v>
      </c>
      <c r="Z11" s="114">
        <v>8333.0</v>
      </c>
      <c r="AA11" s="114">
        <v>8333.0</v>
      </c>
      <c r="AB11" s="113">
        <v>8333.0</v>
      </c>
      <c r="AC11" s="113">
        <v>8333.0</v>
      </c>
      <c r="AD11" s="113">
        <v>8333.0</v>
      </c>
      <c r="AE11" s="113">
        <v>8333.0</v>
      </c>
      <c r="AF11" s="113">
        <v>8333.0</v>
      </c>
      <c r="AG11" s="113">
        <v>8333.0</v>
      </c>
      <c r="AH11" s="114" t="s">
        <v>128</v>
      </c>
      <c r="AI11" s="113"/>
      <c r="AJ11" s="116">
        <f t="shared" si="1"/>
        <v>49998</v>
      </c>
      <c r="AK11" s="118">
        <f>sum(Y11:AA11)</f>
        <v>24999</v>
      </c>
      <c r="AL11" s="119">
        <f t="shared" si="2"/>
        <v>74997</v>
      </c>
    </row>
    <row r="12" ht="27.0" customHeight="1">
      <c r="A12" s="12">
        <v>66.0</v>
      </c>
      <c r="B12" s="13" t="s">
        <v>1028</v>
      </c>
      <c r="C12" s="16"/>
      <c r="D12" s="38" t="s">
        <v>194</v>
      </c>
      <c r="E12" s="334" t="s">
        <v>1026</v>
      </c>
      <c r="F12" s="18" t="s">
        <v>196</v>
      </c>
      <c r="G12" s="31" t="s">
        <v>200</v>
      </c>
      <c r="H12" s="12">
        <v>10966.0</v>
      </c>
      <c r="I12" s="40" t="s">
        <v>624</v>
      </c>
      <c r="J12" s="168" t="s">
        <v>624</v>
      </c>
      <c r="K12" s="21" t="s">
        <v>448</v>
      </c>
      <c r="L12" s="166"/>
      <c r="M12" s="166"/>
      <c r="N12" s="113"/>
      <c r="O12" s="113"/>
      <c r="P12" s="113"/>
      <c r="Q12" s="138"/>
      <c r="R12" s="138"/>
      <c r="S12" s="138"/>
      <c r="T12" s="138"/>
      <c r="U12" s="167"/>
      <c r="V12" s="167"/>
      <c r="W12" s="167"/>
      <c r="X12" s="167"/>
      <c r="Y12" s="167"/>
      <c r="Z12" s="167"/>
      <c r="AA12" s="167"/>
      <c r="AB12" s="113">
        <v>12500.0</v>
      </c>
      <c r="AC12" s="113">
        <v>12500.0</v>
      </c>
      <c r="AD12" s="126" t="s">
        <v>128</v>
      </c>
      <c r="AE12" s="113">
        <v>12500.0</v>
      </c>
      <c r="AF12" s="113">
        <v>12500.0</v>
      </c>
      <c r="AG12" s="113">
        <v>12500.0</v>
      </c>
      <c r="AH12" s="114" t="s">
        <v>440</v>
      </c>
      <c r="AI12" s="113">
        <v>12500.0</v>
      </c>
      <c r="AJ12" s="116">
        <f t="shared" si="1"/>
        <v>75000</v>
      </c>
      <c r="AK12" s="118">
        <v>0.0</v>
      </c>
      <c r="AL12" s="119">
        <f t="shared" si="2"/>
        <v>75000</v>
      </c>
    </row>
    <row r="13" ht="27.0" customHeight="1">
      <c r="A13" s="12">
        <v>67.0</v>
      </c>
      <c r="B13" s="13" t="s">
        <v>1028</v>
      </c>
      <c r="C13" s="16"/>
      <c r="D13" s="38" t="s">
        <v>194</v>
      </c>
      <c r="E13" s="334" t="s">
        <v>1026</v>
      </c>
      <c r="F13" s="18" t="s">
        <v>196</v>
      </c>
      <c r="G13" s="31" t="s">
        <v>200</v>
      </c>
      <c r="H13" s="12">
        <v>11046.0</v>
      </c>
      <c r="I13" s="40" t="s">
        <v>625</v>
      </c>
      <c r="J13" s="30" t="s">
        <v>625</v>
      </c>
      <c r="K13" s="21" t="s">
        <v>421</v>
      </c>
      <c r="L13" s="166">
        <v>45316.0</v>
      </c>
      <c r="M13" s="166">
        <v>45709.0</v>
      </c>
      <c r="N13" s="113"/>
      <c r="O13" s="113"/>
      <c r="P13" s="113"/>
      <c r="Q13" s="138"/>
      <c r="R13" s="138"/>
      <c r="S13" s="138"/>
      <c r="T13" s="138"/>
      <c r="U13" s="167"/>
      <c r="V13" s="167"/>
      <c r="W13" s="167"/>
      <c r="X13" s="167"/>
      <c r="Y13" s="167"/>
      <c r="Z13" s="167"/>
      <c r="AA13" s="167"/>
      <c r="AB13" s="113">
        <v>150000.0</v>
      </c>
      <c r="AC13" s="113" t="s">
        <v>128</v>
      </c>
      <c r="AD13" s="113" t="s">
        <v>128</v>
      </c>
      <c r="AE13" s="113" t="s">
        <v>128</v>
      </c>
      <c r="AF13" s="113" t="s">
        <v>128</v>
      </c>
      <c r="AG13" s="113" t="s">
        <v>128</v>
      </c>
      <c r="AH13" s="113" t="s">
        <v>128</v>
      </c>
      <c r="AI13" s="113" t="s">
        <v>128</v>
      </c>
      <c r="AJ13" s="116">
        <f t="shared" si="1"/>
        <v>150000</v>
      </c>
      <c r="AK13" s="118">
        <v>0.0</v>
      </c>
      <c r="AL13" s="119">
        <f t="shared" si="2"/>
        <v>150000</v>
      </c>
    </row>
    <row r="14" ht="27.0" customHeight="1">
      <c r="A14" s="12">
        <v>68.0</v>
      </c>
      <c r="B14" s="13" t="s">
        <v>1028</v>
      </c>
      <c r="C14" s="16"/>
      <c r="D14" s="38" t="s">
        <v>194</v>
      </c>
      <c r="E14" s="334" t="s">
        <v>1026</v>
      </c>
      <c r="F14" s="18" t="s">
        <v>196</v>
      </c>
      <c r="G14" s="31" t="s">
        <v>200</v>
      </c>
      <c r="H14" s="12">
        <v>11052.0</v>
      </c>
      <c r="I14" s="40" t="s">
        <v>626</v>
      </c>
      <c r="J14" s="30" t="s">
        <v>627</v>
      </c>
      <c r="K14" s="21" t="s">
        <v>439</v>
      </c>
      <c r="L14" s="166"/>
      <c r="M14" s="166"/>
      <c r="N14" s="113"/>
      <c r="O14" s="113"/>
      <c r="P14" s="113"/>
      <c r="Q14" s="138"/>
      <c r="R14" s="138"/>
      <c r="S14" s="138"/>
      <c r="T14" s="138"/>
      <c r="U14" s="167"/>
      <c r="V14" s="167"/>
      <c r="W14" s="167"/>
      <c r="X14" s="167"/>
      <c r="Y14" s="167"/>
      <c r="Z14" s="167"/>
      <c r="AA14" s="167"/>
      <c r="AB14" s="113">
        <v>75000.0</v>
      </c>
      <c r="AC14" s="113" t="s">
        <v>128</v>
      </c>
      <c r="AD14" s="113" t="s">
        <v>128</v>
      </c>
      <c r="AE14" s="113" t="s">
        <v>128</v>
      </c>
      <c r="AF14" s="113" t="s">
        <v>128</v>
      </c>
      <c r="AG14" s="113" t="s">
        <v>128</v>
      </c>
      <c r="AH14" s="113">
        <v>75000.0</v>
      </c>
      <c r="AI14" s="113" t="s">
        <v>128</v>
      </c>
      <c r="AJ14" s="116">
        <f t="shared" si="1"/>
        <v>75000</v>
      </c>
      <c r="AK14" s="118">
        <v>0.0</v>
      </c>
      <c r="AL14" s="119">
        <f>SUM(AB14)</f>
        <v>75000</v>
      </c>
    </row>
    <row r="15" ht="27.0" customHeight="1">
      <c r="A15" s="12">
        <v>69.0</v>
      </c>
      <c r="B15" s="13" t="s">
        <v>1028</v>
      </c>
      <c r="C15" s="16"/>
      <c r="D15" s="38" t="s">
        <v>194</v>
      </c>
      <c r="E15" s="334" t="s">
        <v>1026</v>
      </c>
      <c r="F15" s="18" t="s">
        <v>196</v>
      </c>
      <c r="G15" s="31" t="s">
        <v>200</v>
      </c>
      <c r="H15" s="12">
        <v>11165.0</v>
      </c>
      <c r="I15" s="40" t="s">
        <v>35</v>
      </c>
      <c r="J15" s="30" t="s">
        <v>36</v>
      </c>
      <c r="K15" s="21" t="s">
        <v>421</v>
      </c>
      <c r="L15" s="166">
        <v>45337.0</v>
      </c>
      <c r="M15" s="166">
        <v>45757.0</v>
      </c>
      <c r="N15" s="113"/>
      <c r="O15" s="113"/>
      <c r="P15" s="113"/>
      <c r="Q15" s="138"/>
      <c r="R15" s="138"/>
      <c r="S15" s="138"/>
      <c r="T15" s="138"/>
      <c r="U15" s="167"/>
      <c r="V15" s="167"/>
      <c r="W15" s="167"/>
      <c r="X15" s="167"/>
      <c r="Y15" s="167"/>
      <c r="Z15" s="167"/>
      <c r="AA15" s="167"/>
      <c r="AB15" s="113">
        <v>150000.0</v>
      </c>
      <c r="AC15" s="113" t="s">
        <v>128</v>
      </c>
      <c r="AD15" s="113" t="s">
        <v>128</v>
      </c>
      <c r="AE15" s="113" t="s">
        <v>128</v>
      </c>
      <c r="AF15" s="113" t="s">
        <v>128</v>
      </c>
      <c r="AG15" s="113" t="s">
        <v>128</v>
      </c>
      <c r="AH15" s="113" t="s">
        <v>128</v>
      </c>
      <c r="AI15" s="113" t="s">
        <v>128</v>
      </c>
      <c r="AJ15" s="116">
        <f t="shared" si="1"/>
        <v>150000</v>
      </c>
      <c r="AK15" s="118">
        <v>0.0</v>
      </c>
      <c r="AL15" s="119">
        <f t="shared" ref="AL15:AL22" si="4">SUM(N15:AI15)</f>
        <v>150000</v>
      </c>
    </row>
    <row r="16" ht="27.0" customHeight="1">
      <c r="A16" s="12">
        <v>70.0</v>
      </c>
      <c r="B16" s="13" t="s">
        <v>1028</v>
      </c>
      <c r="C16" s="16"/>
      <c r="D16" s="38" t="s">
        <v>194</v>
      </c>
      <c r="E16" s="334" t="s">
        <v>1026</v>
      </c>
      <c r="F16" s="18" t="s">
        <v>196</v>
      </c>
      <c r="G16" s="31" t="s">
        <v>200</v>
      </c>
      <c r="H16" s="12">
        <v>11265.0</v>
      </c>
      <c r="I16" s="40" t="s">
        <v>628</v>
      </c>
      <c r="J16" s="30" t="s">
        <v>629</v>
      </c>
      <c r="K16" s="21" t="s">
        <v>421</v>
      </c>
      <c r="L16" s="166">
        <v>45340.0</v>
      </c>
      <c r="M16" s="166">
        <v>45700.0</v>
      </c>
      <c r="N16" s="113"/>
      <c r="O16" s="113"/>
      <c r="P16" s="113"/>
      <c r="Q16" s="138"/>
      <c r="R16" s="138"/>
      <c r="S16" s="138"/>
      <c r="T16" s="138"/>
      <c r="U16" s="167"/>
      <c r="V16" s="167"/>
      <c r="W16" s="167"/>
      <c r="X16" s="167"/>
      <c r="Y16" s="167"/>
      <c r="Z16" s="167"/>
      <c r="AA16" s="167"/>
      <c r="AB16" s="138"/>
      <c r="AC16" s="113">
        <v>150000.0</v>
      </c>
      <c r="AD16" s="113" t="s">
        <v>128</v>
      </c>
      <c r="AE16" s="113" t="s">
        <v>128</v>
      </c>
      <c r="AF16" s="113" t="s">
        <v>128</v>
      </c>
      <c r="AG16" s="113" t="s">
        <v>128</v>
      </c>
      <c r="AH16" s="113" t="s">
        <v>128</v>
      </c>
      <c r="AI16" s="113" t="s">
        <v>128</v>
      </c>
      <c r="AJ16" s="116">
        <f t="shared" si="1"/>
        <v>150000</v>
      </c>
      <c r="AK16" s="118">
        <v>0.0</v>
      </c>
      <c r="AL16" s="119">
        <f t="shared" si="4"/>
        <v>150000</v>
      </c>
    </row>
    <row r="17" ht="27.0" customHeight="1">
      <c r="A17" s="12">
        <v>71.0</v>
      </c>
      <c r="B17" s="13" t="s">
        <v>1028</v>
      </c>
      <c r="C17" s="16"/>
      <c r="D17" s="38" t="s">
        <v>194</v>
      </c>
      <c r="E17" s="334" t="s">
        <v>1026</v>
      </c>
      <c r="F17" s="18" t="s">
        <v>196</v>
      </c>
      <c r="G17" s="31" t="s">
        <v>200</v>
      </c>
      <c r="H17" s="12">
        <v>11307.0</v>
      </c>
      <c r="I17" s="40" t="s">
        <v>630</v>
      </c>
      <c r="J17" s="30" t="s">
        <v>631</v>
      </c>
      <c r="K17" s="21" t="s">
        <v>443</v>
      </c>
      <c r="L17" s="166"/>
      <c r="M17" s="166"/>
      <c r="N17" s="113"/>
      <c r="O17" s="113"/>
      <c r="P17" s="113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13">
        <v>12500.0</v>
      </c>
      <c r="AD17" s="113">
        <v>12500.0</v>
      </c>
      <c r="AE17" s="113">
        <v>12500.0</v>
      </c>
      <c r="AF17" s="113">
        <v>12500.0</v>
      </c>
      <c r="AG17" s="126" t="s">
        <v>128</v>
      </c>
      <c r="AH17" s="113">
        <v>8333.0</v>
      </c>
      <c r="AI17" s="113"/>
      <c r="AJ17" s="116">
        <f t="shared" si="1"/>
        <v>58333</v>
      </c>
      <c r="AK17" s="118">
        <v>0.0</v>
      </c>
      <c r="AL17" s="119">
        <f t="shared" si="4"/>
        <v>58333</v>
      </c>
    </row>
    <row r="18" ht="27.0" customHeight="1">
      <c r="A18" s="12">
        <v>72.0</v>
      </c>
      <c r="B18" s="13" t="s">
        <v>1028</v>
      </c>
      <c r="C18" s="16"/>
      <c r="D18" s="38" t="s">
        <v>194</v>
      </c>
      <c r="E18" s="334" t="s">
        <v>1026</v>
      </c>
      <c r="F18" s="18" t="s">
        <v>196</v>
      </c>
      <c r="G18" s="31" t="s">
        <v>200</v>
      </c>
      <c r="H18" s="12">
        <v>11378.0</v>
      </c>
      <c r="I18" s="40" t="s">
        <v>633</v>
      </c>
      <c r="J18" s="30" t="s">
        <v>634</v>
      </c>
      <c r="K18" s="21" t="s">
        <v>448</v>
      </c>
      <c r="L18" s="166"/>
      <c r="M18" s="166"/>
      <c r="N18" s="113"/>
      <c r="O18" s="113"/>
      <c r="P18" s="113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13">
        <v>12500.0</v>
      </c>
      <c r="AD18" s="113">
        <v>12500.0</v>
      </c>
      <c r="AE18" s="113">
        <v>12500.0</v>
      </c>
      <c r="AF18" s="113">
        <v>12500.0</v>
      </c>
      <c r="AG18" s="113">
        <v>12500.0</v>
      </c>
      <c r="AH18" s="113">
        <v>12500.0</v>
      </c>
      <c r="AI18" s="113"/>
      <c r="AJ18" s="116">
        <f t="shared" si="1"/>
        <v>75000</v>
      </c>
      <c r="AK18" s="118">
        <v>0.0</v>
      </c>
      <c r="AL18" s="119">
        <f t="shared" si="4"/>
        <v>75000</v>
      </c>
    </row>
    <row r="19" ht="27.0" customHeight="1">
      <c r="A19" s="12">
        <v>74.0</v>
      </c>
      <c r="B19" s="13" t="s">
        <v>1028</v>
      </c>
      <c r="C19" s="16"/>
      <c r="D19" s="38" t="s">
        <v>194</v>
      </c>
      <c r="E19" s="334" t="s">
        <v>1026</v>
      </c>
      <c r="F19" s="18" t="s">
        <v>196</v>
      </c>
      <c r="G19" s="31" t="s">
        <v>200</v>
      </c>
      <c r="H19" s="12">
        <v>11494.0</v>
      </c>
      <c r="I19" s="40" t="s">
        <v>637</v>
      </c>
      <c r="J19" s="30" t="s">
        <v>638</v>
      </c>
      <c r="K19" s="21" t="s">
        <v>421</v>
      </c>
      <c r="L19" s="166">
        <v>45355.0</v>
      </c>
      <c r="M19" s="166">
        <v>45758.0</v>
      </c>
      <c r="N19" s="113"/>
      <c r="O19" s="113"/>
      <c r="P19" s="113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13">
        <v>150000.0</v>
      </c>
      <c r="AE19" s="113" t="s">
        <v>128</v>
      </c>
      <c r="AF19" s="113" t="s">
        <v>128</v>
      </c>
      <c r="AG19" s="113" t="s">
        <v>128</v>
      </c>
      <c r="AH19" s="113" t="s">
        <v>128</v>
      </c>
      <c r="AI19" s="113" t="s">
        <v>128</v>
      </c>
      <c r="AJ19" s="116">
        <f t="shared" si="1"/>
        <v>150000</v>
      </c>
      <c r="AK19" s="118">
        <v>0.0</v>
      </c>
      <c r="AL19" s="119">
        <f t="shared" si="4"/>
        <v>150000</v>
      </c>
    </row>
    <row r="20" ht="27.0" customHeight="1">
      <c r="A20" s="12">
        <v>75.0</v>
      </c>
      <c r="B20" s="13" t="s">
        <v>1028</v>
      </c>
      <c r="C20" s="16"/>
      <c r="D20" s="38" t="s">
        <v>194</v>
      </c>
      <c r="E20" s="334" t="s">
        <v>1026</v>
      </c>
      <c r="F20" s="18" t="s">
        <v>196</v>
      </c>
      <c r="G20" s="31" t="s">
        <v>200</v>
      </c>
      <c r="H20" s="12">
        <v>11515.0</v>
      </c>
      <c r="I20" s="40" t="s">
        <v>639</v>
      </c>
      <c r="J20" s="30" t="s">
        <v>89</v>
      </c>
      <c r="K20" s="21" t="s">
        <v>421</v>
      </c>
      <c r="L20" s="166">
        <v>45362.0</v>
      </c>
      <c r="M20" s="166">
        <v>45759.0</v>
      </c>
      <c r="N20" s="113"/>
      <c r="O20" s="113"/>
      <c r="P20" s="113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13">
        <v>150000.0</v>
      </c>
      <c r="AE20" s="113" t="s">
        <v>128</v>
      </c>
      <c r="AF20" s="113" t="s">
        <v>128</v>
      </c>
      <c r="AG20" s="113" t="s">
        <v>128</v>
      </c>
      <c r="AH20" s="113" t="s">
        <v>128</v>
      </c>
      <c r="AI20" s="113" t="s">
        <v>128</v>
      </c>
      <c r="AJ20" s="116">
        <f t="shared" si="1"/>
        <v>150000</v>
      </c>
      <c r="AK20" s="118">
        <v>0.0</v>
      </c>
      <c r="AL20" s="119">
        <f t="shared" si="4"/>
        <v>150000</v>
      </c>
    </row>
    <row r="21" ht="27.0" customHeight="1">
      <c r="A21" s="12">
        <v>76.0</v>
      </c>
      <c r="B21" s="13" t="s">
        <v>1028</v>
      </c>
      <c r="C21" s="16"/>
      <c r="D21" s="38" t="s">
        <v>194</v>
      </c>
      <c r="E21" s="334" t="s">
        <v>1026</v>
      </c>
      <c r="F21" s="18" t="s">
        <v>196</v>
      </c>
      <c r="G21" s="31" t="s">
        <v>200</v>
      </c>
      <c r="H21" s="12">
        <v>11499.0</v>
      </c>
      <c r="I21" s="40" t="s">
        <v>640</v>
      </c>
      <c r="J21" s="30" t="s">
        <v>641</v>
      </c>
      <c r="K21" s="21" t="s">
        <v>443</v>
      </c>
      <c r="L21" s="166"/>
      <c r="M21" s="166"/>
      <c r="N21" s="113"/>
      <c r="O21" s="113"/>
      <c r="P21" s="113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13">
        <v>8333.0</v>
      </c>
      <c r="AE21" s="113">
        <v>8333.0</v>
      </c>
      <c r="AF21" s="113">
        <v>8333.0</v>
      </c>
      <c r="AG21" s="113">
        <v>8333.0</v>
      </c>
      <c r="AH21" s="113">
        <v>8333.0</v>
      </c>
      <c r="AI21" s="113">
        <v>8333.0</v>
      </c>
      <c r="AJ21" s="116">
        <f t="shared" si="1"/>
        <v>49998</v>
      </c>
      <c r="AK21" s="118">
        <v>0.0</v>
      </c>
      <c r="AL21" s="119">
        <f t="shared" si="4"/>
        <v>49998</v>
      </c>
    </row>
    <row r="22" ht="27.0" customHeight="1">
      <c r="A22" s="12">
        <v>77.0</v>
      </c>
      <c r="B22" s="13" t="s">
        <v>1028</v>
      </c>
      <c r="C22" s="16"/>
      <c r="D22" s="38" t="s">
        <v>194</v>
      </c>
      <c r="E22" s="334" t="s">
        <v>1026</v>
      </c>
      <c r="F22" s="18" t="s">
        <v>196</v>
      </c>
      <c r="G22" s="31" t="s">
        <v>200</v>
      </c>
      <c r="H22" s="12">
        <v>11654.0</v>
      </c>
      <c r="I22" s="40" t="s">
        <v>642</v>
      </c>
      <c r="J22" s="30" t="s">
        <v>643</v>
      </c>
      <c r="K22" s="21" t="s">
        <v>421</v>
      </c>
      <c r="L22" s="166">
        <v>45385.0</v>
      </c>
      <c r="M22" s="166">
        <v>45775.0</v>
      </c>
      <c r="N22" s="113"/>
      <c r="O22" s="113"/>
      <c r="P22" s="113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13">
        <v>150000.0</v>
      </c>
      <c r="AE22" s="113" t="s">
        <v>128</v>
      </c>
      <c r="AF22" s="113" t="s">
        <v>128</v>
      </c>
      <c r="AG22" s="113" t="s">
        <v>128</v>
      </c>
      <c r="AH22" s="113" t="s">
        <v>128</v>
      </c>
      <c r="AI22" s="113" t="s">
        <v>128</v>
      </c>
      <c r="AJ22" s="116">
        <f t="shared" si="1"/>
        <v>150000</v>
      </c>
      <c r="AK22" s="118">
        <v>0.0</v>
      </c>
      <c r="AL22" s="119">
        <f t="shared" si="4"/>
        <v>150000</v>
      </c>
    </row>
    <row r="23" ht="27.0" customHeight="1">
      <c r="A23" s="94"/>
      <c r="B23" s="94"/>
      <c r="C23" s="239"/>
      <c r="D23" s="311"/>
      <c r="E23" s="332"/>
      <c r="F23" s="309"/>
      <c r="G23" s="310"/>
      <c r="H23" s="309"/>
      <c r="I23" s="333"/>
      <c r="J23" s="98" t="s">
        <v>1002</v>
      </c>
      <c r="K23" s="98"/>
      <c r="L23" s="246"/>
      <c r="M23" s="246"/>
      <c r="N23" s="247">
        <f t="shared" ref="N23:AH23" si="5">sum(N3:N22)</f>
        <v>0</v>
      </c>
      <c r="O23" s="247">
        <f t="shared" si="5"/>
        <v>0</v>
      </c>
      <c r="P23" s="247">
        <f t="shared" si="5"/>
        <v>0</v>
      </c>
      <c r="Q23" s="247">
        <f t="shared" si="5"/>
        <v>8333</v>
      </c>
      <c r="R23" s="247">
        <f t="shared" si="5"/>
        <v>8333</v>
      </c>
      <c r="S23" s="247">
        <f t="shared" si="5"/>
        <v>8333</v>
      </c>
      <c r="T23" s="247">
        <f t="shared" si="5"/>
        <v>29166</v>
      </c>
      <c r="U23" s="247">
        <f t="shared" si="5"/>
        <v>37499</v>
      </c>
      <c r="V23" s="247">
        <f t="shared" si="5"/>
        <v>58332</v>
      </c>
      <c r="W23" s="247">
        <f t="shared" si="5"/>
        <v>58332</v>
      </c>
      <c r="X23" s="247">
        <f t="shared" si="5"/>
        <v>58332</v>
      </c>
      <c r="Y23" s="247">
        <f t="shared" si="5"/>
        <v>149998</v>
      </c>
      <c r="Z23" s="247">
        <f t="shared" si="5"/>
        <v>74998</v>
      </c>
      <c r="AA23" s="247">
        <f t="shared" si="5"/>
        <v>74998</v>
      </c>
      <c r="AB23" s="247">
        <f t="shared" si="5"/>
        <v>462498</v>
      </c>
      <c r="AC23" s="247">
        <f t="shared" si="5"/>
        <v>254165</v>
      </c>
      <c r="AD23" s="247">
        <f t="shared" si="5"/>
        <v>549998</v>
      </c>
      <c r="AE23" s="247">
        <f t="shared" si="5"/>
        <v>112498</v>
      </c>
      <c r="AF23" s="247">
        <f t="shared" si="5"/>
        <v>166665</v>
      </c>
      <c r="AG23" s="247">
        <f t="shared" si="5"/>
        <v>49999</v>
      </c>
      <c r="AH23" s="247">
        <f t="shared" si="5"/>
        <v>112499</v>
      </c>
      <c r="AI23" s="247"/>
      <c r="AJ23" s="247">
        <f t="shared" ref="AJ23:AL23" si="6">sum(AJ3:AJ22)</f>
        <v>1654155</v>
      </c>
      <c r="AK23" s="247">
        <f t="shared" si="6"/>
        <v>566654</v>
      </c>
      <c r="AL23" s="247">
        <f t="shared" si="6"/>
        <v>2220809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L$23"/>
  <mergeCells count="4">
    <mergeCell ref="N1:O1"/>
    <mergeCell ref="T1:AA1"/>
    <mergeCell ref="AB1:AF1"/>
    <mergeCell ref="AJ1:AL1"/>
  </mergeCells>
  <dataValidations>
    <dataValidation type="list" allowBlank="1" showErrorMessage="1" sqref="K3:K22">
      <formula1>"Basic 1 Bulan,Bisnis 1 Bulan,Basic 3 Bulan,Bisnis 3 Bulan,Basic 6 Bulan,Bisnis 6 Bulan,Basic 12 Bulan,Bisnis 12 Bulan"</formula1>
    </dataValidation>
    <dataValidation type="list" allowBlank="1" showErrorMessage="1" sqref="B3:B22">
      <formula1>"FRANCHISE (Jual Brand Usaha),REFERAL (Berlangganan),AFILIASI (Perlengkapan  Ex. Mesin,Parfum,Dll)"</formula1>
    </dataValidation>
  </dataValidations>
  <hyperlinks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  <legacyDrawing r:id="rId2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25"/>
    <col customWidth="1" min="2" max="2" width="17.5"/>
    <col customWidth="1" min="3" max="3" width="8.0"/>
    <col customWidth="1" min="4" max="4" width="9.5"/>
    <col customWidth="1" min="5" max="5" width="17.63"/>
    <col customWidth="1" min="6" max="6" width="11.5"/>
    <col customWidth="1" min="7" max="7" width="31.25"/>
    <col customWidth="1" min="8" max="8" width="9.88"/>
    <col customWidth="1" min="9" max="9" width="18.63"/>
    <col customWidth="1" min="10" max="10" width="23.75"/>
    <col customWidth="1" min="11" max="11" width="9.63"/>
    <col customWidth="1" min="12" max="12" width="9.5"/>
    <col customWidth="1" min="13" max="13" width="8.25"/>
    <col customWidth="1" min="14" max="14" width="8.88"/>
    <col customWidth="1" min="15" max="32" width="8.25"/>
    <col customWidth="1" hidden="1" min="33" max="33" width="8.25"/>
    <col customWidth="1" min="34" max="36" width="9.75"/>
  </cols>
  <sheetData>
    <row r="1" ht="15.75" customHeight="1">
      <c r="A1" s="8"/>
      <c r="B1" s="1"/>
      <c r="C1" s="3"/>
      <c r="D1" s="3"/>
      <c r="E1" s="9"/>
      <c r="F1" s="5"/>
      <c r="G1" s="5"/>
      <c r="H1" s="8" t="s">
        <v>1050</v>
      </c>
      <c r="K1" s="1" t="s">
        <v>1051</v>
      </c>
      <c r="M1" s="102" t="s">
        <v>394</v>
      </c>
      <c r="O1" s="102"/>
      <c r="P1" s="102"/>
      <c r="Q1" s="102"/>
      <c r="R1" s="102"/>
      <c r="S1" s="102" t="s">
        <v>395</v>
      </c>
      <c r="AA1" s="103" t="s">
        <v>396</v>
      </c>
      <c r="AF1" s="103"/>
      <c r="AG1" s="103"/>
      <c r="AH1" s="102" t="s">
        <v>399</v>
      </c>
    </row>
    <row r="2" ht="15.75" customHeight="1">
      <c r="A2" s="1" t="s">
        <v>1</v>
      </c>
      <c r="B2" s="1" t="s">
        <v>3</v>
      </c>
      <c r="C2" s="9" t="s">
        <v>6</v>
      </c>
      <c r="D2" s="3" t="s">
        <v>7</v>
      </c>
      <c r="E2" s="9" t="s">
        <v>8</v>
      </c>
      <c r="F2" s="5" t="s">
        <v>9</v>
      </c>
      <c r="G2" s="335" t="s">
        <v>14</v>
      </c>
      <c r="H2" s="9" t="s">
        <v>6</v>
      </c>
      <c r="I2" s="8" t="s">
        <v>400</v>
      </c>
      <c r="J2" s="3" t="s">
        <v>401</v>
      </c>
      <c r="K2" s="8" t="s">
        <v>1079</v>
      </c>
      <c r="L2" s="8" t="s">
        <v>1080</v>
      </c>
      <c r="M2" s="102">
        <v>11.0</v>
      </c>
      <c r="N2" s="102">
        <v>12.0</v>
      </c>
      <c r="O2" s="102">
        <v>1.0</v>
      </c>
      <c r="P2" s="102">
        <v>2.0</v>
      </c>
      <c r="Q2" s="102">
        <v>3.0</v>
      </c>
      <c r="R2" s="102">
        <v>4.0</v>
      </c>
      <c r="S2" s="102">
        <v>5.0</v>
      </c>
      <c r="T2" s="3">
        <v>6.0</v>
      </c>
      <c r="U2" s="3">
        <v>7.0</v>
      </c>
      <c r="V2" s="3">
        <v>8.0</v>
      </c>
      <c r="W2" s="3">
        <v>9.0</v>
      </c>
      <c r="X2" s="3">
        <v>10.0</v>
      </c>
      <c r="Y2" s="3">
        <v>11.0</v>
      </c>
      <c r="Z2" s="3">
        <v>12.0</v>
      </c>
      <c r="AA2" s="9">
        <v>1.0</v>
      </c>
      <c r="AB2" s="9">
        <v>2.0</v>
      </c>
      <c r="AC2" s="9">
        <v>3.0</v>
      </c>
      <c r="AD2" s="9">
        <v>4.0</v>
      </c>
      <c r="AE2" s="9">
        <v>5.0</v>
      </c>
      <c r="AF2" s="9">
        <v>6.0</v>
      </c>
      <c r="AG2" s="9">
        <v>7.0</v>
      </c>
      <c r="AH2" s="3" t="s">
        <v>413</v>
      </c>
      <c r="AI2" s="3" t="s">
        <v>416</v>
      </c>
      <c r="AJ2" s="3" t="s">
        <v>417</v>
      </c>
    </row>
    <row r="3" ht="27.0" customHeight="1">
      <c r="A3" s="12">
        <v>4.0</v>
      </c>
      <c r="B3" s="336" t="s">
        <v>43</v>
      </c>
      <c r="C3" s="15">
        <v>7479.0</v>
      </c>
      <c r="D3" s="16" t="s">
        <v>61</v>
      </c>
      <c r="E3" s="16" t="s">
        <v>447</v>
      </c>
      <c r="F3" s="33" t="s">
        <v>62</v>
      </c>
      <c r="G3" s="16" t="s">
        <v>66</v>
      </c>
      <c r="H3" s="12">
        <v>8761.0</v>
      </c>
      <c r="I3" s="30" t="s">
        <v>441</v>
      </c>
      <c r="J3" s="213" t="s">
        <v>442</v>
      </c>
      <c r="K3" s="12">
        <v>1.0</v>
      </c>
      <c r="L3" s="12"/>
      <c r="M3" s="337"/>
      <c r="N3" s="337"/>
      <c r="O3" s="113"/>
      <c r="P3" s="113"/>
      <c r="Q3" s="113"/>
      <c r="R3" s="113">
        <v>8333.0</v>
      </c>
      <c r="S3" s="113">
        <v>8333.0</v>
      </c>
      <c r="T3" s="113">
        <v>8333.0</v>
      </c>
      <c r="U3" s="113">
        <v>8333.0</v>
      </c>
      <c r="V3" s="113">
        <v>8333.0</v>
      </c>
      <c r="W3" s="113">
        <v>8333.0</v>
      </c>
      <c r="X3" s="113">
        <v>8333.0</v>
      </c>
      <c r="Y3" s="113">
        <v>8333.0</v>
      </c>
      <c r="Z3" s="113">
        <v>8333.0</v>
      </c>
      <c r="AA3" s="113">
        <v>8333.0</v>
      </c>
      <c r="AB3" s="113">
        <v>8333.0</v>
      </c>
      <c r="AC3" s="113">
        <v>8333.0</v>
      </c>
      <c r="AD3" s="114" t="s">
        <v>1081</v>
      </c>
      <c r="AE3" s="114"/>
      <c r="AF3" s="114"/>
      <c r="AG3" s="114"/>
      <c r="AH3" s="116">
        <f t="shared" ref="AH3:AH40" si="1">AJ3-AI3</f>
        <v>99996</v>
      </c>
      <c r="AI3" s="118">
        <v>0.0</v>
      </c>
      <c r="AJ3" s="119">
        <f t="shared" ref="AJ3:AJ40" si="2">SUM(M3:AF3)</f>
        <v>99996</v>
      </c>
    </row>
    <row r="4" ht="27.0" customHeight="1">
      <c r="A4" s="12">
        <v>6.0</v>
      </c>
      <c r="B4" s="336" t="s">
        <v>43</v>
      </c>
      <c r="C4" s="35">
        <v>4723.0</v>
      </c>
      <c r="D4" s="16" t="s">
        <v>67</v>
      </c>
      <c r="E4" s="16" t="s">
        <v>68</v>
      </c>
      <c r="F4" s="33" t="s">
        <v>69</v>
      </c>
      <c r="G4" s="31" t="s">
        <v>72</v>
      </c>
      <c r="H4" s="15">
        <v>7479.0</v>
      </c>
      <c r="I4" s="30" t="s">
        <v>61</v>
      </c>
      <c r="J4" s="213" t="s">
        <v>447</v>
      </c>
      <c r="K4" s="12"/>
      <c r="L4" s="12">
        <v>1.0</v>
      </c>
      <c r="M4" s="338">
        <v>12500.0</v>
      </c>
      <c r="N4" s="338">
        <v>12500.0</v>
      </c>
      <c r="O4" s="338">
        <v>12500.0</v>
      </c>
      <c r="P4" s="338">
        <v>12500.0</v>
      </c>
      <c r="Q4" s="338">
        <v>12500.0</v>
      </c>
      <c r="R4" s="338">
        <v>12500.0</v>
      </c>
      <c r="S4" s="338">
        <v>12500.0</v>
      </c>
      <c r="T4" s="337">
        <v>12500.0</v>
      </c>
      <c r="U4" s="337">
        <v>12500.0</v>
      </c>
      <c r="V4" s="337">
        <v>12500.0</v>
      </c>
      <c r="W4" s="337">
        <v>12500.0</v>
      </c>
      <c r="X4" s="337">
        <v>12500.0</v>
      </c>
      <c r="Y4" s="114" t="s">
        <v>1081</v>
      </c>
      <c r="Z4" s="113"/>
      <c r="AA4" s="114"/>
      <c r="AB4" s="113"/>
      <c r="AC4" s="113"/>
      <c r="AD4" s="113"/>
      <c r="AE4" s="113"/>
      <c r="AF4" s="113"/>
      <c r="AG4" s="113"/>
      <c r="AH4" s="116">
        <f t="shared" si="1"/>
        <v>62500</v>
      </c>
      <c r="AI4" s="118">
        <f>sum(M4:S4)</f>
        <v>87500</v>
      </c>
      <c r="AJ4" s="119">
        <f t="shared" si="2"/>
        <v>150000</v>
      </c>
    </row>
    <row r="5" ht="27.0" customHeight="1">
      <c r="A5" s="12">
        <v>7.0</v>
      </c>
      <c r="B5" s="336" t="s">
        <v>43</v>
      </c>
      <c r="C5" s="35">
        <v>4723.0</v>
      </c>
      <c r="D5" s="16" t="s">
        <v>67</v>
      </c>
      <c r="E5" s="16" t="s">
        <v>68</v>
      </c>
      <c r="F5" s="33" t="s">
        <v>69</v>
      </c>
      <c r="G5" s="31" t="s">
        <v>72</v>
      </c>
      <c r="H5" s="12">
        <v>8763.0</v>
      </c>
      <c r="I5" s="30" t="s">
        <v>451</v>
      </c>
      <c r="J5" s="16" t="s">
        <v>452</v>
      </c>
      <c r="K5" s="12">
        <v>1.0</v>
      </c>
      <c r="L5" s="12"/>
      <c r="M5" s="337"/>
      <c r="N5" s="337"/>
      <c r="O5" s="113"/>
      <c r="P5" s="113"/>
      <c r="Q5" s="113"/>
      <c r="R5" s="114">
        <v>8333.0</v>
      </c>
      <c r="S5" s="114">
        <v>8333.0</v>
      </c>
      <c r="T5" s="113">
        <v>8333.0</v>
      </c>
      <c r="U5" s="113">
        <v>8333.0</v>
      </c>
      <c r="V5" s="113">
        <v>8333.0</v>
      </c>
      <c r="W5" s="113">
        <v>8333.0</v>
      </c>
      <c r="X5" s="113">
        <v>8333.0</v>
      </c>
      <c r="Y5" s="113">
        <v>8333.0</v>
      </c>
      <c r="Z5" s="113">
        <v>8333.0</v>
      </c>
      <c r="AA5" s="113">
        <v>8333.0</v>
      </c>
      <c r="AB5" s="113">
        <v>8333.0</v>
      </c>
      <c r="AC5" s="113">
        <v>8333.0</v>
      </c>
      <c r="AD5" s="114" t="s">
        <v>1081</v>
      </c>
      <c r="AE5" s="114"/>
      <c r="AF5" s="114"/>
      <c r="AG5" s="114"/>
      <c r="AH5" s="116">
        <f t="shared" si="1"/>
        <v>83330</v>
      </c>
      <c r="AI5" s="118">
        <f>sum(R5:S5)</f>
        <v>16666</v>
      </c>
      <c r="AJ5" s="119">
        <f t="shared" si="2"/>
        <v>99996</v>
      </c>
    </row>
    <row r="6" ht="27.0" customHeight="1">
      <c r="A6" s="12">
        <v>9.0</v>
      </c>
      <c r="B6" s="336" t="s">
        <v>43</v>
      </c>
      <c r="C6" s="35">
        <v>4723.0</v>
      </c>
      <c r="D6" s="16" t="s">
        <v>67</v>
      </c>
      <c r="E6" s="16" t="s">
        <v>68</v>
      </c>
      <c r="F6" s="33" t="s">
        <v>69</v>
      </c>
      <c r="G6" s="31" t="s">
        <v>72</v>
      </c>
      <c r="H6" s="12">
        <v>10049.0</v>
      </c>
      <c r="I6" s="30" t="s">
        <v>455</v>
      </c>
      <c r="J6" s="16" t="s">
        <v>456</v>
      </c>
      <c r="K6" s="12">
        <v>1.0</v>
      </c>
      <c r="L6" s="12"/>
      <c r="M6" s="337"/>
      <c r="N6" s="337"/>
      <c r="O6" s="113"/>
      <c r="P6" s="113"/>
      <c r="Q6" s="113"/>
      <c r="R6" s="113"/>
      <c r="S6" s="113"/>
      <c r="T6" s="113"/>
      <c r="U6" s="113"/>
      <c r="V6" s="113"/>
      <c r="W6" s="113"/>
      <c r="X6" s="339">
        <v>8333.0</v>
      </c>
      <c r="Y6" s="339">
        <v>8333.0</v>
      </c>
      <c r="Z6" s="339">
        <v>8333.0</v>
      </c>
      <c r="AA6" s="339">
        <v>8333.0</v>
      </c>
      <c r="AB6" s="339">
        <v>66664.0</v>
      </c>
      <c r="AC6" s="114" t="s">
        <v>1081</v>
      </c>
      <c r="AD6" s="113"/>
      <c r="AE6" s="113"/>
      <c r="AF6" s="113"/>
      <c r="AG6" s="113"/>
      <c r="AH6" s="116">
        <f t="shared" si="1"/>
        <v>99996</v>
      </c>
      <c r="AI6" s="118">
        <v>0.0</v>
      </c>
      <c r="AJ6" s="119">
        <f t="shared" si="2"/>
        <v>99996</v>
      </c>
    </row>
    <row r="7" ht="27.0" customHeight="1">
      <c r="A7" s="12">
        <v>15.0</v>
      </c>
      <c r="B7" s="336" t="s">
        <v>43</v>
      </c>
      <c r="C7" s="15">
        <v>4181.0</v>
      </c>
      <c r="D7" s="16" t="s">
        <v>73</v>
      </c>
      <c r="E7" s="16" t="s">
        <v>74</v>
      </c>
      <c r="F7" s="33" t="s">
        <v>75</v>
      </c>
      <c r="G7" s="31" t="s">
        <v>79</v>
      </c>
      <c r="H7" s="12">
        <v>11384.0</v>
      </c>
      <c r="I7" s="213" t="s">
        <v>468</v>
      </c>
      <c r="J7" s="214" t="s">
        <v>469</v>
      </c>
      <c r="K7" s="12"/>
      <c r="L7" s="12">
        <v>1.0</v>
      </c>
      <c r="M7" s="337"/>
      <c r="N7" s="337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4"/>
      <c r="AB7" s="114">
        <v>12500.0</v>
      </c>
      <c r="AC7" s="135" t="s">
        <v>128</v>
      </c>
      <c r="AD7" s="113">
        <v>12500.0</v>
      </c>
      <c r="AE7" s="113">
        <v>12500.0</v>
      </c>
      <c r="AF7" s="113">
        <v>12500.0</v>
      </c>
      <c r="AG7" s="113"/>
      <c r="AH7" s="116">
        <f t="shared" si="1"/>
        <v>37500</v>
      </c>
      <c r="AI7" s="118">
        <f>sum(AB7)</f>
        <v>12500</v>
      </c>
      <c r="AJ7" s="119">
        <f t="shared" si="2"/>
        <v>50000</v>
      </c>
    </row>
    <row r="8" ht="27.0" customHeight="1">
      <c r="A8" s="12">
        <v>18.0</v>
      </c>
      <c r="B8" s="336" t="s">
        <v>43</v>
      </c>
      <c r="C8" s="15">
        <v>7801.0</v>
      </c>
      <c r="D8" s="16" t="s">
        <v>80</v>
      </c>
      <c r="E8" s="16" t="s">
        <v>81</v>
      </c>
      <c r="F8" s="33" t="s">
        <v>82</v>
      </c>
      <c r="G8" s="31" t="s">
        <v>1082</v>
      </c>
      <c r="H8" s="12">
        <v>10406.0</v>
      </c>
      <c r="I8" s="30" t="s">
        <v>476</v>
      </c>
      <c r="J8" s="16" t="s">
        <v>477</v>
      </c>
      <c r="K8" s="12"/>
      <c r="L8" s="12">
        <v>1.0</v>
      </c>
      <c r="M8" s="337"/>
      <c r="N8" s="337"/>
      <c r="O8" s="113"/>
      <c r="P8" s="113"/>
      <c r="Q8" s="113"/>
      <c r="R8" s="113"/>
      <c r="S8" s="113"/>
      <c r="T8" s="113"/>
      <c r="U8" s="113"/>
      <c r="V8" s="113"/>
      <c r="W8" s="113"/>
      <c r="X8" s="114">
        <v>12500.0</v>
      </c>
      <c r="Y8" s="137">
        <v>12500.0</v>
      </c>
      <c r="Z8" s="137">
        <v>12500.0</v>
      </c>
      <c r="AA8" s="137">
        <v>112500.0</v>
      </c>
      <c r="AB8" s="114" t="s">
        <v>1083</v>
      </c>
      <c r="AC8" s="113"/>
      <c r="AD8" s="113"/>
      <c r="AE8" s="113"/>
      <c r="AF8" s="113"/>
      <c r="AG8" s="113"/>
      <c r="AH8" s="116">
        <f t="shared" si="1"/>
        <v>137500</v>
      </c>
      <c r="AI8" s="118">
        <f>sum(X8)</f>
        <v>12500</v>
      </c>
      <c r="AJ8" s="119">
        <f t="shared" si="2"/>
        <v>150000</v>
      </c>
    </row>
    <row r="9" ht="27.0" customHeight="1">
      <c r="A9" s="12">
        <v>26.0</v>
      </c>
      <c r="B9" s="336" t="s">
        <v>1084</v>
      </c>
      <c r="C9" s="74">
        <v>6125.0</v>
      </c>
      <c r="D9" s="213" t="s">
        <v>165</v>
      </c>
      <c r="E9" s="16" t="s">
        <v>166</v>
      </c>
      <c r="F9" s="33" t="s">
        <v>1085</v>
      </c>
      <c r="G9" s="31" t="s">
        <v>1086</v>
      </c>
      <c r="H9" s="12">
        <v>10254.0</v>
      </c>
      <c r="I9" s="30" t="s">
        <v>519</v>
      </c>
      <c r="J9" s="213" t="s">
        <v>520</v>
      </c>
      <c r="K9" s="12">
        <v>1.0</v>
      </c>
      <c r="L9" s="12"/>
      <c r="M9" s="337"/>
      <c r="N9" s="337"/>
      <c r="O9" s="113"/>
      <c r="P9" s="113"/>
      <c r="Q9" s="113"/>
      <c r="R9" s="113"/>
      <c r="S9" s="138"/>
      <c r="T9" s="138"/>
      <c r="U9" s="146"/>
      <c r="V9" s="146"/>
      <c r="W9" s="144">
        <v>8333.0</v>
      </c>
      <c r="X9" s="126" t="s">
        <v>128</v>
      </c>
      <c r="Y9" s="144">
        <v>8333.0</v>
      </c>
      <c r="Z9" s="144">
        <v>8333.0</v>
      </c>
      <c r="AA9" s="144">
        <v>8333.0</v>
      </c>
      <c r="AB9" s="144">
        <v>8333.0</v>
      </c>
      <c r="AC9" s="144">
        <v>8333.0</v>
      </c>
      <c r="AD9" s="144">
        <v>8333.0</v>
      </c>
      <c r="AE9" s="144">
        <v>8333.0</v>
      </c>
      <c r="AF9" s="144">
        <v>8333.0</v>
      </c>
      <c r="AG9" s="144"/>
      <c r="AH9" s="116">
        <f t="shared" si="1"/>
        <v>74997</v>
      </c>
      <c r="AI9" s="118">
        <v>0.0</v>
      </c>
      <c r="AJ9" s="119">
        <f t="shared" si="2"/>
        <v>74997</v>
      </c>
    </row>
    <row r="10" ht="27.0" customHeight="1">
      <c r="A10" s="12">
        <v>27.0</v>
      </c>
      <c r="B10" s="336" t="s">
        <v>1084</v>
      </c>
      <c r="C10" s="16"/>
      <c r="D10" s="16" t="s">
        <v>172</v>
      </c>
      <c r="E10" s="213" t="s">
        <v>173</v>
      </c>
      <c r="F10" s="33" t="s">
        <v>174</v>
      </c>
      <c r="G10" s="340" t="s">
        <v>178</v>
      </c>
      <c r="H10" s="15">
        <v>9230.0</v>
      </c>
      <c r="I10" s="16" t="s">
        <v>553</v>
      </c>
      <c r="J10" s="16" t="s">
        <v>554</v>
      </c>
      <c r="K10" s="12"/>
      <c r="L10" s="12">
        <v>1.0</v>
      </c>
      <c r="M10" s="337"/>
      <c r="N10" s="337"/>
      <c r="O10" s="113"/>
      <c r="P10" s="113"/>
      <c r="Q10" s="113"/>
      <c r="R10" s="113"/>
      <c r="S10" s="138"/>
      <c r="T10" s="126">
        <v>12500.0</v>
      </c>
      <c r="U10" s="126">
        <v>12500.0</v>
      </c>
      <c r="V10" s="126">
        <v>12500.0</v>
      </c>
      <c r="W10" s="126">
        <v>12500.0</v>
      </c>
      <c r="X10" s="126">
        <v>12500.0</v>
      </c>
      <c r="Y10" s="126">
        <v>12500.0</v>
      </c>
      <c r="Z10" s="126">
        <v>12500.0</v>
      </c>
      <c r="AA10" s="144">
        <v>12500.0</v>
      </c>
      <c r="AB10" s="126" t="s">
        <v>128</v>
      </c>
      <c r="AC10" s="144">
        <v>12500.0</v>
      </c>
      <c r="AD10" s="144">
        <v>12500.0</v>
      </c>
      <c r="AE10" s="144">
        <v>12500.0</v>
      </c>
      <c r="AF10" s="126" t="s">
        <v>1083</v>
      </c>
      <c r="AG10" s="126"/>
      <c r="AH10" s="116">
        <f t="shared" si="1"/>
        <v>50000</v>
      </c>
      <c r="AI10" s="118">
        <f>sum(T10:Z10)</f>
        <v>87500</v>
      </c>
      <c r="AJ10" s="119">
        <f t="shared" si="2"/>
        <v>137500</v>
      </c>
    </row>
    <row r="11" ht="27.0" customHeight="1">
      <c r="A11" s="12">
        <v>29.0</v>
      </c>
      <c r="B11" s="341" t="s">
        <v>1084</v>
      </c>
      <c r="C11" s="134"/>
      <c r="D11" s="16" t="s">
        <v>172</v>
      </c>
      <c r="E11" s="213" t="s">
        <v>173</v>
      </c>
      <c r="F11" s="33" t="s">
        <v>174</v>
      </c>
      <c r="G11" s="340" t="s">
        <v>178</v>
      </c>
      <c r="H11" s="342" t="s">
        <v>558</v>
      </c>
      <c r="I11" s="343" t="s">
        <v>559</v>
      </c>
      <c r="J11" s="344" t="s">
        <v>559</v>
      </c>
      <c r="K11" s="345"/>
      <c r="L11" s="12">
        <v>12.0</v>
      </c>
      <c r="M11" s="337"/>
      <c r="N11" s="337"/>
      <c r="O11" s="113"/>
      <c r="P11" s="113"/>
      <c r="Q11" s="113"/>
      <c r="R11" s="113"/>
      <c r="S11" s="138"/>
      <c r="T11" s="126"/>
      <c r="U11" s="126"/>
      <c r="V11" s="126"/>
      <c r="W11" s="126"/>
      <c r="X11" s="126"/>
      <c r="Y11" s="126"/>
      <c r="Z11" s="126"/>
      <c r="AA11" s="144"/>
      <c r="AB11" s="126"/>
      <c r="AC11" s="144"/>
      <c r="AD11" s="144"/>
      <c r="AE11" s="144"/>
      <c r="AF11" s="144">
        <v>150000.0</v>
      </c>
      <c r="AG11" s="144"/>
      <c r="AH11" s="116">
        <f t="shared" si="1"/>
        <v>150000</v>
      </c>
      <c r="AI11" s="118">
        <v>0.0</v>
      </c>
      <c r="AJ11" s="119">
        <f t="shared" si="2"/>
        <v>150000</v>
      </c>
    </row>
    <row r="12" ht="27.0" customHeight="1">
      <c r="A12" s="12">
        <v>30.0</v>
      </c>
      <c r="B12" s="336" t="s">
        <v>1084</v>
      </c>
      <c r="C12" s="16"/>
      <c r="D12" s="16" t="s">
        <v>172</v>
      </c>
      <c r="E12" s="213" t="s">
        <v>180</v>
      </c>
      <c r="F12" s="33" t="s">
        <v>181</v>
      </c>
      <c r="G12" s="340" t="s">
        <v>183</v>
      </c>
      <c r="H12" s="12">
        <v>10218.0</v>
      </c>
      <c r="I12" s="30" t="s">
        <v>560</v>
      </c>
      <c r="J12" s="213" t="s">
        <v>561</v>
      </c>
      <c r="K12" s="12"/>
      <c r="L12" s="12">
        <v>1.0</v>
      </c>
      <c r="M12" s="337"/>
      <c r="N12" s="337"/>
      <c r="O12" s="113"/>
      <c r="P12" s="113"/>
      <c r="Q12" s="113"/>
      <c r="R12" s="113"/>
      <c r="S12" s="138"/>
      <c r="T12" s="146"/>
      <c r="U12" s="138"/>
      <c r="V12" s="138"/>
      <c r="W12" s="144">
        <v>12500.0</v>
      </c>
      <c r="X12" s="126" t="s">
        <v>128</v>
      </c>
      <c r="Y12" s="144">
        <v>12500.0</v>
      </c>
      <c r="Z12" s="144">
        <v>12500.0</v>
      </c>
      <c r="AA12" s="144">
        <v>12500.0</v>
      </c>
      <c r="AB12" s="144">
        <v>12500.0</v>
      </c>
      <c r="AC12" s="144">
        <v>12500.0</v>
      </c>
      <c r="AD12" s="144">
        <v>12500.0</v>
      </c>
      <c r="AE12" s="144">
        <v>12500.0</v>
      </c>
      <c r="AF12" s="144">
        <v>12500.0</v>
      </c>
      <c r="AG12" s="144"/>
      <c r="AH12" s="116">
        <f t="shared" si="1"/>
        <v>112500</v>
      </c>
      <c r="AI12" s="118">
        <v>0.0</v>
      </c>
      <c r="AJ12" s="119">
        <f t="shared" si="2"/>
        <v>112500</v>
      </c>
    </row>
    <row r="13" ht="27.0" customHeight="1">
      <c r="A13" s="12">
        <v>31.0</v>
      </c>
      <c r="B13" s="336" t="s">
        <v>1084</v>
      </c>
      <c r="C13" s="16"/>
      <c r="D13" s="16" t="s">
        <v>172</v>
      </c>
      <c r="E13" s="213" t="s">
        <v>180</v>
      </c>
      <c r="F13" s="33" t="s">
        <v>181</v>
      </c>
      <c r="G13" s="340" t="s">
        <v>183</v>
      </c>
      <c r="H13" s="15">
        <v>10378.0</v>
      </c>
      <c r="I13" s="214" t="s">
        <v>562</v>
      </c>
      <c r="J13" s="213" t="s">
        <v>562</v>
      </c>
      <c r="K13" s="12">
        <v>1.0</v>
      </c>
      <c r="L13" s="12"/>
      <c r="M13" s="337"/>
      <c r="N13" s="337"/>
      <c r="O13" s="113"/>
      <c r="P13" s="113"/>
      <c r="Q13" s="113"/>
      <c r="R13" s="113"/>
      <c r="S13" s="138"/>
      <c r="T13" s="146"/>
      <c r="U13" s="138"/>
      <c r="V13" s="138"/>
      <c r="W13" s="146"/>
      <c r="X13" s="144">
        <v>8333.0</v>
      </c>
      <c r="Y13" s="144">
        <v>8333.0</v>
      </c>
      <c r="Z13" s="144">
        <v>8333.0</v>
      </c>
      <c r="AA13" s="144">
        <v>8333.0</v>
      </c>
      <c r="AB13" s="144">
        <v>8333.0</v>
      </c>
      <c r="AC13" s="144">
        <v>8333.0</v>
      </c>
      <c r="AD13" s="144">
        <v>8333.0</v>
      </c>
      <c r="AE13" s="144">
        <v>8333.0</v>
      </c>
      <c r="AF13" s="144">
        <v>8333.0</v>
      </c>
      <c r="AG13" s="144"/>
      <c r="AH13" s="116">
        <f t="shared" si="1"/>
        <v>74997</v>
      </c>
      <c r="AI13" s="118">
        <v>0.0</v>
      </c>
      <c r="AJ13" s="119">
        <f t="shared" si="2"/>
        <v>74997</v>
      </c>
    </row>
    <row r="14" ht="27.0" customHeight="1">
      <c r="A14" s="12">
        <v>32.0</v>
      </c>
      <c r="B14" s="336" t="s">
        <v>1084</v>
      </c>
      <c r="C14" s="16"/>
      <c r="D14" s="16" t="s">
        <v>172</v>
      </c>
      <c r="E14" s="213" t="s">
        <v>180</v>
      </c>
      <c r="F14" s="33" t="s">
        <v>181</v>
      </c>
      <c r="G14" s="340" t="s">
        <v>183</v>
      </c>
      <c r="H14" s="12">
        <v>10931.0</v>
      </c>
      <c r="I14" s="30" t="s">
        <v>563</v>
      </c>
      <c r="J14" s="214" t="s">
        <v>564</v>
      </c>
      <c r="K14" s="12">
        <v>1.0</v>
      </c>
      <c r="L14" s="12"/>
      <c r="M14" s="337"/>
      <c r="N14" s="337"/>
      <c r="O14" s="113"/>
      <c r="P14" s="113"/>
      <c r="Q14" s="113"/>
      <c r="R14" s="113"/>
      <c r="S14" s="138"/>
      <c r="T14" s="146"/>
      <c r="U14" s="138"/>
      <c r="V14" s="138"/>
      <c r="W14" s="146"/>
      <c r="X14" s="146"/>
      <c r="Y14" s="146"/>
      <c r="Z14" s="138"/>
      <c r="AA14" s="144">
        <v>8333.0</v>
      </c>
      <c r="AB14" s="144">
        <v>8333.0</v>
      </c>
      <c r="AC14" s="144">
        <v>8333.0</v>
      </c>
      <c r="AD14" s="144">
        <v>8333.0</v>
      </c>
      <c r="AE14" s="144">
        <v>8333.0</v>
      </c>
      <c r="AF14" s="144">
        <v>8333.0</v>
      </c>
      <c r="AG14" s="144"/>
      <c r="AH14" s="116">
        <f t="shared" si="1"/>
        <v>49998</v>
      </c>
      <c r="AI14" s="118">
        <v>0.0</v>
      </c>
      <c r="AJ14" s="119">
        <f t="shared" si="2"/>
        <v>49998</v>
      </c>
    </row>
    <row r="15" ht="27.0" customHeight="1">
      <c r="A15" s="12">
        <v>33.0</v>
      </c>
      <c r="B15" s="336" t="s">
        <v>1084</v>
      </c>
      <c r="C15" s="16"/>
      <c r="D15" s="16" t="s">
        <v>172</v>
      </c>
      <c r="E15" s="213" t="s">
        <v>180</v>
      </c>
      <c r="F15" s="33" t="s">
        <v>181</v>
      </c>
      <c r="G15" s="340" t="s">
        <v>183</v>
      </c>
      <c r="H15" s="12">
        <v>10964.0</v>
      </c>
      <c r="I15" s="30" t="s">
        <v>565</v>
      </c>
      <c r="J15" s="214" t="s">
        <v>566</v>
      </c>
      <c r="K15" s="12">
        <v>1.0</v>
      </c>
      <c r="L15" s="12"/>
      <c r="M15" s="337"/>
      <c r="N15" s="337"/>
      <c r="O15" s="113"/>
      <c r="P15" s="113"/>
      <c r="Q15" s="113"/>
      <c r="R15" s="113"/>
      <c r="S15" s="138"/>
      <c r="T15" s="146"/>
      <c r="U15" s="138"/>
      <c r="V15" s="138"/>
      <c r="W15" s="146"/>
      <c r="X15" s="146"/>
      <c r="Y15" s="146"/>
      <c r="Z15" s="138"/>
      <c r="AA15" s="144">
        <v>8333.0</v>
      </c>
      <c r="AB15" s="144">
        <v>8333.0</v>
      </c>
      <c r="AC15" s="144">
        <v>8333.0</v>
      </c>
      <c r="AD15" s="144">
        <v>8333.0</v>
      </c>
      <c r="AE15" s="144">
        <v>8333.0</v>
      </c>
      <c r="AF15" s="144">
        <v>8333.0</v>
      </c>
      <c r="AG15" s="144"/>
      <c r="AH15" s="116">
        <f t="shared" si="1"/>
        <v>49998</v>
      </c>
      <c r="AI15" s="118">
        <v>0.0</v>
      </c>
      <c r="AJ15" s="119">
        <f t="shared" si="2"/>
        <v>49998</v>
      </c>
    </row>
    <row r="16" ht="27.0" customHeight="1">
      <c r="A16" s="12">
        <v>34.0</v>
      </c>
      <c r="B16" s="336" t="s">
        <v>1084</v>
      </c>
      <c r="C16" s="16"/>
      <c r="D16" s="16" t="s">
        <v>172</v>
      </c>
      <c r="E16" s="213" t="s">
        <v>180</v>
      </c>
      <c r="F16" s="33" t="s">
        <v>181</v>
      </c>
      <c r="G16" s="340" t="s">
        <v>183</v>
      </c>
      <c r="H16" s="12">
        <v>11154.0</v>
      </c>
      <c r="I16" s="214" t="s">
        <v>567</v>
      </c>
      <c r="J16" s="214" t="s">
        <v>568</v>
      </c>
      <c r="K16" s="12">
        <v>1.0</v>
      </c>
      <c r="L16" s="12"/>
      <c r="M16" s="337"/>
      <c r="N16" s="337"/>
      <c r="O16" s="113"/>
      <c r="P16" s="113"/>
      <c r="Q16" s="113"/>
      <c r="R16" s="113"/>
      <c r="S16" s="138"/>
      <c r="T16" s="146"/>
      <c r="U16" s="138"/>
      <c r="V16" s="138"/>
      <c r="W16" s="146"/>
      <c r="X16" s="146"/>
      <c r="Y16" s="146"/>
      <c r="Z16" s="138"/>
      <c r="AA16" s="146"/>
      <c r="AB16" s="144">
        <v>8333.0</v>
      </c>
      <c r="AC16" s="144">
        <v>8333.0</v>
      </c>
      <c r="AD16" s="144">
        <v>8333.0</v>
      </c>
      <c r="AE16" s="144">
        <v>8333.0</v>
      </c>
      <c r="AF16" s="144">
        <v>8333.0</v>
      </c>
      <c r="AG16" s="144"/>
      <c r="AH16" s="116">
        <f t="shared" si="1"/>
        <v>41665</v>
      </c>
      <c r="AI16" s="118">
        <v>0.0</v>
      </c>
      <c r="AJ16" s="119">
        <f t="shared" si="2"/>
        <v>41665</v>
      </c>
    </row>
    <row r="17" ht="27.0" customHeight="1">
      <c r="A17" s="12">
        <v>35.0</v>
      </c>
      <c r="B17" s="336" t="s">
        <v>1084</v>
      </c>
      <c r="C17" s="16"/>
      <c r="D17" s="16" t="s">
        <v>172</v>
      </c>
      <c r="E17" s="213" t="s">
        <v>180</v>
      </c>
      <c r="F17" s="33" t="s">
        <v>181</v>
      </c>
      <c r="G17" s="340" t="s">
        <v>183</v>
      </c>
      <c r="H17" s="12">
        <v>11492.0</v>
      </c>
      <c r="I17" s="40" t="s">
        <v>569</v>
      </c>
      <c r="J17" s="30" t="s">
        <v>570</v>
      </c>
      <c r="K17" s="12"/>
      <c r="L17" s="12">
        <v>12.0</v>
      </c>
      <c r="M17" s="337"/>
      <c r="N17" s="337"/>
      <c r="O17" s="113"/>
      <c r="P17" s="113"/>
      <c r="Q17" s="113"/>
      <c r="R17" s="113"/>
      <c r="S17" s="138"/>
      <c r="T17" s="146"/>
      <c r="U17" s="138"/>
      <c r="V17" s="138"/>
      <c r="W17" s="146"/>
      <c r="X17" s="146"/>
      <c r="Y17" s="146"/>
      <c r="Z17" s="138"/>
      <c r="AA17" s="146"/>
      <c r="AB17" s="146"/>
      <c r="AC17" s="144">
        <v>150000.0</v>
      </c>
      <c r="AD17" s="113" t="s">
        <v>128</v>
      </c>
      <c r="AE17" s="113" t="s">
        <v>128</v>
      </c>
      <c r="AF17" s="113" t="s">
        <v>128</v>
      </c>
      <c r="AG17" s="113"/>
      <c r="AH17" s="116">
        <f t="shared" si="1"/>
        <v>150000</v>
      </c>
      <c r="AI17" s="118">
        <v>0.0</v>
      </c>
      <c r="AJ17" s="119">
        <f t="shared" si="2"/>
        <v>150000</v>
      </c>
    </row>
    <row r="18" ht="27.0" customHeight="1">
      <c r="A18" s="12">
        <v>36.0</v>
      </c>
      <c r="B18" s="336" t="s">
        <v>1084</v>
      </c>
      <c r="C18" s="16"/>
      <c r="D18" s="38" t="s">
        <v>194</v>
      </c>
      <c r="E18" s="334" t="s">
        <v>1026</v>
      </c>
      <c r="F18" s="18" t="s">
        <v>196</v>
      </c>
      <c r="G18" s="31" t="s">
        <v>200</v>
      </c>
      <c r="H18" s="12">
        <v>8159.0</v>
      </c>
      <c r="I18" s="224" t="s">
        <v>571</v>
      </c>
      <c r="J18" s="214" t="s">
        <v>572</v>
      </c>
      <c r="K18" s="12">
        <v>1.0</v>
      </c>
      <c r="L18" s="12"/>
      <c r="M18" s="337"/>
      <c r="N18" s="337"/>
      <c r="O18" s="113"/>
      <c r="P18" s="114">
        <v>8333.0</v>
      </c>
      <c r="Q18" s="114">
        <v>8333.0</v>
      </c>
      <c r="R18" s="114">
        <v>8333.0</v>
      </c>
      <c r="S18" s="114">
        <v>8333.0</v>
      </c>
      <c r="T18" s="114">
        <v>8333.0</v>
      </c>
      <c r="U18" s="114">
        <v>8333.0</v>
      </c>
      <c r="V18" s="114">
        <v>8333.0</v>
      </c>
      <c r="W18" s="114">
        <v>8333.0</v>
      </c>
      <c r="X18" s="114">
        <v>8333.0</v>
      </c>
      <c r="Y18" s="114">
        <v>8333.0</v>
      </c>
      <c r="Z18" s="114">
        <v>8333.0</v>
      </c>
      <c r="AA18" s="113">
        <v>8333.0</v>
      </c>
      <c r="AB18" s="114" t="s">
        <v>424</v>
      </c>
      <c r="AC18" s="138"/>
      <c r="AD18" s="138"/>
      <c r="AE18" s="138"/>
      <c r="AF18" s="138"/>
      <c r="AG18" s="138"/>
      <c r="AH18" s="116">
        <f t="shared" si="1"/>
        <v>8333</v>
      </c>
      <c r="AI18" s="118">
        <f>SUM(P18:Z18)</f>
        <v>91663</v>
      </c>
      <c r="AJ18" s="119">
        <f t="shared" si="2"/>
        <v>99996</v>
      </c>
    </row>
    <row r="19" ht="27.0" customHeight="1">
      <c r="A19" s="12">
        <v>46.0</v>
      </c>
      <c r="B19" s="336" t="s">
        <v>1084</v>
      </c>
      <c r="C19" s="16"/>
      <c r="D19" s="38" t="s">
        <v>194</v>
      </c>
      <c r="E19" s="334" t="s">
        <v>1026</v>
      </c>
      <c r="F19" s="18" t="s">
        <v>196</v>
      </c>
      <c r="G19" s="31" t="s">
        <v>200</v>
      </c>
      <c r="H19" s="12">
        <v>8995.0</v>
      </c>
      <c r="I19" s="224" t="s">
        <v>585</v>
      </c>
      <c r="J19" s="214" t="s">
        <v>586</v>
      </c>
      <c r="K19" s="12"/>
      <c r="L19" s="12">
        <v>1.0</v>
      </c>
      <c r="M19" s="337"/>
      <c r="N19" s="337"/>
      <c r="O19" s="113"/>
      <c r="P19" s="138"/>
      <c r="Q19" s="138"/>
      <c r="R19" s="138"/>
      <c r="S19" s="114">
        <v>12500.0</v>
      </c>
      <c r="T19" s="114">
        <v>12500.0</v>
      </c>
      <c r="U19" s="114">
        <v>12500.0</v>
      </c>
      <c r="V19" s="114">
        <v>12500.0</v>
      </c>
      <c r="W19" s="114">
        <v>12500.0</v>
      </c>
      <c r="X19" s="114">
        <v>12500.0</v>
      </c>
      <c r="Y19" s="114">
        <v>12500.0</v>
      </c>
      <c r="Z19" s="114">
        <v>12500.0</v>
      </c>
      <c r="AA19" s="113">
        <v>12500.0</v>
      </c>
      <c r="AB19" s="113">
        <v>12500.0</v>
      </c>
      <c r="AC19" s="113">
        <v>12500.0</v>
      </c>
      <c r="AD19" s="113">
        <v>12500.0</v>
      </c>
      <c r="AE19" s="114" t="s">
        <v>424</v>
      </c>
      <c r="AF19" s="138"/>
      <c r="AG19" s="138"/>
      <c r="AH19" s="116">
        <f t="shared" si="1"/>
        <v>50000</v>
      </c>
      <c r="AI19" s="118">
        <f t="shared" ref="AI19:AI21" si="3">sum(S19:Z19)</f>
        <v>100000</v>
      </c>
      <c r="AJ19" s="119">
        <f t="shared" si="2"/>
        <v>150000</v>
      </c>
    </row>
    <row r="20" ht="27.0" customHeight="1">
      <c r="A20" s="12">
        <v>48.0</v>
      </c>
      <c r="B20" s="336" t="s">
        <v>1084</v>
      </c>
      <c r="C20" s="16"/>
      <c r="D20" s="38" t="s">
        <v>194</v>
      </c>
      <c r="E20" s="334" t="s">
        <v>1026</v>
      </c>
      <c r="F20" s="18" t="s">
        <v>196</v>
      </c>
      <c r="G20" s="31" t="s">
        <v>200</v>
      </c>
      <c r="H20" s="12">
        <v>9111.0</v>
      </c>
      <c r="I20" s="40" t="s">
        <v>589</v>
      </c>
      <c r="J20" s="30" t="s">
        <v>590</v>
      </c>
      <c r="K20" s="12">
        <v>1.0</v>
      </c>
      <c r="L20" s="12"/>
      <c r="M20" s="337"/>
      <c r="N20" s="337"/>
      <c r="O20" s="113"/>
      <c r="P20" s="138"/>
      <c r="Q20" s="138"/>
      <c r="R20" s="138"/>
      <c r="S20" s="114">
        <v>8333.0</v>
      </c>
      <c r="T20" s="114" t="s">
        <v>440</v>
      </c>
      <c r="U20" s="114">
        <v>8333.0</v>
      </c>
      <c r="V20" s="114">
        <v>8333.0</v>
      </c>
      <c r="W20" s="114">
        <v>8333.0</v>
      </c>
      <c r="X20" s="114">
        <v>8333.0</v>
      </c>
      <c r="Y20" s="114">
        <v>8333.0</v>
      </c>
      <c r="Z20" s="114">
        <v>8333.0</v>
      </c>
      <c r="AA20" s="113">
        <v>8333.0</v>
      </c>
      <c r="AB20" s="113">
        <v>8333.0</v>
      </c>
      <c r="AC20" s="113">
        <v>8333.0</v>
      </c>
      <c r="AD20" s="113">
        <v>8333.0</v>
      </c>
      <c r="AE20" s="114" t="s">
        <v>424</v>
      </c>
      <c r="AF20" s="138"/>
      <c r="AG20" s="138"/>
      <c r="AH20" s="116">
        <f t="shared" si="1"/>
        <v>33332</v>
      </c>
      <c r="AI20" s="118">
        <f t="shared" si="3"/>
        <v>58331</v>
      </c>
      <c r="AJ20" s="119">
        <f t="shared" si="2"/>
        <v>91663</v>
      </c>
    </row>
    <row r="21" ht="27.0" customHeight="1">
      <c r="A21" s="12">
        <v>50.0</v>
      </c>
      <c r="B21" s="336" t="s">
        <v>1084</v>
      </c>
      <c r="C21" s="16"/>
      <c r="D21" s="38" t="s">
        <v>194</v>
      </c>
      <c r="E21" s="334" t="s">
        <v>1026</v>
      </c>
      <c r="F21" s="18" t="s">
        <v>196</v>
      </c>
      <c r="G21" s="31" t="s">
        <v>200</v>
      </c>
      <c r="H21" s="12">
        <v>9299.0</v>
      </c>
      <c r="I21" s="40" t="s">
        <v>592</v>
      </c>
      <c r="J21" s="213" t="s">
        <v>593</v>
      </c>
      <c r="K21" s="12">
        <v>1.0</v>
      </c>
      <c r="L21" s="12"/>
      <c r="M21" s="337"/>
      <c r="N21" s="337"/>
      <c r="O21" s="113"/>
      <c r="P21" s="138"/>
      <c r="Q21" s="138"/>
      <c r="R21" s="162"/>
      <c r="S21" s="162"/>
      <c r="T21" s="114">
        <v>8333.0</v>
      </c>
      <c r="U21" s="114">
        <v>8333.0</v>
      </c>
      <c r="V21" s="114">
        <v>8333.0</v>
      </c>
      <c r="W21" s="114">
        <v>8333.0</v>
      </c>
      <c r="X21" s="114">
        <v>8333.0</v>
      </c>
      <c r="Y21" s="114">
        <v>8333.0</v>
      </c>
      <c r="Z21" s="114">
        <v>8333.0</v>
      </c>
      <c r="AA21" s="113">
        <v>8333.0</v>
      </c>
      <c r="AB21" s="113">
        <v>8333.0</v>
      </c>
      <c r="AC21" s="113">
        <v>8333.0</v>
      </c>
      <c r="AD21" s="113">
        <v>8333.0</v>
      </c>
      <c r="AE21" s="113">
        <v>8333.0</v>
      </c>
      <c r="AF21" s="114" t="s">
        <v>424</v>
      </c>
      <c r="AG21" s="114"/>
      <c r="AH21" s="116">
        <f t="shared" si="1"/>
        <v>41665</v>
      </c>
      <c r="AI21" s="118">
        <f t="shared" si="3"/>
        <v>58331</v>
      </c>
      <c r="AJ21" s="119">
        <f t="shared" si="2"/>
        <v>99996</v>
      </c>
    </row>
    <row r="22" ht="27.0" customHeight="1">
      <c r="A22" s="12">
        <v>53.0</v>
      </c>
      <c r="B22" s="336" t="s">
        <v>1084</v>
      </c>
      <c r="C22" s="16"/>
      <c r="D22" s="38" t="s">
        <v>194</v>
      </c>
      <c r="E22" s="334" t="s">
        <v>1026</v>
      </c>
      <c r="F22" s="18" t="s">
        <v>196</v>
      </c>
      <c r="G22" s="31" t="s">
        <v>200</v>
      </c>
      <c r="H22" s="12">
        <v>9393.0</v>
      </c>
      <c r="I22" s="40" t="s">
        <v>598</v>
      </c>
      <c r="J22" s="213" t="s">
        <v>1077</v>
      </c>
      <c r="K22" s="12">
        <v>1.0</v>
      </c>
      <c r="L22" s="12"/>
      <c r="M22" s="337"/>
      <c r="N22" s="337"/>
      <c r="O22" s="113"/>
      <c r="P22" s="138"/>
      <c r="Q22" s="138"/>
      <c r="R22" s="162"/>
      <c r="S22" s="162"/>
      <c r="T22" s="114">
        <v>8333.0</v>
      </c>
      <c r="U22" s="114">
        <v>8333.0</v>
      </c>
      <c r="V22" s="114">
        <v>8333.0</v>
      </c>
      <c r="W22" s="126" t="s">
        <v>128</v>
      </c>
      <c r="X22" s="114">
        <v>8333.0</v>
      </c>
      <c r="Y22" s="114">
        <v>8333.0</v>
      </c>
      <c r="Z22" s="114">
        <v>8333.0</v>
      </c>
      <c r="AA22" s="113">
        <v>8333.0</v>
      </c>
      <c r="AB22" s="113">
        <v>8333.0</v>
      </c>
      <c r="AC22" s="113">
        <v>8333.0</v>
      </c>
      <c r="AD22" s="113">
        <v>8333.0</v>
      </c>
      <c r="AE22" s="113">
        <v>8333.0</v>
      </c>
      <c r="AF22" s="114" t="s">
        <v>424</v>
      </c>
      <c r="AG22" s="114"/>
      <c r="AH22" s="116">
        <f t="shared" si="1"/>
        <v>41665</v>
      </c>
      <c r="AI22" s="118">
        <f>sum(T22:Z22)</f>
        <v>49998</v>
      </c>
      <c r="AJ22" s="119">
        <f t="shared" si="2"/>
        <v>91663</v>
      </c>
    </row>
    <row r="23" ht="27.0" customHeight="1">
      <c r="A23" s="12">
        <v>54.0</v>
      </c>
      <c r="B23" s="336" t="s">
        <v>1084</v>
      </c>
      <c r="C23" s="16"/>
      <c r="D23" s="38" t="s">
        <v>194</v>
      </c>
      <c r="E23" s="334" t="s">
        <v>1026</v>
      </c>
      <c r="F23" s="18" t="s">
        <v>196</v>
      </c>
      <c r="G23" s="31" t="s">
        <v>200</v>
      </c>
      <c r="H23" s="12">
        <v>9386.0</v>
      </c>
      <c r="I23" s="224" t="s">
        <v>600</v>
      </c>
      <c r="J23" s="213" t="s">
        <v>601</v>
      </c>
      <c r="K23" s="12"/>
      <c r="L23" s="12">
        <v>1.0</v>
      </c>
      <c r="M23" s="337"/>
      <c r="N23" s="337"/>
      <c r="O23" s="113"/>
      <c r="P23" s="138"/>
      <c r="Q23" s="138"/>
      <c r="R23" s="138"/>
      <c r="S23" s="138"/>
      <c r="T23" s="167"/>
      <c r="U23" s="114">
        <v>12500.0</v>
      </c>
      <c r="V23" s="114">
        <v>12500.0</v>
      </c>
      <c r="W23" s="114">
        <v>12500.0</v>
      </c>
      <c r="X23" s="114">
        <v>12500.0</v>
      </c>
      <c r="Y23" s="114">
        <v>12500.0</v>
      </c>
      <c r="Z23" s="114">
        <v>12500.0</v>
      </c>
      <c r="AA23" s="113">
        <v>12500.0</v>
      </c>
      <c r="AB23" s="113">
        <v>12500.0</v>
      </c>
      <c r="AC23" s="113">
        <v>12500.0</v>
      </c>
      <c r="AD23" s="113">
        <v>12500.0</v>
      </c>
      <c r="AE23" s="113">
        <v>12500.0</v>
      </c>
      <c r="AF23" s="126" t="s">
        <v>128</v>
      </c>
      <c r="AG23" s="114" t="s">
        <v>424</v>
      </c>
      <c r="AH23" s="116">
        <f t="shared" si="1"/>
        <v>62500</v>
      </c>
      <c r="AI23" s="118">
        <f>sum(U23:Z23)</f>
        <v>75000</v>
      </c>
      <c r="AJ23" s="119">
        <f t="shared" si="2"/>
        <v>137500</v>
      </c>
    </row>
    <row r="24" ht="27.0" customHeight="1">
      <c r="A24" s="12">
        <v>61.0</v>
      </c>
      <c r="B24" s="336" t="s">
        <v>1084</v>
      </c>
      <c r="C24" s="16"/>
      <c r="D24" s="38" t="s">
        <v>194</v>
      </c>
      <c r="E24" s="334" t="s">
        <v>1026</v>
      </c>
      <c r="F24" s="18" t="s">
        <v>196</v>
      </c>
      <c r="G24" s="31" t="s">
        <v>200</v>
      </c>
      <c r="H24" s="12">
        <v>10027.0</v>
      </c>
      <c r="I24" s="40" t="s">
        <v>614</v>
      </c>
      <c r="J24" s="213" t="s">
        <v>615</v>
      </c>
      <c r="K24" s="12">
        <v>1.0</v>
      </c>
      <c r="L24" s="12"/>
      <c r="M24" s="337"/>
      <c r="N24" s="337"/>
      <c r="O24" s="113"/>
      <c r="P24" s="138"/>
      <c r="Q24" s="138"/>
      <c r="R24" s="138"/>
      <c r="S24" s="138"/>
      <c r="T24" s="167"/>
      <c r="U24" s="167"/>
      <c r="V24" s="167"/>
      <c r="W24" s="114">
        <v>8333.0</v>
      </c>
      <c r="X24" s="114">
        <v>8333.0</v>
      </c>
      <c r="Y24" s="114">
        <v>8333.0</v>
      </c>
      <c r="Z24" s="114">
        <v>8333.0</v>
      </c>
      <c r="AA24" s="113">
        <v>8333.0</v>
      </c>
      <c r="AB24" s="113">
        <v>8333.0</v>
      </c>
      <c r="AC24" s="113">
        <v>8333.0</v>
      </c>
      <c r="AD24" s="113">
        <v>8333.0</v>
      </c>
      <c r="AE24" s="113">
        <v>8333.0</v>
      </c>
      <c r="AF24" s="113">
        <v>8333.0</v>
      </c>
      <c r="AG24" s="113"/>
      <c r="AH24" s="116">
        <f t="shared" si="1"/>
        <v>49998</v>
      </c>
      <c r="AI24" s="118">
        <f>sum(W24:Z24)</f>
        <v>33332</v>
      </c>
      <c r="AJ24" s="119">
        <f t="shared" si="2"/>
        <v>83330</v>
      </c>
    </row>
    <row r="25" ht="27.0" customHeight="1">
      <c r="A25" s="12">
        <v>62.0</v>
      </c>
      <c r="B25" s="110" t="s">
        <v>1084</v>
      </c>
      <c r="C25" s="16"/>
      <c r="D25" s="38" t="s">
        <v>194</v>
      </c>
      <c r="E25" s="334" t="s">
        <v>1026</v>
      </c>
      <c r="F25" s="18" t="s">
        <v>196</v>
      </c>
      <c r="G25" s="31" t="s">
        <v>200</v>
      </c>
      <c r="H25" s="12">
        <v>10142.0</v>
      </c>
      <c r="I25" s="40" t="s">
        <v>616</v>
      </c>
      <c r="J25" s="16" t="s">
        <v>617</v>
      </c>
      <c r="K25" s="12"/>
      <c r="L25" s="12">
        <v>6.0</v>
      </c>
      <c r="M25" s="113"/>
      <c r="N25" s="113"/>
      <c r="O25" s="113"/>
      <c r="P25" s="138"/>
      <c r="Q25" s="138"/>
      <c r="R25" s="138"/>
      <c r="S25" s="138"/>
      <c r="T25" s="167"/>
      <c r="U25" s="167"/>
      <c r="V25" s="167"/>
      <c r="W25" s="167"/>
      <c r="X25" s="114">
        <v>75000.0</v>
      </c>
      <c r="Y25" s="114" t="s">
        <v>128</v>
      </c>
      <c r="Z25" s="114" t="s">
        <v>128</v>
      </c>
      <c r="AA25" s="114" t="s">
        <v>128</v>
      </c>
      <c r="AB25" s="114" t="s">
        <v>128</v>
      </c>
      <c r="AC25" s="114" t="s">
        <v>128</v>
      </c>
      <c r="AD25" s="114" t="s">
        <v>128</v>
      </c>
      <c r="AE25" s="137">
        <v>75000.0</v>
      </c>
      <c r="AF25" s="114" t="s">
        <v>128</v>
      </c>
      <c r="AG25" s="114" t="s">
        <v>128</v>
      </c>
      <c r="AH25" s="116">
        <f t="shared" si="1"/>
        <v>75000</v>
      </c>
      <c r="AI25" s="118">
        <f>sum(X25)</f>
        <v>75000</v>
      </c>
      <c r="AJ25" s="119">
        <f t="shared" si="2"/>
        <v>150000</v>
      </c>
    </row>
    <row r="26" ht="27.0" customHeight="1">
      <c r="A26" s="12">
        <v>63.0</v>
      </c>
      <c r="B26" s="336" t="s">
        <v>1084</v>
      </c>
      <c r="C26" s="16"/>
      <c r="D26" s="38" t="s">
        <v>194</v>
      </c>
      <c r="E26" s="334" t="s">
        <v>1026</v>
      </c>
      <c r="F26" s="18" t="s">
        <v>196</v>
      </c>
      <c r="G26" s="31" t="s">
        <v>200</v>
      </c>
      <c r="H26" s="12">
        <v>10213.0</v>
      </c>
      <c r="I26" s="40" t="s">
        <v>618</v>
      </c>
      <c r="J26" s="30" t="s">
        <v>1078</v>
      </c>
      <c r="K26" s="12">
        <v>1.0</v>
      </c>
      <c r="L26" s="12"/>
      <c r="M26" s="337"/>
      <c r="N26" s="337"/>
      <c r="O26" s="113"/>
      <c r="P26" s="138"/>
      <c r="Q26" s="138"/>
      <c r="R26" s="138"/>
      <c r="S26" s="138"/>
      <c r="T26" s="167"/>
      <c r="U26" s="167"/>
      <c r="V26" s="167"/>
      <c r="W26" s="167"/>
      <c r="X26" s="114">
        <v>8333.0</v>
      </c>
      <c r="Y26" s="114">
        <v>8333.0</v>
      </c>
      <c r="Z26" s="114">
        <v>8333.0</v>
      </c>
      <c r="AA26" s="113">
        <v>8333.0</v>
      </c>
      <c r="AB26" s="113">
        <v>8333.0</v>
      </c>
      <c r="AC26" s="113">
        <v>8333.0</v>
      </c>
      <c r="AD26" s="113">
        <v>8333.0</v>
      </c>
      <c r="AE26" s="113">
        <v>8333.0</v>
      </c>
      <c r="AF26" s="113">
        <v>8333.0</v>
      </c>
      <c r="AG26" s="113"/>
      <c r="AH26" s="116">
        <f t="shared" si="1"/>
        <v>49998</v>
      </c>
      <c r="AI26" s="118">
        <f>sum(X26:Z26)</f>
        <v>24999</v>
      </c>
      <c r="AJ26" s="119">
        <f t="shared" si="2"/>
        <v>74997</v>
      </c>
    </row>
    <row r="27" ht="27.0" customHeight="1">
      <c r="A27" s="12">
        <v>66.0</v>
      </c>
      <c r="B27" s="336" t="s">
        <v>1084</v>
      </c>
      <c r="C27" s="16"/>
      <c r="D27" s="38" t="s">
        <v>194</v>
      </c>
      <c r="E27" s="334" t="s">
        <v>1026</v>
      </c>
      <c r="F27" s="18" t="s">
        <v>196</v>
      </c>
      <c r="G27" s="31" t="s">
        <v>200</v>
      </c>
      <c r="H27" s="12">
        <v>10966.0</v>
      </c>
      <c r="I27" s="224" t="s">
        <v>624</v>
      </c>
      <c r="J27" s="346" t="s">
        <v>624</v>
      </c>
      <c r="K27" s="12"/>
      <c r="L27" s="12">
        <v>1.0</v>
      </c>
      <c r="M27" s="337"/>
      <c r="N27" s="337"/>
      <c r="O27" s="113"/>
      <c r="P27" s="138"/>
      <c r="Q27" s="138"/>
      <c r="R27" s="138"/>
      <c r="S27" s="138"/>
      <c r="T27" s="167"/>
      <c r="U27" s="167"/>
      <c r="V27" s="167"/>
      <c r="W27" s="167"/>
      <c r="X27" s="167"/>
      <c r="Y27" s="167"/>
      <c r="Z27" s="167"/>
      <c r="AA27" s="113">
        <v>12500.0</v>
      </c>
      <c r="AB27" s="113">
        <v>12500.0</v>
      </c>
      <c r="AC27" s="126" t="s">
        <v>128</v>
      </c>
      <c r="AD27" s="113">
        <v>12500.0</v>
      </c>
      <c r="AE27" s="113">
        <v>12500.0</v>
      </c>
      <c r="AF27" s="113">
        <v>12500.0</v>
      </c>
      <c r="AG27" s="113"/>
      <c r="AH27" s="116">
        <f t="shared" si="1"/>
        <v>62500</v>
      </c>
      <c r="AI27" s="118">
        <v>0.0</v>
      </c>
      <c r="AJ27" s="119">
        <f t="shared" si="2"/>
        <v>62500</v>
      </c>
    </row>
    <row r="28" ht="27.0" customHeight="1">
      <c r="A28" s="12">
        <v>67.0</v>
      </c>
      <c r="B28" s="336" t="s">
        <v>1084</v>
      </c>
      <c r="C28" s="16"/>
      <c r="D28" s="38" t="s">
        <v>194</v>
      </c>
      <c r="E28" s="334" t="s">
        <v>1026</v>
      </c>
      <c r="F28" s="18" t="s">
        <v>196</v>
      </c>
      <c r="G28" s="31" t="s">
        <v>200</v>
      </c>
      <c r="H28" s="12">
        <v>11046.0</v>
      </c>
      <c r="I28" s="224" t="s">
        <v>625</v>
      </c>
      <c r="J28" s="214" t="s">
        <v>625</v>
      </c>
      <c r="K28" s="12"/>
      <c r="L28" s="12">
        <v>12.0</v>
      </c>
      <c r="M28" s="337"/>
      <c r="N28" s="337"/>
      <c r="O28" s="113"/>
      <c r="P28" s="138"/>
      <c r="Q28" s="138"/>
      <c r="R28" s="138"/>
      <c r="S28" s="138"/>
      <c r="T28" s="167"/>
      <c r="U28" s="167"/>
      <c r="V28" s="167"/>
      <c r="W28" s="167"/>
      <c r="X28" s="167"/>
      <c r="Y28" s="167"/>
      <c r="Z28" s="167"/>
      <c r="AA28" s="113">
        <v>150000.0</v>
      </c>
      <c r="AB28" s="113" t="s">
        <v>128</v>
      </c>
      <c r="AC28" s="113" t="s">
        <v>128</v>
      </c>
      <c r="AD28" s="113" t="s">
        <v>128</v>
      </c>
      <c r="AE28" s="113" t="s">
        <v>128</v>
      </c>
      <c r="AF28" s="113" t="s">
        <v>128</v>
      </c>
      <c r="AG28" s="113" t="s">
        <v>128</v>
      </c>
      <c r="AH28" s="116">
        <f t="shared" si="1"/>
        <v>150000</v>
      </c>
      <c r="AI28" s="118">
        <v>0.0</v>
      </c>
      <c r="AJ28" s="119">
        <f t="shared" si="2"/>
        <v>150000</v>
      </c>
    </row>
    <row r="29" ht="27.0" customHeight="1">
      <c r="A29" s="12">
        <v>68.0</v>
      </c>
      <c r="B29" s="336" t="s">
        <v>1084</v>
      </c>
      <c r="C29" s="16"/>
      <c r="D29" s="38" t="s">
        <v>194</v>
      </c>
      <c r="E29" s="334" t="s">
        <v>1026</v>
      </c>
      <c r="F29" s="18" t="s">
        <v>196</v>
      </c>
      <c r="G29" s="31" t="s">
        <v>200</v>
      </c>
      <c r="H29" s="12">
        <v>11052.0</v>
      </c>
      <c r="I29" s="224" t="s">
        <v>626</v>
      </c>
      <c r="J29" s="214" t="s">
        <v>627</v>
      </c>
      <c r="K29" s="12"/>
      <c r="L29" s="12">
        <v>6.0</v>
      </c>
      <c r="M29" s="337"/>
      <c r="N29" s="337"/>
      <c r="O29" s="113"/>
      <c r="P29" s="138"/>
      <c r="Q29" s="138"/>
      <c r="R29" s="138"/>
      <c r="S29" s="138"/>
      <c r="T29" s="167"/>
      <c r="U29" s="167"/>
      <c r="V29" s="167"/>
      <c r="W29" s="167"/>
      <c r="X29" s="167"/>
      <c r="Y29" s="167"/>
      <c r="Z29" s="167"/>
      <c r="AA29" s="113">
        <v>75000.0</v>
      </c>
      <c r="AB29" s="113" t="s">
        <v>128</v>
      </c>
      <c r="AC29" s="113" t="s">
        <v>128</v>
      </c>
      <c r="AD29" s="113" t="s">
        <v>128</v>
      </c>
      <c r="AE29" s="113" t="s">
        <v>128</v>
      </c>
      <c r="AF29" s="113" t="s">
        <v>128</v>
      </c>
      <c r="AG29" s="113" t="s">
        <v>128</v>
      </c>
      <c r="AH29" s="116">
        <f t="shared" si="1"/>
        <v>75000</v>
      </c>
      <c r="AI29" s="118">
        <v>0.0</v>
      </c>
      <c r="AJ29" s="119">
        <f t="shared" si="2"/>
        <v>75000</v>
      </c>
    </row>
    <row r="30" ht="27.0" customHeight="1">
      <c r="A30" s="12">
        <v>69.0</v>
      </c>
      <c r="B30" s="336" t="s">
        <v>1084</v>
      </c>
      <c r="C30" s="16"/>
      <c r="D30" s="38" t="s">
        <v>194</v>
      </c>
      <c r="E30" s="334" t="s">
        <v>1026</v>
      </c>
      <c r="F30" s="18" t="s">
        <v>196</v>
      </c>
      <c r="G30" s="31" t="s">
        <v>200</v>
      </c>
      <c r="H30" s="12">
        <v>11165.0</v>
      </c>
      <c r="I30" s="224" t="s">
        <v>35</v>
      </c>
      <c r="J30" s="214" t="s">
        <v>36</v>
      </c>
      <c r="K30" s="12"/>
      <c r="L30" s="12">
        <v>12.0</v>
      </c>
      <c r="M30" s="337"/>
      <c r="N30" s="337"/>
      <c r="O30" s="113"/>
      <c r="P30" s="138"/>
      <c r="Q30" s="138"/>
      <c r="R30" s="138"/>
      <c r="S30" s="138"/>
      <c r="T30" s="167"/>
      <c r="U30" s="167"/>
      <c r="V30" s="167"/>
      <c r="W30" s="167"/>
      <c r="X30" s="167"/>
      <c r="Y30" s="167"/>
      <c r="Z30" s="167"/>
      <c r="AA30" s="113">
        <v>150000.0</v>
      </c>
      <c r="AB30" s="113" t="s">
        <v>128</v>
      </c>
      <c r="AC30" s="113" t="s">
        <v>128</v>
      </c>
      <c r="AD30" s="113" t="s">
        <v>128</v>
      </c>
      <c r="AE30" s="113" t="s">
        <v>128</v>
      </c>
      <c r="AF30" s="113" t="s">
        <v>128</v>
      </c>
      <c r="AG30" s="113" t="s">
        <v>128</v>
      </c>
      <c r="AH30" s="116">
        <f t="shared" si="1"/>
        <v>150000</v>
      </c>
      <c r="AI30" s="118">
        <v>0.0</v>
      </c>
      <c r="AJ30" s="119">
        <f t="shared" si="2"/>
        <v>150000</v>
      </c>
    </row>
    <row r="31" ht="27.0" customHeight="1">
      <c r="A31" s="12">
        <v>70.0</v>
      </c>
      <c r="B31" s="336" t="s">
        <v>1084</v>
      </c>
      <c r="C31" s="16"/>
      <c r="D31" s="38" t="s">
        <v>194</v>
      </c>
      <c r="E31" s="334" t="s">
        <v>1026</v>
      </c>
      <c r="F31" s="18" t="s">
        <v>196</v>
      </c>
      <c r="G31" s="31" t="s">
        <v>200</v>
      </c>
      <c r="H31" s="12">
        <v>11265.0</v>
      </c>
      <c r="I31" s="224" t="s">
        <v>628</v>
      </c>
      <c r="J31" s="214" t="s">
        <v>629</v>
      </c>
      <c r="K31" s="12"/>
      <c r="L31" s="12">
        <v>12.0</v>
      </c>
      <c r="M31" s="337"/>
      <c r="N31" s="337"/>
      <c r="O31" s="113"/>
      <c r="P31" s="138"/>
      <c r="Q31" s="138"/>
      <c r="R31" s="138"/>
      <c r="S31" s="138"/>
      <c r="T31" s="167"/>
      <c r="U31" s="167"/>
      <c r="V31" s="167"/>
      <c r="W31" s="167"/>
      <c r="X31" s="167"/>
      <c r="Y31" s="167"/>
      <c r="Z31" s="167"/>
      <c r="AA31" s="138"/>
      <c r="AB31" s="113">
        <v>150000.0</v>
      </c>
      <c r="AC31" s="113" t="s">
        <v>128</v>
      </c>
      <c r="AD31" s="113" t="s">
        <v>128</v>
      </c>
      <c r="AE31" s="113" t="s">
        <v>128</v>
      </c>
      <c r="AF31" s="113" t="s">
        <v>128</v>
      </c>
      <c r="AG31" s="113" t="s">
        <v>128</v>
      </c>
      <c r="AH31" s="116">
        <f t="shared" si="1"/>
        <v>150000</v>
      </c>
      <c r="AI31" s="118">
        <v>0.0</v>
      </c>
      <c r="AJ31" s="119">
        <f t="shared" si="2"/>
        <v>150000</v>
      </c>
    </row>
    <row r="32" ht="27.0" customHeight="1">
      <c r="A32" s="12">
        <v>74.0</v>
      </c>
      <c r="B32" s="336" t="s">
        <v>1084</v>
      </c>
      <c r="C32" s="16"/>
      <c r="D32" s="38" t="s">
        <v>194</v>
      </c>
      <c r="E32" s="334" t="s">
        <v>1026</v>
      </c>
      <c r="F32" s="18" t="s">
        <v>196</v>
      </c>
      <c r="G32" s="31" t="s">
        <v>200</v>
      </c>
      <c r="H32" s="12">
        <v>11494.0</v>
      </c>
      <c r="I32" s="224" t="s">
        <v>637</v>
      </c>
      <c r="J32" s="214" t="s">
        <v>638</v>
      </c>
      <c r="K32" s="12"/>
      <c r="L32" s="12">
        <v>12.0</v>
      </c>
      <c r="M32" s="337"/>
      <c r="N32" s="337"/>
      <c r="O32" s="113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13">
        <v>150000.0</v>
      </c>
      <c r="AD32" s="113" t="s">
        <v>128</v>
      </c>
      <c r="AE32" s="113" t="s">
        <v>128</v>
      </c>
      <c r="AF32" s="113" t="s">
        <v>128</v>
      </c>
      <c r="AG32" s="113" t="s">
        <v>128</v>
      </c>
      <c r="AH32" s="116">
        <f t="shared" si="1"/>
        <v>150000</v>
      </c>
      <c r="AI32" s="118">
        <v>0.0</v>
      </c>
      <c r="AJ32" s="119">
        <f t="shared" si="2"/>
        <v>150000</v>
      </c>
    </row>
    <row r="33" ht="27.0" customHeight="1">
      <c r="A33" s="12">
        <v>75.0</v>
      </c>
      <c r="B33" s="336" t="s">
        <v>1084</v>
      </c>
      <c r="C33" s="16"/>
      <c r="D33" s="38" t="s">
        <v>194</v>
      </c>
      <c r="E33" s="334" t="s">
        <v>1026</v>
      </c>
      <c r="F33" s="18" t="s">
        <v>196</v>
      </c>
      <c r="G33" s="31" t="s">
        <v>200</v>
      </c>
      <c r="H33" s="12">
        <v>11515.0</v>
      </c>
      <c r="I33" s="224" t="s">
        <v>639</v>
      </c>
      <c r="J33" s="214" t="s">
        <v>89</v>
      </c>
      <c r="K33" s="12"/>
      <c r="L33" s="12">
        <v>12.0</v>
      </c>
      <c r="M33" s="337"/>
      <c r="N33" s="337"/>
      <c r="O33" s="113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13">
        <v>150000.0</v>
      </c>
      <c r="AD33" s="113" t="s">
        <v>128</v>
      </c>
      <c r="AE33" s="113" t="s">
        <v>128</v>
      </c>
      <c r="AF33" s="113" t="s">
        <v>128</v>
      </c>
      <c r="AG33" s="113" t="s">
        <v>128</v>
      </c>
      <c r="AH33" s="116">
        <f t="shared" si="1"/>
        <v>150000</v>
      </c>
      <c r="AI33" s="118">
        <v>0.0</v>
      </c>
      <c r="AJ33" s="119">
        <f t="shared" si="2"/>
        <v>150000</v>
      </c>
    </row>
    <row r="34" ht="27.0" customHeight="1">
      <c r="A34" s="12">
        <v>77.0</v>
      </c>
      <c r="B34" s="336" t="s">
        <v>1084</v>
      </c>
      <c r="C34" s="16"/>
      <c r="D34" s="38" t="s">
        <v>194</v>
      </c>
      <c r="E34" s="334" t="s">
        <v>1026</v>
      </c>
      <c r="F34" s="18" t="s">
        <v>196</v>
      </c>
      <c r="G34" s="31" t="s">
        <v>200</v>
      </c>
      <c r="H34" s="12">
        <v>11654.0</v>
      </c>
      <c r="I34" s="224" t="s">
        <v>642</v>
      </c>
      <c r="J34" s="214" t="s">
        <v>643</v>
      </c>
      <c r="K34" s="12"/>
      <c r="L34" s="12">
        <v>12.0</v>
      </c>
      <c r="M34" s="337"/>
      <c r="N34" s="337"/>
      <c r="O34" s="113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13">
        <v>150000.0</v>
      </c>
      <c r="AD34" s="113" t="s">
        <v>128</v>
      </c>
      <c r="AE34" s="113" t="s">
        <v>128</v>
      </c>
      <c r="AF34" s="113" t="s">
        <v>128</v>
      </c>
      <c r="AG34" s="113" t="s">
        <v>128</v>
      </c>
      <c r="AH34" s="116">
        <f t="shared" si="1"/>
        <v>150000</v>
      </c>
      <c r="AI34" s="118">
        <v>0.0</v>
      </c>
      <c r="AJ34" s="119">
        <f t="shared" si="2"/>
        <v>150000</v>
      </c>
    </row>
    <row r="35" ht="27.0" customHeight="1">
      <c r="A35" s="12">
        <v>78.0</v>
      </c>
      <c r="B35" s="336" t="s">
        <v>1084</v>
      </c>
      <c r="C35" s="16"/>
      <c r="D35" s="38" t="s">
        <v>194</v>
      </c>
      <c r="E35" s="334" t="s">
        <v>1026</v>
      </c>
      <c r="F35" s="18" t="s">
        <v>196</v>
      </c>
      <c r="G35" s="31" t="s">
        <v>200</v>
      </c>
      <c r="H35" s="12">
        <v>11903.0</v>
      </c>
      <c r="I35" s="40" t="s">
        <v>644</v>
      </c>
      <c r="J35" s="30" t="s">
        <v>645</v>
      </c>
      <c r="K35" s="12">
        <v>12.0</v>
      </c>
      <c r="L35" s="12"/>
      <c r="M35" s="337"/>
      <c r="N35" s="337"/>
      <c r="O35" s="113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13">
        <v>100000.0</v>
      </c>
      <c r="AF35" s="113" t="s">
        <v>128</v>
      </c>
      <c r="AG35" s="113" t="s">
        <v>128</v>
      </c>
      <c r="AH35" s="116">
        <f t="shared" si="1"/>
        <v>100000</v>
      </c>
      <c r="AI35" s="118">
        <v>0.0</v>
      </c>
      <c r="AJ35" s="119">
        <f t="shared" si="2"/>
        <v>100000</v>
      </c>
    </row>
    <row r="36" ht="27.0" customHeight="1">
      <c r="A36" s="12">
        <v>79.0</v>
      </c>
      <c r="B36" s="336" t="s">
        <v>1084</v>
      </c>
      <c r="C36" s="16"/>
      <c r="D36" s="38" t="s">
        <v>194</v>
      </c>
      <c r="E36" s="334" t="s">
        <v>1026</v>
      </c>
      <c r="F36" s="18" t="s">
        <v>196</v>
      </c>
      <c r="G36" s="31" t="s">
        <v>200</v>
      </c>
      <c r="H36" s="33" t="s">
        <v>1087</v>
      </c>
      <c r="I36" s="172" t="s">
        <v>1088</v>
      </c>
      <c r="J36" s="214" t="s">
        <v>1089</v>
      </c>
      <c r="K36" s="12"/>
      <c r="L36" s="12">
        <v>12.0</v>
      </c>
      <c r="M36" s="337"/>
      <c r="N36" s="337"/>
      <c r="O36" s="113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13">
        <v>150000.0</v>
      </c>
      <c r="AF36" s="113" t="s">
        <v>128</v>
      </c>
      <c r="AG36" s="113" t="s">
        <v>128</v>
      </c>
      <c r="AH36" s="116">
        <f t="shared" si="1"/>
        <v>150000</v>
      </c>
      <c r="AI36" s="118">
        <f>sum(O36:AD36)</f>
        <v>0</v>
      </c>
      <c r="AJ36" s="119">
        <f t="shared" si="2"/>
        <v>150000</v>
      </c>
    </row>
    <row r="37" ht="27.0" customHeight="1">
      <c r="A37" s="12">
        <v>81.0</v>
      </c>
      <c r="B37" s="341" t="s">
        <v>1084</v>
      </c>
      <c r="C37" s="134"/>
      <c r="D37" s="30" t="s">
        <v>194</v>
      </c>
      <c r="E37" s="279" t="s">
        <v>1026</v>
      </c>
      <c r="F37" s="33" t="s">
        <v>196</v>
      </c>
      <c r="G37" s="31" t="s">
        <v>200</v>
      </c>
      <c r="H37" s="347" t="s">
        <v>648</v>
      </c>
      <c r="I37" s="348" t="s">
        <v>649</v>
      </c>
      <c r="J37" s="349" t="s">
        <v>649</v>
      </c>
      <c r="K37" s="12"/>
      <c r="L37" s="12">
        <v>1.0</v>
      </c>
      <c r="M37" s="337"/>
      <c r="N37" s="337"/>
      <c r="O37" s="113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13"/>
      <c r="AF37" s="113">
        <v>150000.0</v>
      </c>
      <c r="AG37" s="113" t="s">
        <v>128</v>
      </c>
      <c r="AH37" s="116">
        <f t="shared" si="1"/>
        <v>150000</v>
      </c>
      <c r="AI37" s="118">
        <v>0.0</v>
      </c>
      <c r="AJ37" s="119">
        <f t="shared" si="2"/>
        <v>150000</v>
      </c>
    </row>
    <row r="38" ht="27.0" customHeight="1">
      <c r="A38" s="12">
        <v>84.0</v>
      </c>
      <c r="B38" s="341" t="s">
        <v>1084</v>
      </c>
      <c r="C38" s="134"/>
      <c r="D38" s="30" t="s">
        <v>194</v>
      </c>
      <c r="E38" s="279" t="s">
        <v>1026</v>
      </c>
      <c r="F38" s="33" t="s">
        <v>196</v>
      </c>
      <c r="G38" s="31" t="s">
        <v>200</v>
      </c>
      <c r="H38" s="342" t="s">
        <v>655</v>
      </c>
      <c r="I38" s="350" t="s">
        <v>656</v>
      </c>
      <c r="J38" s="350" t="s">
        <v>657</v>
      </c>
      <c r="K38" s="351"/>
      <c r="L38" s="75">
        <v>12.0</v>
      </c>
      <c r="M38" s="337"/>
      <c r="N38" s="337"/>
      <c r="O38" s="113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13"/>
      <c r="AF38" s="113">
        <v>150000.0</v>
      </c>
      <c r="AG38" s="113" t="s">
        <v>128</v>
      </c>
      <c r="AH38" s="116">
        <f t="shared" si="1"/>
        <v>150000</v>
      </c>
      <c r="AI38" s="118">
        <v>0.0</v>
      </c>
      <c r="AJ38" s="119">
        <f t="shared" si="2"/>
        <v>150000</v>
      </c>
    </row>
    <row r="39" ht="27.0" customHeight="1">
      <c r="A39" s="12">
        <v>85.0</v>
      </c>
      <c r="B39" s="341" t="s">
        <v>1084</v>
      </c>
      <c r="C39" s="134"/>
      <c r="D39" s="30" t="s">
        <v>194</v>
      </c>
      <c r="E39" s="279" t="s">
        <v>1026</v>
      </c>
      <c r="F39" s="33" t="s">
        <v>196</v>
      </c>
      <c r="G39" s="31" t="s">
        <v>200</v>
      </c>
      <c r="H39" s="72" t="s">
        <v>658</v>
      </c>
      <c r="I39" s="350" t="s">
        <v>659</v>
      </c>
      <c r="J39" s="350" t="s">
        <v>660</v>
      </c>
      <c r="K39" s="351"/>
      <c r="L39" s="75">
        <v>12.0</v>
      </c>
      <c r="M39" s="337"/>
      <c r="N39" s="337"/>
      <c r="O39" s="113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13"/>
      <c r="AF39" s="113">
        <v>150000.0</v>
      </c>
      <c r="AG39" s="113" t="s">
        <v>128</v>
      </c>
      <c r="AH39" s="116">
        <f t="shared" si="1"/>
        <v>150000</v>
      </c>
      <c r="AI39" s="118">
        <v>0.0</v>
      </c>
      <c r="AJ39" s="119">
        <f t="shared" si="2"/>
        <v>150000</v>
      </c>
    </row>
    <row r="40" ht="27.0" customHeight="1">
      <c r="A40" s="12">
        <v>86.0</v>
      </c>
      <c r="B40" s="341" t="s">
        <v>1084</v>
      </c>
      <c r="C40" s="134"/>
      <c r="D40" s="30" t="s">
        <v>194</v>
      </c>
      <c r="E40" s="279" t="s">
        <v>1026</v>
      </c>
      <c r="F40" s="33" t="s">
        <v>196</v>
      </c>
      <c r="G40" s="352" t="s">
        <v>200</v>
      </c>
      <c r="H40" s="353" t="s">
        <v>661</v>
      </c>
      <c r="I40" s="354" t="s">
        <v>662</v>
      </c>
      <c r="J40" s="355" t="s">
        <v>663</v>
      </c>
      <c r="K40" s="351"/>
      <c r="L40" s="75">
        <v>12.0</v>
      </c>
      <c r="M40" s="337"/>
      <c r="N40" s="337"/>
      <c r="O40" s="113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13"/>
      <c r="AF40" s="113">
        <v>150000.0</v>
      </c>
      <c r="AG40" s="113" t="s">
        <v>128</v>
      </c>
      <c r="AH40" s="116">
        <f t="shared" si="1"/>
        <v>150000</v>
      </c>
      <c r="AI40" s="118">
        <v>0.0</v>
      </c>
      <c r="AJ40" s="119">
        <f t="shared" si="2"/>
        <v>150000</v>
      </c>
    </row>
    <row r="41" ht="27.0" customHeight="1">
      <c r="A41" s="94"/>
      <c r="B41" s="94"/>
      <c r="C41" s="239"/>
      <c r="D41" s="311"/>
      <c r="E41" s="332"/>
      <c r="F41" s="309"/>
      <c r="G41" s="356"/>
      <c r="H41" s="309"/>
      <c r="I41" s="333"/>
      <c r="J41" s="98" t="s">
        <v>1002</v>
      </c>
      <c r="M41" s="247">
        <f t="shared" ref="M41:AF41" si="4">sum(M3:M40)</f>
        <v>12500</v>
      </c>
      <c r="N41" s="247">
        <f t="shared" si="4"/>
        <v>12500</v>
      </c>
      <c r="O41" s="247">
        <f t="shared" si="4"/>
        <v>12500</v>
      </c>
      <c r="P41" s="247">
        <f t="shared" si="4"/>
        <v>20833</v>
      </c>
      <c r="Q41" s="247">
        <f t="shared" si="4"/>
        <v>20833</v>
      </c>
      <c r="R41" s="247">
        <f t="shared" si="4"/>
        <v>37499</v>
      </c>
      <c r="S41" s="247">
        <f t="shared" si="4"/>
        <v>58332</v>
      </c>
      <c r="T41" s="247">
        <f t="shared" si="4"/>
        <v>79165</v>
      </c>
      <c r="U41" s="247">
        <f t="shared" si="4"/>
        <v>99998</v>
      </c>
      <c r="V41" s="247">
        <f t="shared" si="4"/>
        <v>99998</v>
      </c>
      <c r="W41" s="247">
        <f t="shared" si="4"/>
        <v>120831</v>
      </c>
      <c r="X41" s="247">
        <f t="shared" si="4"/>
        <v>220830</v>
      </c>
      <c r="Y41" s="247">
        <f t="shared" si="4"/>
        <v>154163</v>
      </c>
      <c r="Z41" s="247">
        <f t="shared" si="4"/>
        <v>154163</v>
      </c>
      <c r="AA41" s="247">
        <f t="shared" si="4"/>
        <v>658329</v>
      </c>
      <c r="AB41" s="247">
        <f t="shared" si="4"/>
        <v>379160</v>
      </c>
      <c r="AC41" s="247">
        <f t="shared" si="4"/>
        <v>749996</v>
      </c>
      <c r="AD41" s="247">
        <f t="shared" si="4"/>
        <v>158330</v>
      </c>
      <c r="AE41" s="247">
        <f t="shared" si="4"/>
        <v>462497</v>
      </c>
      <c r="AF41" s="247">
        <f t="shared" si="4"/>
        <v>845831</v>
      </c>
      <c r="AG41" s="247"/>
      <c r="AH41" s="247">
        <f t="shared" ref="AH41:AJ41" si="5">sum(AH3:AH40)</f>
        <v>3574968</v>
      </c>
      <c r="AI41" s="247">
        <f t="shared" si="5"/>
        <v>783320</v>
      </c>
      <c r="AJ41" s="247">
        <f t="shared" si="5"/>
        <v>4358288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H1:J1"/>
    <mergeCell ref="K1:L1"/>
    <mergeCell ref="M1:N1"/>
    <mergeCell ref="S1:Z1"/>
    <mergeCell ref="AA1:AE1"/>
    <mergeCell ref="AH1:AJ1"/>
    <mergeCell ref="J41:L41"/>
  </mergeCells>
  <dataValidations>
    <dataValidation type="list" allowBlank="1" showErrorMessage="1" sqref="K3:K36 K37:L37 K38:K40">
      <formula1>"1,12"</formula1>
    </dataValidation>
    <dataValidation type="list" allowBlank="1" showErrorMessage="1" sqref="L3:L36 L38:L40">
      <formula1>"1,6,12"</formula1>
    </dataValidation>
  </dataValidations>
  <hyperlinks>
    <hyperlink r:id="rId2" ref="E18"/>
    <hyperlink r:id="rId3" ref="E19"/>
    <hyperlink r:id="rId4" ref="E20"/>
    <hyperlink r:id="rId5" ref="E21"/>
    <hyperlink r:id="rId6" ref="E22"/>
    <hyperlink r:id="rId7" ref="E23"/>
    <hyperlink r:id="rId8" ref="E24"/>
    <hyperlink r:id="rId9" ref="E25"/>
    <hyperlink r:id="rId10" ref="E26"/>
    <hyperlink r:id="rId11" ref="E27"/>
    <hyperlink r:id="rId12" ref="E28"/>
    <hyperlink r:id="rId13" ref="E29"/>
    <hyperlink r:id="rId14" ref="E30"/>
    <hyperlink r:id="rId15" ref="E31"/>
    <hyperlink r:id="rId16" ref="E32"/>
    <hyperlink r:id="rId17" ref="E33"/>
    <hyperlink r:id="rId18" ref="E34"/>
    <hyperlink r:id="rId19" ref="E35"/>
    <hyperlink r:id="rId20" ref="E36"/>
    <hyperlink r:id="rId21" ref="E37"/>
    <hyperlink r:id="rId22" ref="E38"/>
    <hyperlink r:id="rId23" ref="E39"/>
    <hyperlink r:id="rId24" ref="E40"/>
  </hyperlinks>
  <drawing r:id="rId25"/>
  <legacyDrawing r:id="rId2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38"/>
    <col customWidth="1" min="2" max="2" width="15.38"/>
    <col customWidth="1" min="3" max="3" width="18.75"/>
    <col customWidth="1" min="4" max="4" width="28.0"/>
    <col customWidth="1" min="5" max="5" width="21.25"/>
    <col customWidth="1" min="6" max="6" width="14.63"/>
    <col customWidth="1" min="7" max="7" width="10.0"/>
    <col customWidth="1" min="9" max="9" width="19.5"/>
    <col customWidth="1" min="12" max="12" width="8.63"/>
    <col customWidth="1" min="13" max="13" width="9.5"/>
    <col customWidth="1" min="14" max="14" width="10.13"/>
    <col customWidth="1" min="15" max="15" width="7.63"/>
    <col customWidth="1" min="16" max="16" width="9.5"/>
    <col customWidth="1" min="17" max="25" width="10.38"/>
    <col customWidth="1" min="26" max="26" width="7.5"/>
  </cols>
  <sheetData>
    <row r="1" ht="21.75" customHeight="1">
      <c r="A1" s="357"/>
      <c r="B1" s="357" t="s">
        <v>3</v>
      </c>
      <c r="C1" s="357" t="s">
        <v>7</v>
      </c>
      <c r="D1" s="357" t="s">
        <v>14</v>
      </c>
      <c r="E1" s="357" t="s">
        <v>8</v>
      </c>
      <c r="F1" s="357" t="s">
        <v>9</v>
      </c>
      <c r="G1" s="358" t="s">
        <v>1090</v>
      </c>
      <c r="H1" s="359" t="s">
        <v>1050</v>
      </c>
      <c r="I1" s="360"/>
      <c r="J1" s="360"/>
      <c r="K1" s="361"/>
      <c r="L1" s="362"/>
      <c r="M1" s="362"/>
      <c r="N1" s="363" t="s">
        <v>396</v>
      </c>
      <c r="O1" s="360"/>
      <c r="P1" s="360"/>
      <c r="Q1" s="360"/>
      <c r="R1" s="360"/>
      <c r="S1" s="360"/>
      <c r="T1" s="360"/>
      <c r="U1" s="360"/>
      <c r="V1" s="360"/>
      <c r="W1" s="360"/>
      <c r="X1" s="364">
        <v>2024.0</v>
      </c>
      <c r="Y1" s="365"/>
      <c r="Z1" s="366"/>
    </row>
    <row r="2" ht="21.75" customHeight="1">
      <c r="A2" s="367"/>
      <c r="B2" s="367"/>
      <c r="C2" s="367"/>
      <c r="D2" s="367"/>
      <c r="E2" s="367"/>
      <c r="F2" s="367"/>
      <c r="G2" s="367"/>
      <c r="H2" s="362" t="s">
        <v>400</v>
      </c>
      <c r="I2" s="362" t="s">
        <v>401</v>
      </c>
      <c r="J2" s="357" t="s">
        <v>1079</v>
      </c>
      <c r="K2" s="362" t="s">
        <v>1080</v>
      </c>
      <c r="L2" s="362">
        <v>1.0</v>
      </c>
      <c r="M2" s="362">
        <v>2.0</v>
      </c>
      <c r="N2" s="368">
        <v>3.0</v>
      </c>
      <c r="O2" s="368">
        <v>4.0</v>
      </c>
      <c r="P2" s="368">
        <v>5.0</v>
      </c>
      <c r="Q2" s="368">
        <v>6.0</v>
      </c>
      <c r="R2" s="368">
        <v>7.0</v>
      </c>
      <c r="S2" s="368">
        <v>8.0</v>
      </c>
      <c r="T2" s="368">
        <v>9.0</v>
      </c>
      <c r="U2" s="368">
        <v>10.0</v>
      </c>
      <c r="V2" s="368">
        <v>11.0</v>
      </c>
      <c r="W2" s="368">
        <v>12.0</v>
      </c>
      <c r="X2" s="364" t="s">
        <v>1091</v>
      </c>
      <c r="Y2" s="368" t="s">
        <v>399</v>
      </c>
      <c r="Z2" s="368" t="s">
        <v>409</v>
      </c>
    </row>
    <row r="3" ht="15.75" customHeight="1">
      <c r="A3" s="369">
        <v>1.0</v>
      </c>
      <c r="B3" s="370" t="s">
        <v>1092</v>
      </c>
      <c r="C3" s="371" t="s">
        <v>756</v>
      </c>
      <c r="D3" s="372" t="s">
        <v>1023</v>
      </c>
      <c r="E3" s="373" t="s">
        <v>204</v>
      </c>
      <c r="F3" s="374" t="s">
        <v>205</v>
      </c>
      <c r="G3" s="375">
        <v>11304.0</v>
      </c>
      <c r="H3" s="376" t="s">
        <v>757</v>
      </c>
      <c r="I3" s="377" t="s">
        <v>758</v>
      </c>
      <c r="J3" s="378" t="s">
        <v>1093</v>
      </c>
      <c r="K3" s="379"/>
      <c r="L3" s="380"/>
      <c r="M3" s="381">
        <v>100000.0</v>
      </c>
      <c r="N3" s="382"/>
      <c r="O3" s="383"/>
      <c r="P3" s="383"/>
      <c r="Q3" s="383"/>
      <c r="R3" s="383"/>
      <c r="S3" s="383"/>
      <c r="T3" s="383"/>
      <c r="U3" s="383"/>
      <c r="V3" s="383"/>
      <c r="W3" s="383"/>
      <c r="X3" s="383"/>
      <c r="Y3" s="384">
        <f>SUM(L3:W5)</f>
        <v>300000</v>
      </c>
      <c r="Z3" s="385" t="s">
        <v>1094</v>
      </c>
    </row>
    <row r="4" ht="12.75" customHeight="1">
      <c r="A4" s="386"/>
      <c r="B4" s="386"/>
      <c r="C4" s="386"/>
      <c r="D4" s="386"/>
      <c r="E4" s="386"/>
      <c r="F4" s="387"/>
      <c r="G4" s="388">
        <v>11332.0</v>
      </c>
      <c r="H4" s="389" t="s">
        <v>759</v>
      </c>
      <c r="I4" s="390" t="s">
        <v>760</v>
      </c>
      <c r="J4" s="378" t="s">
        <v>1093</v>
      </c>
      <c r="K4" s="391"/>
      <c r="L4" s="380"/>
      <c r="M4" s="381">
        <v>100000.0</v>
      </c>
      <c r="N4" s="381"/>
      <c r="O4" s="380"/>
      <c r="P4" s="380"/>
      <c r="Q4" s="380"/>
      <c r="R4" s="380"/>
      <c r="S4" s="380"/>
      <c r="T4" s="380"/>
      <c r="U4" s="380"/>
      <c r="V4" s="380"/>
      <c r="W4" s="380"/>
      <c r="X4" s="380"/>
      <c r="Y4" s="386"/>
      <c r="Z4" s="386"/>
    </row>
    <row r="5" ht="12.75" customHeight="1">
      <c r="A5" s="392"/>
      <c r="B5" s="386"/>
      <c r="C5" s="392"/>
      <c r="D5" s="392"/>
      <c r="E5" s="392"/>
      <c r="F5" s="393"/>
      <c r="G5" s="388">
        <v>11335.0</v>
      </c>
      <c r="H5" s="376" t="s">
        <v>761</v>
      </c>
      <c r="I5" s="377" t="s">
        <v>762</v>
      </c>
      <c r="J5" s="378" t="s">
        <v>1093</v>
      </c>
      <c r="K5" s="394"/>
      <c r="L5" s="380"/>
      <c r="M5" s="381">
        <v>100000.0</v>
      </c>
      <c r="N5" s="381"/>
      <c r="O5" s="380"/>
      <c r="P5" s="380"/>
      <c r="Q5" s="380"/>
      <c r="R5" s="380"/>
      <c r="S5" s="380"/>
      <c r="T5" s="380"/>
      <c r="U5" s="380"/>
      <c r="V5" s="380"/>
      <c r="W5" s="380"/>
      <c r="X5" s="380"/>
      <c r="Y5" s="392"/>
      <c r="Z5" s="392"/>
    </row>
    <row r="6" ht="18.0" customHeight="1">
      <c r="A6" s="395"/>
      <c r="B6" s="386"/>
      <c r="C6" s="396"/>
      <c r="D6" s="397"/>
      <c r="E6" s="398"/>
      <c r="F6" s="399"/>
      <c r="G6" s="400"/>
      <c r="H6" s="400"/>
      <c r="I6" s="401"/>
      <c r="J6" s="402"/>
      <c r="K6" s="403"/>
      <c r="L6" s="404"/>
      <c r="M6" s="404"/>
      <c r="N6" s="404"/>
      <c r="O6" s="405"/>
      <c r="P6" s="405"/>
      <c r="Q6" s="405"/>
      <c r="R6" s="405"/>
      <c r="S6" s="405"/>
      <c r="T6" s="405"/>
      <c r="U6" s="405"/>
      <c r="V6" s="405"/>
      <c r="W6" s="405"/>
      <c r="X6" s="405"/>
      <c r="Y6" s="405"/>
      <c r="Z6" s="406"/>
    </row>
    <row r="7" ht="20.25" customHeight="1">
      <c r="A7" s="407">
        <v>2.0</v>
      </c>
      <c r="B7" s="386"/>
      <c r="C7" s="408" t="s">
        <v>213</v>
      </c>
      <c r="D7" s="408" t="s">
        <v>1056</v>
      </c>
      <c r="E7" s="409" t="s">
        <v>1095</v>
      </c>
      <c r="F7" s="410" t="s">
        <v>215</v>
      </c>
      <c r="G7" s="411">
        <v>11295.0</v>
      </c>
      <c r="H7" s="412" t="s">
        <v>777</v>
      </c>
      <c r="I7" s="412" t="s">
        <v>778</v>
      </c>
      <c r="J7" s="413" t="s">
        <v>1096</v>
      </c>
      <c r="K7" s="391"/>
      <c r="L7" s="414"/>
      <c r="M7" s="415">
        <v>8333.0</v>
      </c>
      <c r="N7" s="415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7"/>
      <c r="Z7" s="417" t="s">
        <v>416</v>
      </c>
    </row>
    <row r="8" ht="14.25" customHeight="1">
      <c r="A8" s="386"/>
      <c r="B8" s="386"/>
      <c r="C8" s="386"/>
      <c r="D8" s="386"/>
      <c r="E8" s="386"/>
      <c r="F8" s="387"/>
      <c r="G8" s="411">
        <v>11295.0</v>
      </c>
      <c r="H8" s="412" t="s">
        <v>777</v>
      </c>
      <c r="I8" s="412" t="s">
        <v>779</v>
      </c>
      <c r="J8" s="413" t="s">
        <v>1096</v>
      </c>
      <c r="K8" s="391"/>
      <c r="L8" s="414"/>
      <c r="M8" s="415">
        <v>8333.0</v>
      </c>
      <c r="N8" s="416"/>
      <c r="O8" s="416"/>
      <c r="P8" s="416"/>
      <c r="Q8" s="416"/>
      <c r="R8" s="416"/>
      <c r="S8" s="380"/>
      <c r="T8" s="416"/>
      <c r="U8" s="416"/>
      <c r="V8" s="416"/>
      <c r="W8" s="416"/>
      <c r="X8" s="416"/>
      <c r="Y8" s="386"/>
      <c r="Z8" s="386"/>
    </row>
    <row r="9" ht="16.5" customHeight="1">
      <c r="A9" s="392"/>
      <c r="B9" s="392"/>
      <c r="C9" s="392"/>
      <c r="D9" s="392"/>
      <c r="E9" s="392"/>
      <c r="F9" s="393"/>
      <c r="G9" s="418"/>
      <c r="H9" s="418"/>
      <c r="I9" s="373"/>
      <c r="J9" s="413"/>
      <c r="K9" s="391"/>
      <c r="L9" s="414"/>
      <c r="M9" s="414"/>
      <c r="N9" s="416"/>
      <c r="O9" s="416"/>
      <c r="P9" s="416"/>
      <c r="Q9" s="416"/>
      <c r="R9" s="416"/>
      <c r="S9" s="416"/>
      <c r="T9" s="416"/>
      <c r="U9" s="416"/>
      <c r="V9" s="416"/>
      <c r="W9" s="416"/>
      <c r="X9" s="416"/>
      <c r="Y9" s="392"/>
      <c r="Z9" s="392"/>
    </row>
    <row r="10" ht="21.75" customHeight="1">
      <c r="A10" s="419"/>
      <c r="B10" s="420"/>
      <c r="C10" s="421"/>
      <c r="D10" s="421"/>
      <c r="E10" s="422"/>
      <c r="F10" s="423"/>
      <c r="G10" s="424"/>
      <c r="H10" s="425"/>
      <c r="I10" s="425"/>
      <c r="J10" s="426"/>
      <c r="K10" s="426"/>
      <c r="L10" s="426"/>
      <c r="M10" s="426"/>
      <c r="N10" s="427"/>
      <c r="O10" s="427"/>
      <c r="P10" s="427"/>
      <c r="Q10" s="427"/>
      <c r="R10" s="427"/>
      <c r="S10" s="427"/>
      <c r="T10" s="427"/>
      <c r="U10" s="427"/>
      <c r="V10" s="427"/>
      <c r="W10" s="427"/>
      <c r="X10" s="427"/>
      <c r="Y10" s="427"/>
      <c r="Z10" s="427"/>
    </row>
    <row r="11" ht="25.5" customHeight="1">
      <c r="A11" s="407">
        <v>1.0</v>
      </c>
      <c r="B11" s="428" t="s">
        <v>1097</v>
      </c>
      <c r="C11" s="408" t="s">
        <v>867</v>
      </c>
      <c r="D11" s="408"/>
      <c r="E11" s="408" t="s">
        <v>253</v>
      </c>
      <c r="F11" s="410" t="s">
        <v>254</v>
      </c>
      <c r="G11" s="407">
        <v>9701.0</v>
      </c>
      <c r="H11" s="250" t="s">
        <v>868</v>
      </c>
      <c r="I11" s="429" t="s">
        <v>869</v>
      </c>
      <c r="J11" s="413"/>
      <c r="K11" s="391" t="s">
        <v>1093</v>
      </c>
      <c r="L11" s="414"/>
      <c r="M11" s="414"/>
      <c r="N11" s="416"/>
      <c r="O11" s="416"/>
      <c r="P11" s="416"/>
      <c r="Q11" s="416"/>
      <c r="R11" s="416"/>
      <c r="S11" s="416"/>
      <c r="T11" s="416"/>
      <c r="U11" s="416"/>
      <c r="V11" s="416"/>
      <c r="W11" s="416"/>
      <c r="X11" s="416"/>
      <c r="Y11" s="416"/>
      <c r="Z11" s="416" t="s">
        <v>1098</v>
      </c>
    </row>
    <row r="12" ht="25.5" customHeight="1">
      <c r="A12" s="392"/>
      <c r="B12" s="386"/>
      <c r="C12" s="392"/>
      <c r="D12" s="392"/>
      <c r="E12" s="392"/>
      <c r="F12" s="393"/>
      <c r="G12" s="369">
        <v>10487.0</v>
      </c>
      <c r="H12" s="430" t="s">
        <v>870</v>
      </c>
      <c r="I12" s="431" t="s">
        <v>871</v>
      </c>
      <c r="J12" s="379"/>
      <c r="K12" s="391" t="s">
        <v>1096</v>
      </c>
      <c r="L12" s="414"/>
      <c r="M12" s="414"/>
      <c r="N12" s="416"/>
      <c r="O12" s="416"/>
      <c r="P12" s="416"/>
      <c r="Q12" s="416"/>
      <c r="R12" s="416"/>
      <c r="S12" s="416"/>
      <c r="T12" s="416"/>
      <c r="U12" s="416"/>
      <c r="V12" s="416"/>
      <c r="W12" s="416"/>
      <c r="X12" s="416"/>
      <c r="Y12" s="416"/>
      <c r="Z12" s="416"/>
    </row>
    <row r="13" ht="25.5" customHeight="1">
      <c r="A13" s="432">
        <v>2.0</v>
      </c>
      <c r="B13" s="386"/>
      <c r="C13" s="433" t="s">
        <v>1099</v>
      </c>
      <c r="D13" s="433"/>
      <c r="E13" s="408" t="s">
        <v>324</v>
      </c>
      <c r="F13" s="410" t="s">
        <v>325</v>
      </c>
      <c r="G13" s="432"/>
      <c r="H13" s="434"/>
      <c r="I13" s="429"/>
      <c r="J13" s="413"/>
      <c r="K13" s="391"/>
      <c r="L13" s="414"/>
      <c r="M13" s="414"/>
      <c r="N13" s="416"/>
      <c r="O13" s="416"/>
      <c r="P13" s="416"/>
      <c r="Q13" s="416"/>
      <c r="R13" s="416"/>
      <c r="S13" s="416"/>
      <c r="T13" s="416"/>
      <c r="U13" s="416"/>
      <c r="V13" s="416"/>
      <c r="W13" s="416"/>
      <c r="X13" s="416"/>
      <c r="Y13" s="416"/>
      <c r="Z13" s="416"/>
    </row>
    <row r="14" ht="25.5" customHeight="1">
      <c r="A14" s="432">
        <v>3.0</v>
      </c>
      <c r="B14" s="386"/>
      <c r="C14" s="435" t="s">
        <v>260</v>
      </c>
      <c r="D14" s="436"/>
      <c r="E14" s="437" t="s">
        <v>884</v>
      </c>
      <c r="F14" s="438" t="s">
        <v>262</v>
      </c>
      <c r="G14" s="432">
        <v>10762.0</v>
      </c>
      <c r="H14" s="414" t="s">
        <v>885</v>
      </c>
      <c r="I14" s="414" t="s">
        <v>885</v>
      </c>
      <c r="J14" s="414" t="s">
        <v>1093</v>
      </c>
      <c r="K14" s="391"/>
      <c r="L14" s="414"/>
      <c r="M14" s="414"/>
      <c r="N14" s="416"/>
      <c r="O14" s="416"/>
      <c r="P14" s="416"/>
      <c r="Q14" s="416"/>
      <c r="R14" s="416"/>
      <c r="S14" s="416"/>
      <c r="T14" s="416"/>
      <c r="U14" s="416"/>
      <c r="V14" s="416"/>
      <c r="W14" s="416"/>
      <c r="X14" s="416"/>
      <c r="Y14" s="416"/>
      <c r="Z14" s="416"/>
    </row>
    <row r="15" ht="8.25" customHeight="1">
      <c r="A15" s="439"/>
      <c r="B15" s="440"/>
      <c r="C15" s="441"/>
      <c r="D15" s="442"/>
      <c r="E15" s="442"/>
      <c r="F15" s="443"/>
      <c r="G15" s="444"/>
      <c r="H15" s="444"/>
      <c r="I15" s="444"/>
      <c r="J15" s="444"/>
      <c r="K15" s="439"/>
      <c r="L15" s="439"/>
      <c r="M15" s="439"/>
      <c r="N15" s="445"/>
      <c r="O15" s="445"/>
      <c r="P15" s="445"/>
      <c r="Q15" s="445"/>
      <c r="R15" s="445"/>
      <c r="S15" s="445"/>
      <c r="T15" s="445"/>
      <c r="U15" s="445"/>
      <c r="V15" s="445"/>
      <c r="W15" s="445"/>
      <c r="X15" s="445"/>
      <c r="Y15" s="445"/>
      <c r="Z15" s="445"/>
    </row>
    <row r="16" ht="30.75" customHeight="1">
      <c r="A16" s="432">
        <v>1.0</v>
      </c>
      <c r="B16" s="370" t="s">
        <v>1100</v>
      </c>
      <c r="C16" s="446" t="s">
        <v>1101</v>
      </c>
      <c r="D16" s="447" t="s">
        <v>1102</v>
      </c>
      <c r="E16" s="448" t="s">
        <v>1103</v>
      </c>
      <c r="F16" s="449" t="s">
        <v>1104</v>
      </c>
      <c r="G16" s="67">
        <v>8395.0</v>
      </c>
      <c r="H16" s="448" t="s">
        <v>1105</v>
      </c>
      <c r="I16" s="448" t="s">
        <v>1105</v>
      </c>
      <c r="J16" s="414"/>
      <c r="K16" s="448" t="s">
        <v>1093</v>
      </c>
      <c r="L16" s="449"/>
      <c r="M16" s="449" t="s">
        <v>1106</v>
      </c>
      <c r="N16" s="449"/>
      <c r="O16" s="449"/>
      <c r="P16" s="449"/>
      <c r="Q16" s="449"/>
      <c r="R16" s="449"/>
      <c r="S16" s="449"/>
      <c r="T16" s="449"/>
      <c r="U16" s="449"/>
      <c r="V16" s="449"/>
      <c r="W16" s="449"/>
      <c r="X16" s="449"/>
      <c r="Y16" s="449"/>
      <c r="Z16" s="450" t="s">
        <v>1098</v>
      </c>
    </row>
    <row r="17" ht="28.5" customHeight="1">
      <c r="A17" s="432">
        <v>3.0</v>
      </c>
      <c r="B17" s="386"/>
      <c r="C17" s="451" t="s">
        <v>1107</v>
      </c>
      <c r="D17" s="452" t="s">
        <v>1108</v>
      </c>
      <c r="E17" s="451" t="s">
        <v>1109</v>
      </c>
      <c r="F17" s="453" t="s">
        <v>1110</v>
      </c>
      <c r="G17" s="67">
        <v>8762.0</v>
      </c>
      <c r="H17" s="448" t="s">
        <v>1111</v>
      </c>
      <c r="I17" s="454" t="s">
        <v>928</v>
      </c>
      <c r="J17" s="414" t="s">
        <v>1112</v>
      </c>
      <c r="K17" s="414" t="s">
        <v>128</v>
      </c>
      <c r="L17" s="448"/>
      <c r="M17" s="454"/>
      <c r="N17" s="455"/>
      <c r="O17" s="455">
        <v>8333.0</v>
      </c>
      <c r="P17" s="450">
        <v>8333.0</v>
      </c>
      <c r="Q17" s="450">
        <v>8333.0</v>
      </c>
      <c r="R17" s="456">
        <v>8333.0</v>
      </c>
      <c r="S17" s="456">
        <v>8333.0</v>
      </c>
      <c r="T17" s="456">
        <v>8333.0</v>
      </c>
      <c r="U17" s="450"/>
      <c r="V17" s="450"/>
      <c r="W17" s="450"/>
      <c r="X17" s="450"/>
      <c r="Y17" s="450"/>
      <c r="Z17" s="450" t="s">
        <v>1098</v>
      </c>
    </row>
    <row r="18" ht="19.5" customHeight="1">
      <c r="A18" s="432">
        <v>4.0</v>
      </c>
      <c r="B18" s="386"/>
      <c r="C18" s="451" t="s">
        <v>268</v>
      </c>
      <c r="D18" s="451" t="s">
        <v>273</v>
      </c>
      <c r="E18" s="451" t="s">
        <v>269</v>
      </c>
      <c r="F18" s="457" t="s">
        <v>270</v>
      </c>
      <c r="G18" s="67">
        <v>10227.0</v>
      </c>
      <c r="H18" s="448" t="s">
        <v>886</v>
      </c>
      <c r="I18" s="458" t="s">
        <v>887</v>
      </c>
      <c r="J18" s="414"/>
      <c r="K18" s="414" t="s">
        <v>1093</v>
      </c>
      <c r="L18" s="448"/>
      <c r="M18" s="454"/>
      <c r="N18" s="455"/>
      <c r="O18" s="450"/>
      <c r="P18" s="450" t="s">
        <v>1113</v>
      </c>
      <c r="Q18" s="450"/>
      <c r="R18" s="456"/>
      <c r="S18" s="450"/>
      <c r="T18" s="450"/>
      <c r="U18" s="415">
        <v>150000.0</v>
      </c>
      <c r="V18" s="450"/>
      <c r="W18" s="450"/>
      <c r="X18" s="450"/>
      <c r="Y18" s="450"/>
      <c r="Z18" s="450" t="s">
        <v>1098</v>
      </c>
    </row>
    <row r="19" ht="24.75" customHeight="1">
      <c r="A19" s="432">
        <v>6.0</v>
      </c>
      <c r="B19" s="386"/>
      <c r="C19" s="451" t="s">
        <v>274</v>
      </c>
      <c r="D19" s="452"/>
      <c r="E19" s="451" t="s">
        <v>275</v>
      </c>
      <c r="F19" s="457" t="s">
        <v>356</v>
      </c>
      <c r="G19" s="448"/>
      <c r="H19" s="448" t="s">
        <v>888</v>
      </c>
      <c r="I19" s="454" t="s">
        <v>889</v>
      </c>
      <c r="J19" s="414" t="s">
        <v>1112</v>
      </c>
      <c r="K19" s="414"/>
      <c r="L19" s="448"/>
      <c r="M19" s="454"/>
      <c r="N19" s="455"/>
      <c r="O19" s="450"/>
      <c r="P19" s="450"/>
      <c r="Q19" s="450"/>
      <c r="R19" s="450"/>
      <c r="S19" s="450"/>
      <c r="T19" s="450"/>
      <c r="U19" s="450"/>
      <c r="V19" s="450"/>
      <c r="W19" s="450"/>
      <c r="X19" s="450"/>
      <c r="Y19" s="450"/>
      <c r="Z19" s="450"/>
    </row>
    <row r="20" ht="12.75" customHeight="1">
      <c r="A20" s="407">
        <v>7.0</v>
      </c>
      <c r="B20" s="386"/>
      <c r="C20" s="409" t="s">
        <v>286</v>
      </c>
      <c r="D20" s="459" t="s">
        <v>1114</v>
      </c>
      <c r="E20" s="409" t="s">
        <v>287</v>
      </c>
      <c r="F20" s="460" t="s">
        <v>288</v>
      </c>
      <c r="G20" s="414"/>
      <c r="H20" s="414" t="s">
        <v>892</v>
      </c>
      <c r="I20" s="461" t="s">
        <v>1115</v>
      </c>
      <c r="J20" s="414" t="s">
        <v>1112</v>
      </c>
      <c r="K20" s="414" t="s">
        <v>128</v>
      </c>
      <c r="L20" s="462"/>
      <c r="M20" s="462"/>
      <c r="N20" s="463">
        <v>8333.0</v>
      </c>
      <c r="O20" s="463">
        <v>8333.0</v>
      </c>
      <c r="P20" s="463">
        <v>8333.0</v>
      </c>
      <c r="Q20" s="464">
        <v>8333.0</v>
      </c>
      <c r="R20" s="464">
        <v>8333.0</v>
      </c>
      <c r="S20" s="464">
        <v>8333.0</v>
      </c>
      <c r="T20" s="456" t="s">
        <v>1116</v>
      </c>
      <c r="U20" s="456" t="s">
        <v>1116</v>
      </c>
      <c r="V20" s="465"/>
      <c r="W20" s="465"/>
      <c r="X20" s="466">
        <v>8333.0</v>
      </c>
      <c r="Y20" s="456"/>
      <c r="Z20" s="467" t="s">
        <v>416</v>
      </c>
    </row>
    <row r="21" ht="18.75" customHeight="1">
      <c r="A21" s="386"/>
      <c r="B21" s="386"/>
      <c r="C21" s="386"/>
      <c r="D21" s="386"/>
      <c r="E21" s="386"/>
      <c r="F21" s="386"/>
      <c r="G21" s="414"/>
      <c r="H21" s="414" t="s">
        <v>894</v>
      </c>
      <c r="I21" s="454" t="s">
        <v>286</v>
      </c>
      <c r="J21" s="414" t="s">
        <v>1112</v>
      </c>
      <c r="K21" s="414" t="s">
        <v>128</v>
      </c>
      <c r="L21" s="463">
        <v>8333.0</v>
      </c>
      <c r="M21" s="463">
        <v>8333.0</v>
      </c>
      <c r="N21" s="463">
        <v>8333.0</v>
      </c>
      <c r="O21" s="463">
        <v>8333.0</v>
      </c>
      <c r="P21" s="462">
        <v>8333.0</v>
      </c>
      <c r="Q21" s="468">
        <v>8333.0</v>
      </c>
      <c r="R21" s="468">
        <v>8333.0</v>
      </c>
      <c r="S21" s="468">
        <v>8333.0</v>
      </c>
      <c r="T21" s="468">
        <v>8333.0</v>
      </c>
      <c r="U21" s="468">
        <v>8333.0</v>
      </c>
      <c r="V21" s="465">
        <v>8333.0</v>
      </c>
      <c r="W21" s="465">
        <v>8333.0</v>
      </c>
      <c r="X21" s="465">
        <v>8333.0</v>
      </c>
      <c r="Y21" s="469"/>
      <c r="Z21" s="386"/>
    </row>
    <row r="22" ht="12.75" customHeight="1">
      <c r="A22" s="386"/>
      <c r="B22" s="386"/>
      <c r="C22" s="386"/>
      <c r="D22" s="386"/>
      <c r="E22" s="386"/>
      <c r="F22" s="386"/>
      <c r="G22" s="451"/>
      <c r="H22" s="451" t="s">
        <v>895</v>
      </c>
      <c r="I22" s="414" t="s">
        <v>896</v>
      </c>
      <c r="J22" s="414" t="s">
        <v>1112</v>
      </c>
      <c r="K22" s="414" t="s">
        <v>128</v>
      </c>
      <c r="L22" s="463">
        <v>8333.0</v>
      </c>
      <c r="M22" s="463">
        <v>8333.0</v>
      </c>
      <c r="N22" s="463">
        <v>8333.0</v>
      </c>
      <c r="O22" s="463">
        <v>8333.0</v>
      </c>
      <c r="P22" s="463">
        <v>8333.0</v>
      </c>
      <c r="Q22" s="468">
        <v>8333.0</v>
      </c>
      <c r="R22" s="468">
        <v>8333.0</v>
      </c>
      <c r="S22" s="468">
        <v>8333.0</v>
      </c>
      <c r="T22" s="468">
        <v>8333.0</v>
      </c>
      <c r="U22" s="468">
        <v>8333.0</v>
      </c>
      <c r="V22" s="465">
        <v>8333.0</v>
      </c>
      <c r="W22" s="465">
        <v>8333.0</v>
      </c>
      <c r="X22" s="465">
        <v>8333.0</v>
      </c>
      <c r="Y22" s="456"/>
      <c r="Z22" s="392"/>
    </row>
    <row r="23" ht="12.75" customHeight="1">
      <c r="A23" s="392"/>
      <c r="B23" s="392"/>
      <c r="C23" s="392"/>
      <c r="D23" s="392"/>
      <c r="E23" s="392"/>
      <c r="F23" s="392"/>
      <c r="G23" s="414"/>
      <c r="H23" s="414" t="s">
        <v>892</v>
      </c>
      <c r="I23" s="470" t="s">
        <v>1117</v>
      </c>
      <c r="J23" s="451" t="s">
        <v>1112</v>
      </c>
      <c r="K23" s="451"/>
      <c r="L23" s="471"/>
      <c r="M23" s="471"/>
      <c r="N23" s="471"/>
      <c r="O23" s="471"/>
      <c r="P23" s="472"/>
      <c r="Q23" s="472"/>
      <c r="R23" s="468">
        <v>8333.0</v>
      </c>
      <c r="S23" s="468">
        <v>8333.0</v>
      </c>
      <c r="T23" s="468">
        <v>8333.0</v>
      </c>
      <c r="U23" s="468">
        <v>8333.0</v>
      </c>
      <c r="V23" s="465">
        <v>8333.0</v>
      </c>
      <c r="W23" s="465">
        <v>8333.0</v>
      </c>
      <c r="X23" s="465">
        <v>8333.0</v>
      </c>
      <c r="Y23" s="473"/>
      <c r="Z23" s="450"/>
    </row>
    <row r="24" ht="8.25" customHeight="1">
      <c r="A24" s="474"/>
      <c r="B24" s="475"/>
      <c r="C24" s="476"/>
      <c r="D24" s="476"/>
      <c r="E24" s="476"/>
      <c r="F24" s="477"/>
      <c r="G24" s="478"/>
      <c r="H24" s="478"/>
      <c r="I24" s="478"/>
      <c r="J24" s="478"/>
      <c r="K24" s="478"/>
      <c r="L24" s="478"/>
      <c r="M24" s="478"/>
      <c r="N24" s="479"/>
      <c r="O24" s="479"/>
      <c r="P24" s="479"/>
      <c r="Q24" s="479"/>
      <c r="R24" s="479"/>
      <c r="S24" s="479"/>
      <c r="T24" s="479"/>
      <c r="U24" s="479"/>
      <c r="V24" s="479"/>
      <c r="W24" s="479"/>
      <c r="X24" s="479"/>
      <c r="Y24" s="479"/>
      <c r="Z24" s="479"/>
    </row>
    <row r="25" ht="15.75" customHeight="1">
      <c r="A25" s="432">
        <v>1.0</v>
      </c>
      <c r="B25" s="370" t="s">
        <v>1092</v>
      </c>
      <c r="C25" s="448" t="s">
        <v>1118</v>
      </c>
      <c r="D25" s="448"/>
      <c r="E25" s="448" t="s">
        <v>1119</v>
      </c>
      <c r="F25" s="449" t="s">
        <v>1120</v>
      </c>
      <c r="G25" s="414"/>
      <c r="H25" s="414"/>
      <c r="I25" s="414"/>
      <c r="J25" s="414"/>
      <c r="K25" s="414"/>
      <c r="L25" s="414"/>
      <c r="M25" s="414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Y25" s="450"/>
      <c r="Z25" s="450"/>
    </row>
    <row r="26" ht="15.75" customHeight="1">
      <c r="A26" s="432">
        <v>2.0</v>
      </c>
      <c r="B26" s="386"/>
      <c r="C26" s="448" t="s">
        <v>1121</v>
      </c>
      <c r="D26" s="448"/>
      <c r="E26" s="448" t="s">
        <v>1122</v>
      </c>
      <c r="F26" s="449" t="s">
        <v>1123</v>
      </c>
      <c r="G26" s="414"/>
      <c r="H26" s="414"/>
      <c r="I26" s="414"/>
      <c r="J26" s="414"/>
      <c r="K26" s="414"/>
      <c r="L26" s="414"/>
      <c r="M26" s="414"/>
      <c r="N26" s="450"/>
      <c r="O26" s="450"/>
      <c r="P26" s="450"/>
      <c r="Q26" s="450"/>
      <c r="R26" s="450"/>
      <c r="S26" s="450"/>
      <c r="T26" s="450"/>
      <c r="U26" s="450"/>
      <c r="V26" s="450"/>
      <c r="W26" s="450"/>
      <c r="X26" s="450"/>
      <c r="Y26" s="450"/>
      <c r="Z26" s="450"/>
    </row>
    <row r="27" ht="15.75" customHeight="1">
      <c r="A27" s="432">
        <v>3.0</v>
      </c>
      <c r="B27" s="386"/>
      <c r="C27" s="448" t="s">
        <v>1124</v>
      </c>
      <c r="D27" s="448"/>
      <c r="E27" s="448" t="s">
        <v>1125</v>
      </c>
      <c r="F27" s="449" t="s">
        <v>1126</v>
      </c>
      <c r="G27" s="414"/>
      <c r="H27" s="414"/>
      <c r="I27" s="414"/>
      <c r="J27" s="414"/>
      <c r="K27" s="414"/>
      <c r="L27" s="414"/>
      <c r="M27" s="414"/>
      <c r="N27" s="450"/>
      <c r="O27" s="450"/>
      <c r="P27" s="450"/>
      <c r="Q27" s="450"/>
      <c r="R27" s="450"/>
      <c r="S27" s="450"/>
      <c r="T27" s="450"/>
      <c r="U27" s="450"/>
      <c r="V27" s="450"/>
      <c r="W27" s="450"/>
      <c r="X27" s="450"/>
      <c r="Y27" s="450"/>
      <c r="Z27" s="450"/>
    </row>
    <row r="28" ht="15.75" customHeight="1">
      <c r="A28" s="432">
        <v>4.0</v>
      </c>
      <c r="B28" s="386"/>
      <c r="C28" s="448" t="s">
        <v>847</v>
      </c>
      <c r="D28" s="448"/>
      <c r="E28" s="448" t="s">
        <v>1127</v>
      </c>
      <c r="F28" s="449" t="s">
        <v>1128</v>
      </c>
      <c r="G28" s="414"/>
      <c r="H28" s="414"/>
      <c r="I28" s="414"/>
      <c r="J28" s="414"/>
      <c r="K28" s="414"/>
      <c r="L28" s="414"/>
      <c r="M28" s="414"/>
      <c r="N28" s="450"/>
      <c r="O28" s="450"/>
      <c r="P28" s="450"/>
      <c r="Q28" s="450"/>
      <c r="R28" s="450"/>
      <c r="S28" s="450"/>
      <c r="T28" s="450"/>
      <c r="U28" s="450"/>
      <c r="V28" s="450"/>
      <c r="W28" s="450"/>
      <c r="X28" s="450"/>
      <c r="Y28" s="450"/>
      <c r="Z28" s="450"/>
    </row>
    <row r="29" ht="15.75" customHeight="1">
      <c r="A29" s="432">
        <v>5.0</v>
      </c>
      <c r="B29" s="386"/>
      <c r="C29" s="448" t="s">
        <v>1129</v>
      </c>
      <c r="D29" s="448"/>
      <c r="E29" s="448" t="s">
        <v>1130</v>
      </c>
      <c r="F29" s="449" t="s">
        <v>1131</v>
      </c>
      <c r="G29" s="414"/>
      <c r="H29" s="414"/>
      <c r="I29" s="414"/>
      <c r="J29" s="414"/>
      <c r="K29" s="414"/>
      <c r="L29" s="414"/>
      <c r="M29" s="414"/>
      <c r="N29" s="450"/>
      <c r="O29" s="450"/>
      <c r="P29" s="450"/>
      <c r="Q29" s="450"/>
      <c r="R29" s="450"/>
      <c r="S29" s="450"/>
      <c r="T29" s="450"/>
      <c r="U29" s="450"/>
      <c r="V29" s="450"/>
      <c r="W29" s="450"/>
      <c r="X29" s="450"/>
      <c r="Y29" s="450"/>
      <c r="Z29" s="450"/>
    </row>
    <row r="30" ht="15.75" customHeight="1">
      <c r="A30" s="432">
        <v>6.0</v>
      </c>
      <c r="B30" s="392"/>
      <c r="C30" s="480" t="s">
        <v>227</v>
      </c>
      <c r="D30" s="480"/>
      <c r="E30" s="480" t="s">
        <v>1032</v>
      </c>
      <c r="F30" s="449" t="s">
        <v>1057</v>
      </c>
      <c r="G30" s="414"/>
      <c r="H30" s="414" t="s">
        <v>830</v>
      </c>
      <c r="I30" s="414" t="s">
        <v>831</v>
      </c>
      <c r="J30" s="451" t="s">
        <v>1112</v>
      </c>
      <c r="K30" s="414"/>
      <c r="L30" s="414"/>
      <c r="M30" s="414"/>
      <c r="N30" s="450"/>
      <c r="O30" s="450"/>
      <c r="P30" s="450"/>
      <c r="Q30" s="450"/>
      <c r="R30" s="456">
        <v>8333.0</v>
      </c>
      <c r="S30" s="456">
        <v>8333.0</v>
      </c>
      <c r="T30" s="456">
        <v>8333.0</v>
      </c>
      <c r="U30" s="456">
        <v>8333.0</v>
      </c>
      <c r="V30" s="450"/>
      <c r="W30" s="450"/>
      <c r="X30" s="450"/>
      <c r="Y30" s="450"/>
      <c r="Z30" s="450"/>
    </row>
    <row r="31" ht="15.75" customHeight="1">
      <c r="A31" s="67">
        <v>1.0</v>
      </c>
      <c r="B31" s="370" t="s">
        <v>1092</v>
      </c>
      <c r="C31" s="481" t="s">
        <v>836</v>
      </c>
      <c r="D31" s="482" t="s">
        <v>1132</v>
      </c>
      <c r="E31" s="483" t="s">
        <v>837</v>
      </c>
      <c r="F31" s="484" t="s">
        <v>231</v>
      </c>
      <c r="G31" s="414"/>
      <c r="H31" s="485" t="s">
        <v>838</v>
      </c>
      <c r="I31" s="485" t="s">
        <v>839</v>
      </c>
      <c r="J31" s="486"/>
      <c r="K31" s="485" t="s">
        <v>1133</v>
      </c>
      <c r="L31" s="486"/>
      <c r="M31" s="486"/>
      <c r="N31" s="487"/>
      <c r="O31" s="488">
        <v>150000.0</v>
      </c>
      <c r="P31" s="487"/>
      <c r="Q31" s="487"/>
      <c r="R31" s="487"/>
      <c r="S31" s="487"/>
      <c r="T31" s="487"/>
      <c r="U31" s="487"/>
      <c r="V31" s="487"/>
      <c r="W31" s="487"/>
      <c r="X31" s="487"/>
      <c r="Y31" s="450"/>
      <c r="Z31" s="450"/>
    </row>
    <row r="32" ht="15.75" customHeight="1">
      <c r="A32" s="67">
        <v>2.0</v>
      </c>
      <c r="B32" s="386"/>
      <c r="C32" s="489"/>
      <c r="D32" s="489"/>
      <c r="E32" s="489"/>
      <c r="F32" s="489"/>
      <c r="G32" s="414"/>
      <c r="H32" s="490" t="s">
        <v>840</v>
      </c>
      <c r="I32" s="490" t="s">
        <v>841</v>
      </c>
      <c r="J32" s="491"/>
      <c r="K32" s="490" t="s">
        <v>1112</v>
      </c>
      <c r="L32" s="491"/>
      <c r="M32" s="491"/>
      <c r="N32" s="492"/>
      <c r="O32" s="492"/>
      <c r="P32" s="492"/>
      <c r="Q32" s="492"/>
      <c r="R32" s="493">
        <v>12500.0</v>
      </c>
      <c r="S32" s="493">
        <v>12500.0</v>
      </c>
      <c r="T32" s="492"/>
      <c r="U32" s="492"/>
      <c r="V32" s="492"/>
      <c r="W32" s="492"/>
      <c r="X32" s="492"/>
      <c r="Y32" s="450"/>
      <c r="Z32" s="450"/>
    </row>
    <row r="33" ht="15.75" customHeight="1">
      <c r="A33" s="67">
        <v>3.0</v>
      </c>
      <c r="B33" s="386"/>
      <c r="C33" s="489"/>
      <c r="D33" s="489"/>
      <c r="E33" s="489"/>
      <c r="F33" s="489"/>
      <c r="G33" s="414"/>
      <c r="H33" s="490" t="s">
        <v>840</v>
      </c>
      <c r="I33" s="490" t="s">
        <v>842</v>
      </c>
      <c r="J33" s="491"/>
      <c r="K33" s="490" t="s">
        <v>1096</v>
      </c>
      <c r="L33" s="491"/>
      <c r="M33" s="491"/>
      <c r="N33" s="492"/>
      <c r="O33" s="492"/>
      <c r="P33" s="492"/>
      <c r="Q33" s="492"/>
      <c r="R33" s="493">
        <v>12500.0</v>
      </c>
      <c r="S33" s="493">
        <v>12500.0</v>
      </c>
      <c r="T33" s="492"/>
      <c r="U33" s="492"/>
      <c r="V33" s="492"/>
      <c r="W33" s="492"/>
      <c r="X33" s="492"/>
      <c r="Y33" s="450"/>
      <c r="Z33" s="450"/>
    </row>
    <row r="34" ht="15.75" customHeight="1">
      <c r="A34" s="67">
        <v>4.0</v>
      </c>
      <c r="B34" s="386"/>
      <c r="C34" s="489"/>
      <c r="D34" s="489"/>
      <c r="E34" s="489"/>
      <c r="F34" s="489"/>
      <c r="G34" s="414"/>
      <c r="H34" s="490" t="s">
        <v>843</v>
      </c>
      <c r="I34" s="490" t="s">
        <v>843</v>
      </c>
      <c r="J34" s="490" t="s">
        <v>1096</v>
      </c>
      <c r="K34" s="491"/>
      <c r="L34" s="491"/>
      <c r="M34" s="491"/>
      <c r="N34" s="492"/>
      <c r="O34" s="492"/>
      <c r="P34" s="492"/>
      <c r="Q34" s="492"/>
      <c r="R34" s="494"/>
      <c r="S34" s="493">
        <v>8333.0</v>
      </c>
      <c r="T34" s="493">
        <v>8333.0</v>
      </c>
      <c r="U34" s="493">
        <v>8333.0</v>
      </c>
      <c r="V34" s="492"/>
      <c r="W34" s="492"/>
      <c r="X34" s="492"/>
      <c r="Y34" s="450"/>
      <c r="Z34" s="450"/>
    </row>
    <row r="35" ht="15.75" customHeight="1">
      <c r="A35" s="67">
        <v>5.0</v>
      </c>
      <c r="B35" s="386"/>
      <c r="C35" s="489"/>
      <c r="D35" s="489"/>
      <c r="E35" s="489"/>
      <c r="F35" s="489"/>
      <c r="G35" s="414"/>
      <c r="H35" s="490" t="s">
        <v>844</v>
      </c>
      <c r="I35" s="490" t="s">
        <v>844</v>
      </c>
      <c r="J35" s="490" t="s">
        <v>1133</v>
      </c>
      <c r="K35" s="491"/>
      <c r="L35" s="491"/>
      <c r="M35" s="491"/>
      <c r="N35" s="492"/>
      <c r="O35" s="492"/>
      <c r="P35" s="492"/>
      <c r="Q35" s="492"/>
      <c r="R35" s="492"/>
      <c r="S35" s="493">
        <v>100000.0</v>
      </c>
      <c r="T35" s="492"/>
      <c r="U35" s="492"/>
      <c r="V35" s="492"/>
      <c r="W35" s="492"/>
      <c r="X35" s="492"/>
      <c r="Y35" s="450"/>
      <c r="Z35" s="450"/>
    </row>
    <row r="36" ht="15.75" customHeight="1">
      <c r="A36" s="67">
        <v>6.0</v>
      </c>
      <c r="B36" s="386"/>
      <c r="C36" s="489"/>
      <c r="D36" s="489"/>
      <c r="E36" s="489"/>
      <c r="F36" s="489"/>
      <c r="G36" s="414"/>
      <c r="H36" s="490" t="s">
        <v>845</v>
      </c>
      <c r="I36" s="490" t="s">
        <v>1134</v>
      </c>
      <c r="J36" s="491"/>
      <c r="K36" s="490" t="s">
        <v>1133</v>
      </c>
      <c r="L36" s="491"/>
      <c r="M36" s="491"/>
      <c r="N36" s="492"/>
      <c r="O36" s="492"/>
      <c r="P36" s="492"/>
      <c r="Q36" s="492"/>
      <c r="R36" s="492"/>
      <c r="S36" s="494"/>
      <c r="T36" s="492"/>
      <c r="U36" s="493">
        <v>150000.0</v>
      </c>
      <c r="V36" s="492"/>
      <c r="W36" s="492"/>
      <c r="X36" s="492"/>
      <c r="Y36" s="450"/>
      <c r="Z36" s="450"/>
    </row>
    <row r="37" ht="15.75" customHeight="1">
      <c r="A37" s="67">
        <v>7.0</v>
      </c>
      <c r="B37" s="386"/>
      <c r="C37" s="489"/>
      <c r="D37" s="489"/>
      <c r="E37" s="489"/>
      <c r="F37" s="489"/>
      <c r="G37" s="414"/>
      <c r="H37" s="491"/>
      <c r="I37" s="491"/>
      <c r="J37" s="491"/>
      <c r="K37" s="491"/>
      <c r="L37" s="491"/>
      <c r="M37" s="491"/>
      <c r="N37" s="492"/>
      <c r="O37" s="492"/>
      <c r="P37" s="492"/>
      <c r="Q37" s="492"/>
      <c r="R37" s="492"/>
      <c r="S37" s="492"/>
      <c r="T37" s="492"/>
      <c r="U37" s="492"/>
      <c r="V37" s="492"/>
      <c r="W37" s="492"/>
      <c r="X37" s="492"/>
      <c r="Y37" s="450"/>
      <c r="Z37" s="450"/>
    </row>
    <row r="38" ht="15.75" customHeight="1">
      <c r="A38" s="67">
        <v>8.0</v>
      </c>
      <c r="B38" s="386"/>
      <c r="C38" s="489"/>
      <c r="D38" s="489"/>
      <c r="E38" s="489"/>
      <c r="F38" s="489"/>
      <c r="G38" s="491"/>
      <c r="H38" s="491"/>
      <c r="I38" s="491"/>
      <c r="J38" s="491"/>
      <c r="K38" s="491"/>
      <c r="L38" s="491"/>
      <c r="M38" s="491"/>
      <c r="N38" s="492"/>
      <c r="O38" s="492"/>
      <c r="P38" s="492"/>
      <c r="Q38" s="492"/>
      <c r="R38" s="492"/>
      <c r="S38" s="492"/>
      <c r="T38" s="492"/>
      <c r="U38" s="492"/>
      <c r="V38" s="492"/>
      <c r="W38" s="492"/>
      <c r="X38" s="492"/>
      <c r="Y38" s="450"/>
      <c r="Z38" s="450"/>
    </row>
    <row r="39" ht="15.75" customHeight="1">
      <c r="A39" s="67">
        <v>9.0</v>
      </c>
      <c r="B39" s="392"/>
      <c r="C39" s="495"/>
      <c r="D39" s="495"/>
      <c r="E39" s="495"/>
      <c r="F39" s="495"/>
      <c r="G39" s="491"/>
      <c r="H39" s="491"/>
      <c r="I39" s="491"/>
      <c r="J39" s="491"/>
      <c r="K39" s="491"/>
      <c r="L39" s="491"/>
      <c r="M39" s="491"/>
      <c r="N39" s="492"/>
      <c r="O39" s="492"/>
      <c r="P39" s="492"/>
      <c r="Q39" s="492"/>
      <c r="R39" s="492"/>
      <c r="S39" s="492"/>
      <c r="T39" s="492"/>
      <c r="U39" s="492"/>
      <c r="V39" s="492"/>
      <c r="W39" s="492"/>
      <c r="X39" s="492"/>
      <c r="Y39" s="450"/>
      <c r="Z39" s="45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H1:K1"/>
    <mergeCell ref="N1:W1"/>
    <mergeCell ref="E3:E5"/>
    <mergeCell ref="F3:F5"/>
    <mergeCell ref="Y3:Y5"/>
    <mergeCell ref="Z3:Z5"/>
    <mergeCell ref="Y7:Y9"/>
    <mergeCell ref="Z7:Z9"/>
    <mergeCell ref="A1:A2"/>
    <mergeCell ref="C1:C2"/>
    <mergeCell ref="D1:D2"/>
    <mergeCell ref="E1:E2"/>
    <mergeCell ref="F1:F2"/>
    <mergeCell ref="G1:G2"/>
    <mergeCell ref="A3:A5"/>
    <mergeCell ref="D11:D12"/>
    <mergeCell ref="E11:E12"/>
    <mergeCell ref="D20:D23"/>
    <mergeCell ref="E20:E23"/>
    <mergeCell ref="F20:F23"/>
    <mergeCell ref="Z20:Z22"/>
    <mergeCell ref="C3:C5"/>
    <mergeCell ref="D3:D5"/>
    <mergeCell ref="C7:C9"/>
    <mergeCell ref="D7:D9"/>
    <mergeCell ref="E7:E9"/>
    <mergeCell ref="F7:F9"/>
    <mergeCell ref="C11:C12"/>
    <mergeCell ref="F11:F12"/>
    <mergeCell ref="B16:B23"/>
    <mergeCell ref="B25:B30"/>
    <mergeCell ref="B31:B39"/>
    <mergeCell ref="C31:C39"/>
    <mergeCell ref="D31:D39"/>
    <mergeCell ref="E31:E39"/>
    <mergeCell ref="F31:F39"/>
    <mergeCell ref="B1:B2"/>
    <mergeCell ref="B3:B9"/>
    <mergeCell ref="A7:A9"/>
    <mergeCell ref="A11:A12"/>
    <mergeCell ref="B11:B14"/>
    <mergeCell ref="A20:A23"/>
    <mergeCell ref="C20:C23"/>
  </mergeCells>
  <hyperlinks>
    <hyperlink r:id="rId1" ref="E3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5.38"/>
    <col customWidth="1" min="2" max="2" width="15.38"/>
    <col customWidth="1" min="3" max="3" width="18.75"/>
    <col customWidth="1" min="4" max="4" width="28.0"/>
    <col customWidth="1" min="5" max="5" width="21.25"/>
    <col customWidth="1" min="6" max="6" width="14.63"/>
    <col customWidth="1" min="8" max="8" width="19.5"/>
    <col customWidth="1" min="11" max="11" width="9.63"/>
    <col customWidth="1" min="12" max="12" width="8.63"/>
    <col customWidth="1" min="13" max="13" width="8.75"/>
    <col customWidth="1" min="14" max="14" width="10.13"/>
    <col customWidth="1" min="15" max="15" width="7.63"/>
    <col customWidth="1" min="16" max="16" width="8.38"/>
    <col customWidth="1" min="17" max="25" width="10.38"/>
  </cols>
  <sheetData>
    <row r="1" ht="21.75" customHeight="1">
      <c r="A1" s="357" t="s">
        <v>1135</v>
      </c>
      <c r="B1" s="357" t="s">
        <v>3</v>
      </c>
      <c r="C1" s="357" t="s">
        <v>7</v>
      </c>
      <c r="D1" s="357" t="s">
        <v>14</v>
      </c>
      <c r="E1" s="357" t="s">
        <v>8</v>
      </c>
      <c r="F1" s="357" t="s">
        <v>9</v>
      </c>
      <c r="G1" s="359" t="s">
        <v>1050</v>
      </c>
      <c r="H1" s="360"/>
      <c r="I1" s="360"/>
      <c r="J1" s="361"/>
      <c r="K1" s="362">
        <v>2022.0</v>
      </c>
      <c r="L1" s="362"/>
      <c r="M1" s="362"/>
      <c r="N1" s="496" t="s">
        <v>1136</v>
      </c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1"/>
    </row>
    <row r="2" ht="21.75" customHeight="1">
      <c r="A2" s="367"/>
      <c r="B2" s="367"/>
      <c r="C2" s="367"/>
      <c r="D2" s="367"/>
      <c r="E2" s="367"/>
      <c r="F2" s="367"/>
      <c r="G2" s="357" t="s">
        <v>400</v>
      </c>
      <c r="H2" s="357" t="s">
        <v>401</v>
      </c>
      <c r="I2" s="357" t="s">
        <v>1079</v>
      </c>
      <c r="J2" s="362" t="s">
        <v>1080</v>
      </c>
      <c r="K2" s="362">
        <v>12.0</v>
      </c>
      <c r="L2" s="362">
        <v>1.0</v>
      </c>
      <c r="M2" s="362">
        <v>2.0</v>
      </c>
      <c r="N2" s="368">
        <v>3.0</v>
      </c>
      <c r="O2" s="368">
        <v>4.0</v>
      </c>
      <c r="P2" s="368">
        <v>5.0</v>
      </c>
      <c r="Q2" s="368">
        <v>6.0</v>
      </c>
      <c r="R2" s="368">
        <v>7.0</v>
      </c>
      <c r="S2" s="368">
        <v>8.0</v>
      </c>
      <c r="T2" s="368">
        <v>9.0</v>
      </c>
      <c r="U2" s="368">
        <v>10.0</v>
      </c>
      <c r="V2" s="368">
        <v>11.0</v>
      </c>
      <c r="W2" s="368">
        <v>12.0</v>
      </c>
      <c r="X2" s="368" t="s">
        <v>399</v>
      </c>
      <c r="Y2" s="368" t="s">
        <v>409</v>
      </c>
    </row>
    <row r="3" ht="15.75" customHeight="1">
      <c r="A3" s="369">
        <v>1.0</v>
      </c>
      <c r="B3" s="370" t="s">
        <v>1092</v>
      </c>
      <c r="C3" s="408"/>
      <c r="D3" s="497"/>
      <c r="E3" s="409"/>
      <c r="F3" s="460"/>
      <c r="G3" s="454"/>
      <c r="H3" s="454"/>
      <c r="I3" s="414"/>
      <c r="J3" s="394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450"/>
    </row>
    <row r="4" ht="15.75" customHeight="1">
      <c r="A4" s="386"/>
      <c r="B4" s="386"/>
      <c r="C4" s="386"/>
      <c r="D4" s="386"/>
      <c r="E4" s="386"/>
      <c r="F4" s="386"/>
      <c r="G4" s="436"/>
      <c r="H4" s="436"/>
      <c r="I4" s="414"/>
      <c r="J4" s="394"/>
      <c r="K4" s="381"/>
      <c r="L4" s="381"/>
      <c r="M4" s="381"/>
      <c r="N4" s="381"/>
      <c r="O4" s="381"/>
      <c r="P4" s="381"/>
      <c r="Q4" s="381"/>
      <c r="R4" s="381"/>
      <c r="S4" s="381"/>
      <c r="T4" s="381"/>
      <c r="U4" s="381"/>
      <c r="V4" s="381"/>
      <c r="W4" s="381"/>
      <c r="X4" s="381"/>
      <c r="Y4" s="450"/>
    </row>
    <row r="5" ht="15.75" customHeight="1">
      <c r="A5" s="386"/>
      <c r="B5" s="386"/>
      <c r="C5" s="386"/>
      <c r="D5" s="386"/>
      <c r="E5" s="386"/>
      <c r="F5" s="386"/>
      <c r="G5" s="436"/>
      <c r="H5" s="436"/>
      <c r="I5" s="414"/>
      <c r="J5" s="394"/>
      <c r="K5" s="381"/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450"/>
    </row>
    <row r="6" ht="15.75" customHeight="1">
      <c r="A6" s="386"/>
      <c r="B6" s="386"/>
      <c r="C6" s="386"/>
      <c r="D6" s="386"/>
      <c r="E6" s="386"/>
      <c r="F6" s="386"/>
      <c r="G6" s="436"/>
      <c r="H6" s="436"/>
      <c r="I6" s="414"/>
      <c r="J6" s="394"/>
      <c r="K6" s="381"/>
      <c r="L6" s="381"/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450"/>
    </row>
    <row r="7" ht="15.75" customHeight="1">
      <c r="A7" s="392"/>
      <c r="B7" s="386"/>
      <c r="C7" s="392"/>
      <c r="D7" s="392"/>
      <c r="E7" s="392"/>
      <c r="F7" s="392"/>
      <c r="G7" s="436"/>
      <c r="H7" s="436"/>
      <c r="I7" s="414"/>
      <c r="J7" s="394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450"/>
    </row>
    <row r="8" ht="15.75" customHeight="1">
      <c r="A8" s="407">
        <v>2.0</v>
      </c>
      <c r="B8" s="386"/>
      <c r="C8" s="408"/>
      <c r="D8" s="408"/>
      <c r="E8" s="409"/>
      <c r="F8" s="460"/>
      <c r="G8" s="454"/>
      <c r="H8" s="446"/>
      <c r="I8" s="414"/>
      <c r="J8" s="391"/>
      <c r="K8" s="414"/>
      <c r="L8" s="414"/>
      <c r="M8" s="414"/>
      <c r="N8" s="414"/>
      <c r="O8" s="450"/>
      <c r="P8" s="450"/>
      <c r="Q8" s="450"/>
      <c r="R8" s="450"/>
      <c r="S8" s="450"/>
      <c r="T8" s="450"/>
      <c r="U8" s="450"/>
      <c r="V8" s="450"/>
      <c r="W8" s="450"/>
      <c r="X8" s="450"/>
      <c r="Y8" s="467"/>
    </row>
    <row r="9" ht="15.75" customHeight="1">
      <c r="A9" s="386"/>
      <c r="B9" s="386"/>
      <c r="C9" s="386"/>
      <c r="D9" s="386"/>
      <c r="E9" s="386"/>
      <c r="F9" s="386"/>
      <c r="G9" s="454"/>
      <c r="H9" s="498"/>
      <c r="I9" s="414"/>
      <c r="J9" s="391"/>
      <c r="K9" s="414"/>
      <c r="L9" s="414"/>
      <c r="M9" s="414"/>
      <c r="N9" s="414"/>
      <c r="O9" s="450"/>
      <c r="P9" s="450"/>
      <c r="Q9" s="450"/>
      <c r="R9" s="450"/>
      <c r="S9" s="381"/>
      <c r="T9" s="450"/>
      <c r="U9" s="450"/>
      <c r="V9" s="450"/>
      <c r="W9" s="450"/>
      <c r="X9" s="450"/>
      <c r="Y9" s="386"/>
    </row>
    <row r="10" ht="15.75" customHeight="1">
      <c r="A10" s="386"/>
      <c r="B10" s="386"/>
      <c r="C10" s="386"/>
      <c r="D10" s="386"/>
      <c r="E10" s="386"/>
      <c r="F10" s="386"/>
      <c r="G10" s="454"/>
      <c r="H10" s="448"/>
      <c r="I10" s="414"/>
      <c r="J10" s="391"/>
      <c r="K10" s="414"/>
      <c r="L10" s="414"/>
      <c r="M10" s="414"/>
      <c r="N10" s="450"/>
      <c r="O10" s="450"/>
      <c r="P10" s="450"/>
      <c r="Q10" s="450"/>
      <c r="R10" s="450"/>
      <c r="S10" s="450"/>
      <c r="T10" s="450"/>
      <c r="U10" s="450"/>
      <c r="V10" s="450"/>
      <c r="W10" s="450"/>
      <c r="X10" s="450"/>
      <c r="Y10" s="386"/>
    </row>
    <row r="11" ht="15.75" customHeight="1">
      <c r="A11" s="386"/>
      <c r="B11" s="386"/>
      <c r="C11" s="386"/>
      <c r="D11" s="386"/>
      <c r="E11" s="386"/>
      <c r="F11" s="386"/>
      <c r="G11" s="454"/>
      <c r="H11" s="414"/>
      <c r="I11" s="414"/>
      <c r="J11" s="391"/>
      <c r="K11" s="414"/>
      <c r="L11" s="414"/>
      <c r="M11" s="414"/>
      <c r="N11" s="450"/>
      <c r="O11" s="450"/>
      <c r="P11" s="450"/>
      <c r="Q11" s="450"/>
      <c r="R11" s="450"/>
      <c r="S11" s="450"/>
      <c r="T11" s="450"/>
      <c r="U11" s="450"/>
      <c r="V11" s="450"/>
      <c r="W11" s="450"/>
      <c r="X11" s="450"/>
      <c r="Y11" s="392"/>
    </row>
    <row r="12" ht="15.75" customHeight="1">
      <c r="A12" s="392"/>
      <c r="B12" s="392"/>
      <c r="C12" s="392"/>
      <c r="D12" s="392"/>
      <c r="E12" s="392"/>
      <c r="F12" s="392"/>
      <c r="G12" s="454"/>
      <c r="H12" s="414"/>
      <c r="I12" s="414"/>
      <c r="J12" s="391"/>
      <c r="K12" s="414"/>
      <c r="L12" s="414"/>
      <c r="M12" s="414"/>
      <c r="N12" s="450"/>
      <c r="O12" s="450"/>
      <c r="P12" s="450"/>
      <c r="Q12" s="450"/>
      <c r="R12" s="450"/>
      <c r="S12" s="450"/>
      <c r="T12" s="450"/>
      <c r="U12" s="450"/>
      <c r="V12" s="450"/>
      <c r="W12" s="450"/>
      <c r="X12" s="450"/>
      <c r="Y12" s="450"/>
    </row>
    <row r="13" ht="15.75" customHeight="1">
      <c r="A13" s="407">
        <v>1.0</v>
      </c>
      <c r="B13" s="428" t="s">
        <v>1097</v>
      </c>
      <c r="C13" s="408"/>
      <c r="D13" s="408"/>
      <c r="E13" s="408"/>
      <c r="F13" s="408"/>
      <c r="G13" s="414"/>
      <c r="H13" s="454"/>
      <c r="I13" s="414"/>
      <c r="J13" s="391"/>
      <c r="K13" s="414"/>
      <c r="L13" s="414"/>
      <c r="M13" s="414"/>
      <c r="N13" s="450"/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450"/>
    </row>
    <row r="14" ht="15.75" customHeight="1">
      <c r="A14" s="392"/>
      <c r="B14" s="386"/>
      <c r="C14" s="392"/>
      <c r="D14" s="392"/>
      <c r="E14" s="392"/>
      <c r="F14" s="392"/>
      <c r="G14" s="499"/>
      <c r="H14" s="431"/>
      <c r="I14" s="379"/>
      <c r="J14" s="391"/>
      <c r="K14" s="414"/>
      <c r="L14" s="414"/>
      <c r="M14" s="414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450"/>
    </row>
    <row r="15" ht="15.75" customHeight="1">
      <c r="A15" s="407">
        <v>2.0</v>
      </c>
      <c r="B15" s="386"/>
      <c r="C15" s="408"/>
      <c r="D15" s="408"/>
      <c r="E15" s="408"/>
      <c r="F15" s="410"/>
      <c r="G15" s="499"/>
      <c r="H15" s="431"/>
      <c r="I15" s="379"/>
      <c r="J15" s="391"/>
      <c r="K15" s="414"/>
      <c r="L15" s="414"/>
      <c r="M15" s="414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</row>
    <row r="16" ht="15.75" customHeight="1">
      <c r="A16" s="392"/>
      <c r="B16" s="386"/>
      <c r="C16" s="392"/>
      <c r="D16" s="392"/>
      <c r="E16" s="392"/>
      <c r="F16" s="393"/>
      <c r="G16" s="499"/>
      <c r="H16" s="431"/>
      <c r="I16" s="379"/>
      <c r="J16" s="391"/>
      <c r="K16" s="414"/>
      <c r="L16" s="414"/>
      <c r="M16" s="414"/>
      <c r="N16" s="450"/>
      <c r="O16" s="450"/>
      <c r="P16" s="450"/>
      <c r="Q16" s="450"/>
      <c r="R16" s="450"/>
      <c r="S16" s="450"/>
      <c r="T16" s="450"/>
      <c r="U16" s="450"/>
      <c r="V16" s="450"/>
      <c r="W16" s="450"/>
      <c r="X16" s="450"/>
      <c r="Y16" s="450"/>
    </row>
    <row r="17" ht="8.25" customHeight="1">
      <c r="A17" s="439"/>
      <c r="B17" s="440"/>
      <c r="C17" s="441"/>
      <c r="D17" s="441"/>
      <c r="E17" s="441"/>
      <c r="F17" s="440"/>
      <c r="G17" s="444"/>
      <c r="H17" s="444"/>
      <c r="I17" s="444"/>
      <c r="J17" s="439"/>
      <c r="K17" s="439"/>
      <c r="L17" s="439"/>
      <c r="M17" s="439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</row>
    <row r="18" ht="15.75" customHeight="1">
      <c r="A18" s="432">
        <v>1.0</v>
      </c>
      <c r="B18" s="370" t="s">
        <v>1100</v>
      </c>
      <c r="C18" s="500" t="s">
        <v>340</v>
      </c>
      <c r="D18" s="501" t="s">
        <v>346</v>
      </c>
      <c r="E18" s="500" t="s">
        <v>341</v>
      </c>
      <c r="F18" s="501" t="s">
        <v>342</v>
      </c>
      <c r="G18" s="502" t="s">
        <v>1137</v>
      </c>
      <c r="H18" s="502" t="s">
        <v>334</v>
      </c>
      <c r="I18" s="503"/>
      <c r="J18" s="432" t="s">
        <v>1133</v>
      </c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50"/>
    </row>
    <row r="19" ht="15.75" customHeight="1">
      <c r="A19" s="432">
        <v>2.0</v>
      </c>
      <c r="B19" s="386"/>
      <c r="C19" s="448"/>
      <c r="D19" s="448"/>
      <c r="E19" s="448"/>
      <c r="F19" s="449"/>
      <c r="G19" s="414"/>
      <c r="H19" s="414"/>
      <c r="I19" s="414"/>
      <c r="J19" s="414"/>
      <c r="K19" s="449"/>
      <c r="L19" s="504"/>
      <c r="M19" s="505"/>
      <c r="N19" s="506"/>
      <c r="O19" s="506"/>
      <c r="P19" s="506"/>
      <c r="Q19" s="506"/>
      <c r="R19" s="506"/>
      <c r="S19" s="506"/>
      <c r="T19" s="506"/>
      <c r="U19" s="506"/>
      <c r="V19" s="506"/>
      <c r="W19" s="506"/>
      <c r="X19" s="507"/>
      <c r="Y19" s="508"/>
    </row>
    <row r="20" ht="15.75" customHeight="1">
      <c r="A20" s="432">
        <v>3.0</v>
      </c>
      <c r="B20" s="386"/>
      <c r="C20" s="451"/>
      <c r="D20" s="452"/>
      <c r="E20" s="451"/>
      <c r="F20" s="453"/>
      <c r="G20" s="448"/>
      <c r="H20" s="454"/>
      <c r="I20" s="414"/>
      <c r="J20" s="414"/>
      <c r="K20" s="448"/>
      <c r="L20" s="448"/>
      <c r="M20" s="454"/>
      <c r="N20" s="455"/>
      <c r="O20" s="455"/>
      <c r="P20" s="450"/>
      <c r="Q20" s="450"/>
      <c r="R20" s="456"/>
      <c r="S20" s="456"/>
      <c r="T20" s="456"/>
      <c r="U20" s="450"/>
      <c r="V20" s="450"/>
      <c r="W20" s="450"/>
      <c r="X20" s="450"/>
      <c r="Y20" s="450"/>
    </row>
    <row r="21" ht="15.75" customHeight="1">
      <c r="A21" s="432">
        <v>4.0</v>
      </c>
      <c r="B21" s="386"/>
      <c r="C21" s="451"/>
      <c r="D21" s="451"/>
      <c r="E21" s="451"/>
      <c r="F21" s="457"/>
      <c r="G21" s="448"/>
      <c r="H21" s="458"/>
      <c r="I21" s="414"/>
      <c r="J21" s="414"/>
      <c r="K21" s="448"/>
      <c r="L21" s="448"/>
      <c r="M21" s="454"/>
      <c r="N21" s="455"/>
      <c r="O21" s="450"/>
      <c r="P21" s="450"/>
      <c r="Q21" s="450"/>
      <c r="R21" s="456"/>
      <c r="S21" s="450"/>
      <c r="T21" s="450"/>
      <c r="U21" s="415"/>
      <c r="V21" s="450"/>
      <c r="W21" s="450"/>
      <c r="X21" s="450"/>
      <c r="Y21" s="450"/>
    </row>
    <row r="22" ht="15.75" customHeight="1">
      <c r="A22" s="432">
        <v>5.0</v>
      </c>
      <c r="B22" s="392"/>
      <c r="C22" s="451"/>
      <c r="D22" s="452"/>
      <c r="E22" s="451"/>
      <c r="F22" s="457"/>
      <c r="G22" s="448"/>
      <c r="H22" s="454"/>
      <c r="I22" s="414"/>
      <c r="J22" s="414"/>
      <c r="K22" s="448"/>
      <c r="L22" s="448"/>
      <c r="M22" s="454"/>
      <c r="N22" s="455"/>
      <c r="O22" s="450"/>
      <c r="P22" s="450"/>
      <c r="Q22" s="450"/>
      <c r="R22" s="456"/>
      <c r="S22" s="450"/>
      <c r="T22" s="450"/>
      <c r="U22" s="450"/>
      <c r="V22" s="450"/>
      <c r="W22" s="450"/>
      <c r="X22" s="450"/>
      <c r="Y22" s="450"/>
    </row>
    <row r="23" ht="8.25" customHeight="1">
      <c r="A23" s="474"/>
      <c r="B23" s="475"/>
      <c r="C23" s="476"/>
      <c r="D23" s="476"/>
      <c r="E23" s="476"/>
      <c r="F23" s="477"/>
      <c r="G23" s="478"/>
      <c r="H23" s="478"/>
      <c r="I23" s="478"/>
      <c r="J23" s="478"/>
      <c r="K23" s="478"/>
      <c r="L23" s="478"/>
      <c r="M23" s="478"/>
      <c r="N23" s="479"/>
      <c r="O23" s="479"/>
      <c r="P23" s="479"/>
      <c r="Q23" s="479"/>
      <c r="R23" s="479"/>
      <c r="S23" s="479"/>
      <c r="T23" s="479"/>
      <c r="U23" s="479"/>
      <c r="V23" s="479"/>
      <c r="W23" s="479"/>
      <c r="X23" s="479"/>
      <c r="Y23" s="479"/>
    </row>
    <row r="24" ht="15.75" customHeight="1">
      <c r="A24" s="432">
        <v>1.0</v>
      </c>
      <c r="B24" s="370" t="s">
        <v>1092</v>
      </c>
      <c r="C24" s="448"/>
      <c r="D24" s="480"/>
      <c r="E24" s="448"/>
      <c r="F24" s="449"/>
      <c r="G24" s="414"/>
      <c r="H24" s="414"/>
      <c r="I24" s="414"/>
      <c r="J24" s="509"/>
      <c r="K24" s="510"/>
      <c r="L24" s="510"/>
      <c r="M24" s="510"/>
      <c r="N24" s="511"/>
      <c r="O24" s="511"/>
      <c r="P24" s="511"/>
      <c r="Q24" s="466"/>
      <c r="R24" s="466"/>
      <c r="S24" s="466"/>
      <c r="T24" s="465"/>
      <c r="U24" s="465"/>
      <c r="V24" s="465"/>
      <c r="W24" s="456"/>
      <c r="X24" s="456"/>
      <c r="Y24" s="450"/>
    </row>
    <row r="25" ht="15.75" customHeight="1">
      <c r="A25" s="432">
        <v>2.0</v>
      </c>
      <c r="B25" s="386"/>
      <c r="C25" s="448"/>
      <c r="D25" s="448"/>
      <c r="E25" s="448"/>
      <c r="F25" s="449"/>
      <c r="G25" s="414"/>
      <c r="H25" s="414"/>
      <c r="I25" s="414"/>
      <c r="J25" s="414"/>
      <c r="K25" s="414"/>
      <c r="L25" s="414"/>
      <c r="M25" s="414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Y25" s="450"/>
    </row>
    <row r="26" ht="15.75" customHeight="1">
      <c r="A26" s="432">
        <v>3.0</v>
      </c>
      <c r="B26" s="386"/>
      <c r="C26" s="448"/>
      <c r="D26" s="448"/>
      <c r="E26" s="448"/>
      <c r="F26" s="449"/>
      <c r="G26" s="414"/>
      <c r="H26" s="414"/>
      <c r="I26" s="414"/>
      <c r="J26" s="414"/>
      <c r="K26" s="414"/>
      <c r="L26" s="414"/>
      <c r="M26" s="414"/>
      <c r="N26" s="450"/>
      <c r="O26" s="450"/>
      <c r="P26" s="450"/>
      <c r="Q26" s="450"/>
      <c r="R26" s="450"/>
      <c r="S26" s="450"/>
      <c r="T26" s="450"/>
      <c r="U26" s="450"/>
      <c r="V26" s="450"/>
      <c r="W26" s="450"/>
      <c r="X26" s="450"/>
      <c r="Y26" s="450"/>
    </row>
    <row r="27" ht="15.75" customHeight="1">
      <c r="A27" s="432">
        <v>4.0</v>
      </c>
      <c r="B27" s="386"/>
      <c r="C27" s="448"/>
      <c r="D27" s="448"/>
      <c r="E27" s="448"/>
      <c r="F27" s="449"/>
      <c r="G27" s="414"/>
      <c r="H27" s="414"/>
      <c r="I27" s="414"/>
      <c r="J27" s="414"/>
      <c r="K27" s="414"/>
      <c r="L27" s="414"/>
      <c r="M27" s="414"/>
      <c r="N27" s="450"/>
      <c r="O27" s="450"/>
      <c r="P27" s="450"/>
      <c r="Q27" s="450"/>
      <c r="R27" s="450"/>
      <c r="S27" s="450"/>
      <c r="T27" s="450"/>
      <c r="U27" s="450"/>
      <c r="V27" s="450"/>
      <c r="W27" s="450"/>
      <c r="X27" s="450"/>
      <c r="Y27" s="450"/>
    </row>
    <row r="28" ht="15.75" customHeight="1">
      <c r="A28" s="432">
        <v>5.0</v>
      </c>
      <c r="B28" s="392"/>
      <c r="C28" s="448"/>
      <c r="D28" s="448"/>
      <c r="E28" s="448"/>
      <c r="F28" s="449"/>
      <c r="G28" s="414"/>
      <c r="H28" s="414"/>
      <c r="I28" s="414"/>
      <c r="J28" s="414"/>
      <c r="K28" s="414"/>
      <c r="L28" s="414"/>
      <c r="M28" s="414"/>
      <c r="N28" s="450"/>
      <c r="O28" s="450"/>
      <c r="P28" s="450"/>
      <c r="Q28" s="450"/>
      <c r="R28" s="450"/>
      <c r="S28" s="450"/>
      <c r="T28" s="450"/>
      <c r="U28" s="450"/>
      <c r="V28" s="450"/>
      <c r="W28" s="450"/>
      <c r="X28" s="450"/>
      <c r="Y28" s="450"/>
    </row>
    <row r="29" ht="15.75" customHeight="1">
      <c r="A29" s="512"/>
      <c r="B29" s="513"/>
      <c r="C29" s="514"/>
      <c r="D29" s="514"/>
      <c r="E29" s="514"/>
      <c r="F29" s="515"/>
      <c r="G29" s="516"/>
      <c r="H29" s="516"/>
      <c r="I29" s="516"/>
      <c r="J29" s="516"/>
      <c r="K29" s="516"/>
      <c r="L29" s="516"/>
      <c r="M29" s="516"/>
      <c r="N29" s="517"/>
      <c r="O29" s="517"/>
      <c r="P29" s="517"/>
      <c r="Q29" s="517"/>
      <c r="R29" s="517"/>
      <c r="S29" s="517"/>
      <c r="T29" s="517"/>
      <c r="U29" s="517"/>
      <c r="V29" s="517"/>
      <c r="W29" s="517"/>
      <c r="X29" s="517"/>
      <c r="Y29" s="51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B2"/>
    <mergeCell ref="C1:C2"/>
    <mergeCell ref="D1:D2"/>
    <mergeCell ref="E1:E2"/>
    <mergeCell ref="F1:F2"/>
    <mergeCell ref="G1:J1"/>
    <mergeCell ref="N1:Y1"/>
    <mergeCell ref="C3:C7"/>
    <mergeCell ref="C8:C12"/>
    <mergeCell ref="C13:C14"/>
    <mergeCell ref="C15:C16"/>
    <mergeCell ref="D8:D12"/>
    <mergeCell ref="E8:E12"/>
    <mergeCell ref="Y8:Y11"/>
    <mergeCell ref="A8:A12"/>
    <mergeCell ref="A13:A14"/>
    <mergeCell ref="B13:B16"/>
    <mergeCell ref="A15:A16"/>
    <mergeCell ref="B18:B22"/>
    <mergeCell ref="B24:B28"/>
    <mergeCell ref="D13:D14"/>
    <mergeCell ref="E13:E14"/>
    <mergeCell ref="F13:F14"/>
    <mergeCell ref="D15:D16"/>
    <mergeCell ref="E15:E16"/>
    <mergeCell ref="F15:F16"/>
    <mergeCell ref="A1:A2"/>
    <mergeCell ref="A3:A7"/>
    <mergeCell ref="B3:B12"/>
    <mergeCell ref="D3:D7"/>
    <mergeCell ref="E3:E7"/>
    <mergeCell ref="F3:F7"/>
    <mergeCell ref="F8:F12"/>
  </mergeCells>
  <drawing r:id="rId1"/>
</worksheet>
</file>